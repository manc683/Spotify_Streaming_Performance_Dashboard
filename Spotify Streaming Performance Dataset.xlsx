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d.docs.live.net/2e20a90d9072c07f/文件/Itvedant_DSDA/Datasets/"/>
    </mc:Choice>
  </mc:AlternateContent>
  <xr:revisionPtr revIDLastSave="14612" documentId="8_{393BD284-9F6C-4E04-8380-E68A88327F27}" xr6:coauthVersionLast="47" xr6:coauthVersionMax="47" xr10:uidLastSave="{7A66224E-FD94-4152-9060-D63F60396638}"/>
  <bookViews>
    <workbookView xWindow="-108" yWindow="-108" windowWidth="23256" windowHeight="12456" activeTab="4" xr2:uid="{9D12147D-8B58-4167-A60D-B90C37F1D15D}"/>
  </bookViews>
  <sheets>
    <sheet name="Raw data" sheetId="1" r:id="rId1"/>
    <sheet name="Data_Cleaned" sheetId="2" r:id="rId2"/>
    <sheet name="Updated" sheetId="5" r:id="rId3"/>
    <sheet name="Pivot Tables" sheetId="9" r:id="rId4"/>
    <sheet name="Dashboard" sheetId="11" r:id="rId5"/>
  </sheets>
  <externalReferences>
    <externalReference r:id="rId6"/>
  </externalReferences>
  <definedNames>
    <definedName name="_xlnm._FilterDatabase" localSheetId="0" hidden="1">'Raw data'!$A$1:$N$501</definedName>
    <definedName name="_xlcn.WorksheetConnection_SpotifyStreamingPerformanceDataset.xlsxTable31" hidden="1">Table3[]</definedName>
    <definedName name="Seach">#REF!</definedName>
    <definedName name="Slicer_Artist_Performance_Caterogy1">#N/A</definedName>
    <definedName name="Slicer_Artist_Type">#N/A</definedName>
    <definedName name="Slicer_Debut_Year_Group1">#N/A</definedName>
    <definedName name="Slicer_Gender1">#N/A</definedName>
    <definedName name="Spotify">Table3[]</definedName>
    <definedName name="Total_Streams">'Pivot Tables'!$A$3:$A$4</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Spotify Streaming Performance Dataset.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5" l="1"/>
  <c r="T16"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A502" i="5"/>
  <c r="E502" i="5"/>
  <c r="I503" i="5"/>
  <c r="I502" i="5"/>
  <c r="T3" i="5"/>
  <c r="T4" i="5"/>
  <c r="T5" i="5"/>
  <c r="T6" i="5"/>
  <c r="T7" i="5"/>
  <c r="T8" i="5"/>
  <c r="T9" i="5"/>
  <c r="T10" i="5"/>
  <c r="T11" i="5"/>
  <c r="T12" i="5"/>
  <c r="T13" i="5"/>
  <c r="T14" i="5"/>
  <c r="T15"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S56" i="5"/>
  <c r="P2" i="5"/>
  <c r="P3" i="5"/>
  <c r="P4" i="5"/>
  <c r="P5" i="5"/>
  <c r="P6" i="5"/>
  <c r="P7" i="5"/>
  <c r="R7" i="5" s="1"/>
  <c r="P8" i="5"/>
  <c r="R8" i="5" s="1"/>
  <c r="P9" i="5"/>
  <c r="P10" i="5"/>
  <c r="P11" i="5"/>
  <c r="P12" i="5"/>
  <c r="P13" i="5"/>
  <c r="P14" i="5"/>
  <c r="P15" i="5"/>
  <c r="S15" i="5" s="1"/>
  <c r="P16" i="5"/>
  <c r="R16" i="5" s="1"/>
  <c r="P17" i="5"/>
  <c r="S17" i="5" s="1"/>
  <c r="P18" i="5"/>
  <c r="P19" i="5"/>
  <c r="P20" i="5"/>
  <c r="P21" i="5"/>
  <c r="P22" i="5"/>
  <c r="S22" i="5" s="1"/>
  <c r="P23" i="5"/>
  <c r="R23" i="5" s="1"/>
  <c r="P24" i="5"/>
  <c r="R24" i="5" s="1"/>
  <c r="P25" i="5"/>
  <c r="P26" i="5"/>
  <c r="P27" i="5"/>
  <c r="P28" i="5"/>
  <c r="P29" i="5"/>
  <c r="P30" i="5"/>
  <c r="P31" i="5"/>
  <c r="R31" i="5" s="1"/>
  <c r="P32" i="5"/>
  <c r="R32" i="5" s="1"/>
  <c r="P33" i="5"/>
  <c r="S33" i="5" s="1"/>
  <c r="P34" i="5"/>
  <c r="P35" i="5"/>
  <c r="P36" i="5"/>
  <c r="P37" i="5"/>
  <c r="P38" i="5"/>
  <c r="S38" i="5" s="1"/>
  <c r="P39" i="5"/>
  <c r="S39" i="5" s="1"/>
  <c r="P40" i="5"/>
  <c r="R40" i="5" s="1"/>
  <c r="P41" i="5"/>
  <c r="P42" i="5"/>
  <c r="P43" i="5"/>
  <c r="P44" i="5"/>
  <c r="P45" i="5"/>
  <c r="P46" i="5"/>
  <c r="P47" i="5"/>
  <c r="R47" i="5" s="1"/>
  <c r="P48" i="5"/>
  <c r="R48" i="5" s="1"/>
  <c r="P49" i="5"/>
  <c r="P50" i="5"/>
  <c r="P51" i="5"/>
  <c r="P52" i="5"/>
  <c r="P53" i="5"/>
  <c r="P54" i="5"/>
  <c r="S54" i="5" s="1"/>
  <c r="P55" i="5"/>
  <c r="S55" i="5" s="1"/>
  <c r="P56" i="5"/>
  <c r="R56" i="5" s="1"/>
  <c r="P57" i="5"/>
  <c r="P58" i="5"/>
  <c r="P59" i="5"/>
  <c r="P60" i="5"/>
  <c r="P61" i="5"/>
  <c r="P62" i="5"/>
  <c r="P63" i="5"/>
  <c r="R63" i="5" s="1"/>
  <c r="P64" i="5"/>
  <c r="R64" i="5" s="1"/>
  <c r="P65" i="5"/>
  <c r="P66" i="5"/>
  <c r="P67" i="5"/>
  <c r="P68" i="5"/>
  <c r="P69" i="5"/>
  <c r="P70" i="5"/>
  <c r="P71" i="5"/>
  <c r="S71" i="5" s="1"/>
  <c r="P72" i="5"/>
  <c r="S72" i="5" s="1"/>
  <c r="P73" i="5"/>
  <c r="S73" i="5" s="1"/>
  <c r="P74" i="5"/>
  <c r="P75" i="5"/>
  <c r="P76" i="5"/>
  <c r="P77" i="5"/>
  <c r="P78" i="5"/>
  <c r="P79" i="5"/>
  <c r="R79" i="5" s="1"/>
  <c r="P80" i="5"/>
  <c r="R80" i="5" s="1"/>
  <c r="P81" i="5"/>
  <c r="P82" i="5"/>
  <c r="P83" i="5"/>
  <c r="P84" i="5"/>
  <c r="P85" i="5"/>
  <c r="P86" i="5"/>
  <c r="P87" i="5"/>
  <c r="R87" i="5" s="1"/>
  <c r="P88" i="5"/>
  <c r="R88" i="5" s="1"/>
  <c r="P89" i="5"/>
  <c r="S89" i="5" s="1"/>
  <c r="P90" i="5"/>
  <c r="P91" i="5"/>
  <c r="P92" i="5"/>
  <c r="P93" i="5"/>
  <c r="P94" i="5"/>
  <c r="S94" i="5" s="1"/>
  <c r="P95" i="5"/>
  <c r="R95" i="5" s="1"/>
  <c r="P96" i="5"/>
  <c r="R96" i="5" s="1"/>
  <c r="P97" i="5"/>
  <c r="P98" i="5"/>
  <c r="P99" i="5"/>
  <c r="P100" i="5"/>
  <c r="P101" i="5"/>
  <c r="P102" i="5"/>
  <c r="P103" i="5"/>
  <c r="R103" i="5" s="1"/>
  <c r="P104" i="5"/>
  <c r="R104" i="5" s="1"/>
  <c r="P105" i="5"/>
  <c r="S105" i="5" s="1"/>
  <c r="P106" i="5"/>
  <c r="P107" i="5"/>
  <c r="P108" i="5"/>
  <c r="P109" i="5"/>
  <c r="P110" i="5"/>
  <c r="S110" i="5" s="1"/>
  <c r="P111" i="5"/>
  <c r="S111" i="5" s="1"/>
  <c r="P112" i="5"/>
  <c r="R112" i="5" s="1"/>
  <c r="P113" i="5"/>
  <c r="P114" i="5"/>
  <c r="P115" i="5"/>
  <c r="P116" i="5"/>
  <c r="P117" i="5"/>
  <c r="P118" i="5"/>
  <c r="P119" i="5"/>
  <c r="R119" i="5" s="1"/>
  <c r="P120" i="5"/>
  <c r="R120" i="5" s="1"/>
  <c r="P121" i="5"/>
  <c r="P122" i="5"/>
  <c r="P123" i="5"/>
  <c r="P124" i="5"/>
  <c r="P125" i="5"/>
  <c r="P126" i="5"/>
  <c r="S126" i="5" s="1"/>
  <c r="P127" i="5"/>
  <c r="R127" i="5" s="1"/>
  <c r="P128" i="5"/>
  <c r="R128" i="5" s="1"/>
  <c r="P129" i="5"/>
  <c r="S129" i="5" s="1"/>
  <c r="P130" i="5"/>
  <c r="P131" i="5"/>
  <c r="P132" i="5"/>
  <c r="P133" i="5"/>
  <c r="P134" i="5"/>
  <c r="P135" i="5"/>
  <c r="R135" i="5" s="1"/>
  <c r="P136" i="5"/>
  <c r="R136" i="5" s="1"/>
  <c r="P137" i="5"/>
  <c r="P138" i="5"/>
  <c r="P139" i="5"/>
  <c r="P140" i="5"/>
  <c r="P141" i="5"/>
  <c r="P142" i="5"/>
  <c r="P143" i="5"/>
  <c r="S143" i="5" s="1"/>
  <c r="P144" i="5"/>
  <c r="R144" i="5" s="1"/>
  <c r="P145" i="5"/>
  <c r="S145" i="5" s="1"/>
  <c r="P146" i="5"/>
  <c r="P147" i="5"/>
  <c r="P148" i="5"/>
  <c r="P149" i="5"/>
  <c r="P150" i="5"/>
  <c r="S150" i="5" s="1"/>
  <c r="P151" i="5"/>
  <c r="R151" i="5" s="1"/>
  <c r="P152" i="5"/>
  <c r="R152" i="5" s="1"/>
  <c r="P153" i="5"/>
  <c r="P154" i="5"/>
  <c r="P155" i="5"/>
  <c r="P156" i="5"/>
  <c r="P157" i="5"/>
  <c r="P158" i="5"/>
  <c r="P159" i="5"/>
  <c r="R159" i="5" s="1"/>
  <c r="P160" i="5"/>
  <c r="R160" i="5" s="1"/>
  <c r="P161" i="5"/>
  <c r="S161" i="5" s="1"/>
  <c r="P162" i="5"/>
  <c r="P163" i="5"/>
  <c r="P164" i="5"/>
  <c r="P165" i="5"/>
  <c r="P166" i="5"/>
  <c r="S166" i="5" s="1"/>
  <c r="P167" i="5"/>
  <c r="S167" i="5" s="1"/>
  <c r="P168" i="5"/>
  <c r="R168" i="5" s="1"/>
  <c r="P169" i="5"/>
  <c r="P170" i="5"/>
  <c r="P171" i="5"/>
  <c r="P172" i="5"/>
  <c r="P173" i="5"/>
  <c r="P174" i="5"/>
  <c r="P175" i="5"/>
  <c r="R175" i="5" s="1"/>
  <c r="P176" i="5"/>
  <c r="R176" i="5" s="1"/>
  <c r="P177" i="5"/>
  <c r="P178" i="5"/>
  <c r="P179" i="5"/>
  <c r="P180" i="5"/>
  <c r="P181" i="5"/>
  <c r="P182" i="5"/>
  <c r="S182" i="5" s="1"/>
  <c r="P183" i="5"/>
  <c r="R183" i="5" s="1"/>
  <c r="P184" i="5"/>
  <c r="R184" i="5" s="1"/>
  <c r="P185" i="5"/>
  <c r="P186" i="5"/>
  <c r="P187" i="5"/>
  <c r="P188" i="5"/>
  <c r="P189" i="5"/>
  <c r="P190" i="5"/>
  <c r="P191" i="5"/>
  <c r="R191" i="5" s="1"/>
  <c r="P192" i="5"/>
  <c r="R192" i="5" s="1"/>
  <c r="P193" i="5"/>
  <c r="P194" i="5"/>
  <c r="P195" i="5"/>
  <c r="P196" i="5"/>
  <c r="P197" i="5"/>
  <c r="P198" i="5"/>
  <c r="P199" i="5"/>
  <c r="S199" i="5" s="1"/>
  <c r="P200" i="5"/>
  <c r="S200" i="5" s="1"/>
  <c r="P201" i="5"/>
  <c r="S201" i="5" s="1"/>
  <c r="P202" i="5"/>
  <c r="P203" i="5"/>
  <c r="P204" i="5"/>
  <c r="P205" i="5"/>
  <c r="P206" i="5"/>
  <c r="P207" i="5"/>
  <c r="R207" i="5" s="1"/>
  <c r="P208" i="5"/>
  <c r="R208" i="5" s="1"/>
  <c r="P209" i="5"/>
  <c r="P210" i="5"/>
  <c r="P211" i="5"/>
  <c r="P212" i="5"/>
  <c r="P213" i="5"/>
  <c r="P214" i="5"/>
  <c r="P215" i="5"/>
  <c r="R215" i="5" s="1"/>
  <c r="P216" i="5"/>
  <c r="R216" i="5" s="1"/>
  <c r="P217" i="5"/>
  <c r="S217" i="5" s="1"/>
  <c r="P218" i="5"/>
  <c r="P219" i="5"/>
  <c r="P220" i="5"/>
  <c r="P221" i="5"/>
  <c r="P222" i="5"/>
  <c r="S222" i="5" s="1"/>
  <c r="P223" i="5"/>
  <c r="R223" i="5" s="1"/>
  <c r="P224" i="5"/>
  <c r="R224" i="5" s="1"/>
  <c r="P225" i="5"/>
  <c r="P226" i="5"/>
  <c r="P227" i="5"/>
  <c r="P228" i="5"/>
  <c r="P229" i="5"/>
  <c r="P230" i="5"/>
  <c r="P231" i="5"/>
  <c r="R231" i="5" s="1"/>
  <c r="P232" i="5"/>
  <c r="R232" i="5" s="1"/>
  <c r="P233" i="5"/>
  <c r="S233" i="5" s="1"/>
  <c r="P234" i="5"/>
  <c r="P235" i="5"/>
  <c r="P236" i="5"/>
  <c r="P237" i="5"/>
  <c r="P238" i="5"/>
  <c r="S238" i="5" s="1"/>
  <c r="P239" i="5"/>
  <c r="S239" i="5" s="1"/>
  <c r="P240" i="5"/>
  <c r="R240" i="5" s="1"/>
  <c r="P241" i="5"/>
  <c r="P242" i="5"/>
  <c r="P243" i="5"/>
  <c r="P244" i="5"/>
  <c r="P245" i="5"/>
  <c r="P246" i="5"/>
  <c r="P247" i="5"/>
  <c r="R247" i="5" s="1"/>
  <c r="P248" i="5"/>
  <c r="R248" i="5" s="1"/>
  <c r="P249" i="5"/>
  <c r="P250" i="5"/>
  <c r="P251" i="5"/>
  <c r="P252" i="5"/>
  <c r="P253" i="5"/>
  <c r="P254" i="5"/>
  <c r="S254" i="5" s="1"/>
  <c r="P255" i="5"/>
  <c r="S255" i="5" s="1"/>
  <c r="P256" i="5"/>
  <c r="R256" i="5" s="1"/>
  <c r="P257" i="5"/>
  <c r="S257" i="5" s="1"/>
  <c r="P258" i="5"/>
  <c r="P259" i="5"/>
  <c r="P260" i="5"/>
  <c r="P261" i="5"/>
  <c r="P262" i="5"/>
  <c r="P263" i="5"/>
  <c r="R263" i="5" s="1"/>
  <c r="P264" i="5"/>
  <c r="R264" i="5" s="1"/>
  <c r="P265" i="5"/>
  <c r="P266" i="5"/>
  <c r="P267" i="5"/>
  <c r="P268" i="5"/>
  <c r="P269" i="5"/>
  <c r="P270" i="5"/>
  <c r="P271" i="5"/>
  <c r="S271" i="5" s="1"/>
  <c r="P272" i="5"/>
  <c r="R272" i="5" s="1"/>
  <c r="P273" i="5"/>
  <c r="S273" i="5" s="1"/>
  <c r="P274" i="5"/>
  <c r="P275" i="5"/>
  <c r="P276" i="5"/>
  <c r="P277" i="5"/>
  <c r="P278" i="5"/>
  <c r="S278" i="5" s="1"/>
  <c r="P279" i="5"/>
  <c r="R279" i="5" s="1"/>
  <c r="P280" i="5"/>
  <c r="R280" i="5" s="1"/>
  <c r="P281" i="5"/>
  <c r="P282" i="5"/>
  <c r="P283" i="5"/>
  <c r="P284" i="5"/>
  <c r="P285" i="5"/>
  <c r="P286" i="5"/>
  <c r="P287" i="5"/>
  <c r="R287" i="5" s="1"/>
  <c r="P288" i="5"/>
  <c r="R288" i="5" s="1"/>
  <c r="P289" i="5"/>
  <c r="S289" i="5" s="1"/>
  <c r="P290" i="5"/>
  <c r="P291" i="5"/>
  <c r="P292" i="5"/>
  <c r="P293" i="5"/>
  <c r="P294" i="5"/>
  <c r="S294" i="5" s="1"/>
  <c r="P295" i="5"/>
  <c r="S295" i="5" s="1"/>
  <c r="P296" i="5"/>
  <c r="R296" i="5" s="1"/>
  <c r="P297" i="5"/>
  <c r="P298" i="5"/>
  <c r="P299" i="5"/>
  <c r="P300" i="5"/>
  <c r="P301" i="5"/>
  <c r="P302" i="5"/>
  <c r="P303" i="5"/>
  <c r="R303" i="5" s="1"/>
  <c r="P304" i="5"/>
  <c r="R304" i="5" s="1"/>
  <c r="P305" i="5"/>
  <c r="P306" i="5"/>
  <c r="P307" i="5"/>
  <c r="P308" i="5"/>
  <c r="P309" i="5"/>
  <c r="P310" i="5"/>
  <c r="S310" i="5" s="1"/>
  <c r="P311" i="5"/>
  <c r="S311" i="5" s="1"/>
  <c r="P312" i="5"/>
  <c r="R312" i="5" s="1"/>
  <c r="P313" i="5"/>
  <c r="P314" i="5"/>
  <c r="P315" i="5"/>
  <c r="P316" i="5"/>
  <c r="P317" i="5"/>
  <c r="P318" i="5"/>
  <c r="P319" i="5"/>
  <c r="R319" i="5" s="1"/>
  <c r="P320" i="5"/>
  <c r="R320" i="5" s="1"/>
  <c r="P321" i="5"/>
  <c r="P322" i="5"/>
  <c r="P323" i="5"/>
  <c r="P324" i="5"/>
  <c r="P325" i="5"/>
  <c r="P326" i="5"/>
  <c r="P327" i="5"/>
  <c r="S327" i="5" s="1"/>
  <c r="P328" i="5"/>
  <c r="S328" i="5" s="1"/>
  <c r="P329" i="5"/>
  <c r="S329" i="5" s="1"/>
  <c r="P330" i="5"/>
  <c r="P331" i="5"/>
  <c r="P332" i="5"/>
  <c r="P333" i="5"/>
  <c r="P334" i="5"/>
  <c r="P335" i="5"/>
  <c r="R335" i="5" s="1"/>
  <c r="P336" i="5"/>
  <c r="R336" i="5" s="1"/>
  <c r="P337" i="5"/>
  <c r="P338" i="5"/>
  <c r="P339" i="5"/>
  <c r="P340" i="5"/>
  <c r="P341" i="5"/>
  <c r="P342" i="5"/>
  <c r="P343" i="5"/>
  <c r="R343" i="5" s="1"/>
  <c r="P344" i="5"/>
  <c r="R344" i="5" s="1"/>
  <c r="P345" i="5"/>
  <c r="S345" i="5" s="1"/>
  <c r="P346" i="5"/>
  <c r="P347" i="5"/>
  <c r="P348" i="5"/>
  <c r="P349" i="5"/>
  <c r="P350" i="5"/>
  <c r="S350" i="5" s="1"/>
  <c r="P351" i="5"/>
  <c r="R351" i="5" s="1"/>
  <c r="P352" i="5"/>
  <c r="R352" i="5" s="1"/>
  <c r="P353" i="5"/>
  <c r="P354" i="5"/>
  <c r="P355" i="5"/>
  <c r="P356" i="5"/>
  <c r="P357" i="5"/>
  <c r="P358" i="5"/>
  <c r="P359" i="5"/>
  <c r="R359" i="5" s="1"/>
  <c r="P360" i="5"/>
  <c r="R360" i="5" s="1"/>
  <c r="P361" i="5"/>
  <c r="P362" i="5"/>
  <c r="P363" i="5"/>
  <c r="P364" i="5"/>
  <c r="P365" i="5"/>
  <c r="P366" i="5"/>
  <c r="S366" i="5" s="1"/>
  <c r="P367" i="5"/>
  <c r="S367" i="5" s="1"/>
  <c r="P368" i="5"/>
  <c r="R368" i="5" s="1"/>
  <c r="P369" i="5"/>
  <c r="S369" i="5" s="1"/>
  <c r="P370" i="5"/>
  <c r="P371" i="5"/>
  <c r="P372" i="5"/>
  <c r="P373" i="5"/>
  <c r="P374" i="5"/>
  <c r="P375" i="5"/>
  <c r="R375" i="5" s="1"/>
  <c r="P376" i="5"/>
  <c r="R376" i="5" s="1"/>
  <c r="P377" i="5"/>
  <c r="P378" i="5"/>
  <c r="P379" i="5"/>
  <c r="P380" i="5"/>
  <c r="P381" i="5"/>
  <c r="P382" i="5"/>
  <c r="P383" i="5"/>
  <c r="R383" i="5" s="1"/>
  <c r="P384" i="5"/>
  <c r="R384" i="5" s="1"/>
  <c r="P385" i="5"/>
  <c r="S385" i="5" s="1"/>
  <c r="P386" i="5"/>
  <c r="P387" i="5"/>
  <c r="P388" i="5"/>
  <c r="P389" i="5"/>
  <c r="P390" i="5"/>
  <c r="P391" i="5"/>
  <c r="R391" i="5" s="1"/>
  <c r="P392" i="5"/>
  <c r="R392" i="5" s="1"/>
  <c r="P393" i="5"/>
  <c r="P394" i="5"/>
  <c r="P395" i="5"/>
  <c r="P396" i="5"/>
  <c r="P397" i="5"/>
  <c r="P398" i="5"/>
  <c r="P399" i="5"/>
  <c r="R399" i="5" s="1"/>
  <c r="P400" i="5"/>
  <c r="R400" i="5" s="1"/>
  <c r="P401" i="5"/>
  <c r="S401" i="5" s="1"/>
  <c r="P402" i="5"/>
  <c r="P403" i="5"/>
  <c r="P404" i="5"/>
  <c r="P405" i="5"/>
  <c r="P406" i="5"/>
  <c r="S406" i="5" s="1"/>
  <c r="P407" i="5"/>
  <c r="S407" i="5" s="1"/>
  <c r="P408" i="5"/>
  <c r="R408" i="5" s="1"/>
  <c r="P409" i="5"/>
  <c r="P410" i="5"/>
  <c r="P411" i="5"/>
  <c r="P412" i="5"/>
  <c r="P413" i="5"/>
  <c r="P414" i="5"/>
  <c r="P415" i="5"/>
  <c r="R415" i="5" s="1"/>
  <c r="P416" i="5"/>
  <c r="R416" i="5" s="1"/>
  <c r="P417" i="5"/>
  <c r="P418" i="5"/>
  <c r="P419" i="5"/>
  <c r="P420" i="5"/>
  <c r="P421" i="5"/>
  <c r="P422" i="5"/>
  <c r="S422" i="5" s="1"/>
  <c r="P423" i="5"/>
  <c r="S423" i="5" s="1"/>
  <c r="P424" i="5"/>
  <c r="S424" i="5" s="1"/>
  <c r="P425" i="5"/>
  <c r="S425" i="5" s="1"/>
  <c r="P426" i="5"/>
  <c r="P427" i="5"/>
  <c r="P428" i="5"/>
  <c r="P429" i="5"/>
  <c r="P430" i="5"/>
  <c r="S430" i="5" s="1"/>
  <c r="P431" i="5"/>
  <c r="S431" i="5" s="1"/>
  <c r="P432" i="5"/>
  <c r="R432" i="5" s="1"/>
  <c r="P433" i="5"/>
  <c r="S433" i="5" s="1"/>
  <c r="P434" i="5"/>
  <c r="P435" i="5"/>
  <c r="P436" i="5"/>
  <c r="S436" i="5" s="1"/>
  <c r="P437" i="5"/>
  <c r="P438" i="5"/>
  <c r="S438" i="5" s="1"/>
  <c r="P439" i="5"/>
  <c r="R439" i="5" s="1"/>
  <c r="P440" i="5"/>
  <c r="R440" i="5" s="1"/>
  <c r="P441" i="5"/>
  <c r="S441" i="5" s="1"/>
  <c r="P442" i="5"/>
  <c r="P443" i="5"/>
  <c r="P444" i="5"/>
  <c r="P445" i="5"/>
  <c r="P446" i="5"/>
  <c r="S446" i="5" s="1"/>
  <c r="P447" i="5"/>
  <c r="R447" i="5" s="1"/>
  <c r="P448" i="5"/>
  <c r="R448" i="5" s="1"/>
  <c r="P449" i="5"/>
  <c r="S449" i="5" s="1"/>
  <c r="P450" i="5"/>
  <c r="P451" i="5"/>
  <c r="P452" i="5"/>
  <c r="P453" i="5"/>
  <c r="P454" i="5"/>
  <c r="S454" i="5" s="1"/>
  <c r="P455" i="5"/>
  <c r="S455" i="5" s="1"/>
  <c r="P456" i="5"/>
  <c r="R456" i="5" s="1"/>
  <c r="P457" i="5"/>
  <c r="S457" i="5" s="1"/>
  <c r="P458" i="5"/>
  <c r="P459" i="5"/>
  <c r="P460" i="5"/>
  <c r="P461" i="5"/>
  <c r="P462" i="5"/>
  <c r="S462" i="5" s="1"/>
  <c r="P463" i="5"/>
  <c r="S463" i="5" s="1"/>
  <c r="P464" i="5"/>
  <c r="R464" i="5" s="1"/>
  <c r="P465" i="5"/>
  <c r="S465" i="5" s="1"/>
  <c r="P466" i="5"/>
  <c r="P467" i="5"/>
  <c r="P468" i="5"/>
  <c r="P469" i="5"/>
  <c r="P470" i="5"/>
  <c r="S470" i="5" s="1"/>
  <c r="P471" i="5"/>
  <c r="S471" i="5" s="1"/>
  <c r="P472" i="5"/>
  <c r="R472" i="5" s="1"/>
  <c r="P473" i="5"/>
  <c r="S473" i="5" s="1"/>
  <c r="P474" i="5"/>
  <c r="P475" i="5"/>
  <c r="P476" i="5"/>
  <c r="S476" i="5" s="1"/>
  <c r="P477" i="5"/>
  <c r="P478" i="5"/>
  <c r="S478" i="5" s="1"/>
  <c r="P479" i="5"/>
  <c r="R479" i="5" s="1"/>
  <c r="P480" i="5"/>
  <c r="R480" i="5" s="1"/>
  <c r="P481" i="5"/>
  <c r="S481" i="5" s="1"/>
  <c r="P482" i="5"/>
  <c r="P483" i="5"/>
  <c r="P484" i="5"/>
  <c r="P485" i="5"/>
  <c r="P486" i="5"/>
  <c r="S486" i="5" s="1"/>
  <c r="P487" i="5"/>
  <c r="S487" i="5" s="1"/>
  <c r="P488" i="5"/>
  <c r="S488" i="5" s="1"/>
  <c r="P489" i="5"/>
  <c r="S489" i="5" s="1"/>
  <c r="P490" i="5"/>
  <c r="P491" i="5"/>
  <c r="P492" i="5"/>
  <c r="P493" i="5"/>
  <c r="P494" i="5"/>
  <c r="S494" i="5" s="1"/>
  <c r="P495" i="5"/>
  <c r="R495" i="5" s="1"/>
  <c r="P496" i="5"/>
  <c r="R496" i="5" s="1"/>
  <c r="P497" i="5"/>
  <c r="R497" i="5" s="1"/>
  <c r="P498" i="5"/>
  <c r="P499" i="5"/>
  <c r="P500" i="5"/>
  <c r="S500" i="5" s="1"/>
  <c r="P501"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M501" i="5"/>
  <c r="M500" i="5"/>
  <c r="M499" i="5"/>
  <c r="M498" i="5"/>
  <c r="M497" i="5"/>
  <c r="M496" i="5"/>
  <c r="M495" i="5"/>
  <c r="M494" i="5"/>
  <c r="M493" i="5"/>
  <c r="M492" i="5"/>
  <c r="M491" i="5"/>
  <c r="M490" i="5"/>
  <c r="M489" i="5"/>
  <c r="M488" i="5"/>
  <c r="M487" i="5"/>
  <c r="M486" i="5"/>
  <c r="M485" i="5"/>
  <c r="M484" i="5"/>
  <c r="M483" i="5"/>
  <c r="M482" i="5"/>
  <c r="M481" i="5"/>
  <c r="M480" i="5"/>
  <c r="M479" i="5"/>
  <c r="M478" i="5"/>
  <c r="M477" i="5"/>
  <c r="M476" i="5"/>
  <c r="M475" i="5"/>
  <c r="M474" i="5"/>
  <c r="M473" i="5"/>
  <c r="M472" i="5"/>
  <c r="M471" i="5"/>
  <c r="M470" i="5"/>
  <c r="M469" i="5"/>
  <c r="M468" i="5"/>
  <c r="M467" i="5"/>
  <c r="M466" i="5"/>
  <c r="M465" i="5"/>
  <c r="M464" i="5"/>
  <c r="M463" i="5"/>
  <c r="M462" i="5"/>
  <c r="M461" i="5"/>
  <c r="M460" i="5"/>
  <c r="M459" i="5"/>
  <c r="M458" i="5"/>
  <c r="M457" i="5"/>
  <c r="M456" i="5"/>
  <c r="M455" i="5"/>
  <c r="M454" i="5"/>
  <c r="M453" i="5"/>
  <c r="M452" i="5"/>
  <c r="M451" i="5"/>
  <c r="M450" i="5"/>
  <c r="M449" i="5"/>
  <c r="M448" i="5"/>
  <c r="M447" i="5"/>
  <c r="M446" i="5"/>
  <c r="M445" i="5"/>
  <c r="M444" i="5"/>
  <c r="M443" i="5"/>
  <c r="M442" i="5"/>
  <c r="M441" i="5"/>
  <c r="M440" i="5"/>
  <c r="M439" i="5"/>
  <c r="M438" i="5"/>
  <c r="M437" i="5"/>
  <c r="M436" i="5"/>
  <c r="M435" i="5"/>
  <c r="M434" i="5"/>
  <c r="M433" i="5"/>
  <c r="M432" i="5"/>
  <c r="M431" i="5"/>
  <c r="M430" i="5"/>
  <c r="M429" i="5"/>
  <c r="M428" i="5"/>
  <c r="M427" i="5"/>
  <c r="M426" i="5"/>
  <c r="M425" i="5"/>
  <c r="M424" i="5"/>
  <c r="M423" i="5"/>
  <c r="M422" i="5"/>
  <c r="M421" i="5"/>
  <c r="M420" i="5"/>
  <c r="M419" i="5"/>
  <c r="M418" i="5"/>
  <c r="M417" i="5"/>
  <c r="M416" i="5"/>
  <c r="M415" i="5"/>
  <c r="M414" i="5"/>
  <c r="M413" i="5"/>
  <c r="M412" i="5"/>
  <c r="M411" i="5"/>
  <c r="M410" i="5"/>
  <c r="M409" i="5"/>
  <c r="M408" i="5"/>
  <c r="M407" i="5"/>
  <c r="M406" i="5"/>
  <c r="M405" i="5"/>
  <c r="M404" i="5"/>
  <c r="M403" i="5"/>
  <c r="M402" i="5"/>
  <c r="M401" i="5"/>
  <c r="M400" i="5"/>
  <c r="M399" i="5"/>
  <c r="M398" i="5"/>
  <c r="M397" i="5"/>
  <c r="M396" i="5"/>
  <c r="M395" i="5"/>
  <c r="M394" i="5"/>
  <c r="M393" i="5"/>
  <c r="M392" i="5"/>
  <c r="M391" i="5"/>
  <c r="M390" i="5"/>
  <c r="M389" i="5"/>
  <c r="M388" i="5"/>
  <c r="M387" i="5"/>
  <c r="M386" i="5"/>
  <c r="M385" i="5"/>
  <c r="M384" i="5"/>
  <c r="M383" i="5"/>
  <c r="M382" i="5"/>
  <c r="M381" i="5"/>
  <c r="M380" i="5"/>
  <c r="M379" i="5"/>
  <c r="M378" i="5"/>
  <c r="M377" i="5"/>
  <c r="M376" i="5"/>
  <c r="M375" i="5"/>
  <c r="M374" i="5"/>
  <c r="M373" i="5"/>
  <c r="M372" i="5"/>
  <c r="M371" i="5"/>
  <c r="M370" i="5"/>
  <c r="M369" i="5"/>
  <c r="M368" i="5"/>
  <c r="M367" i="5"/>
  <c r="M366" i="5"/>
  <c r="M365" i="5"/>
  <c r="M364" i="5"/>
  <c r="M363" i="5"/>
  <c r="M362" i="5"/>
  <c r="M361" i="5"/>
  <c r="M360" i="5"/>
  <c r="M359" i="5"/>
  <c r="M358" i="5"/>
  <c r="M357" i="5"/>
  <c r="M356" i="5"/>
  <c r="M355" i="5"/>
  <c r="M354" i="5"/>
  <c r="M353" i="5"/>
  <c r="M352" i="5"/>
  <c r="M351" i="5"/>
  <c r="M350" i="5"/>
  <c r="M349" i="5"/>
  <c r="M348" i="5"/>
  <c r="M347" i="5"/>
  <c r="M346" i="5"/>
  <c r="M345" i="5"/>
  <c r="M344" i="5"/>
  <c r="M343" i="5"/>
  <c r="M342" i="5"/>
  <c r="M341" i="5"/>
  <c r="M340" i="5"/>
  <c r="M339" i="5"/>
  <c r="M338" i="5"/>
  <c r="M337" i="5"/>
  <c r="M336" i="5"/>
  <c r="M335" i="5"/>
  <c r="M334" i="5"/>
  <c r="M333" i="5"/>
  <c r="M332" i="5"/>
  <c r="M331" i="5"/>
  <c r="M330" i="5"/>
  <c r="M329" i="5"/>
  <c r="M328" i="5"/>
  <c r="M327" i="5"/>
  <c r="M326" i="5"/>
  <c r="M325" i="5"/>
  <c r="M324" i="5"/>
  <c r="M323" i="5"/>
  <c r="M322" i="5"/>
  <c r="M321" i="5"/>
  <c r="M320" i="5"/>
  <c r="M319" i="5"/>
  <c r="M318" i="5"/>
  <c r="M317" i="5"/>
  <c r="M316" i="5"/>
  <c r="M315" i="5"/>
  <c r="M314" i="5"/>
  <c r="M313" i="5"/>
  <c r="M312" i="5"/>
  <c r="M311" i="5"/>
  <c r="M310" i="5"/>
  <c r="M309" i="5"/>
  <c r="M308" i="5"/>
  <c r="M307" i="5"/>
  <c r="M306" i="5"/>
  <c r="M305" i="5"/>
  <c r="M304" i="5"/>
  <c r="M303" i="5"/>
  <c r="M302" i="5"/>
  <c r="M301" i="5"/>
  <c r="M300" i="5"/>
  <c r="M299" i="5"/>
  <c r="M298" i="5"/>
  <c r="M297" i="5"/>
  <c r="M296" i="5"/>
  <c r="M295" i="5"/>
  <c r="M294" i="5"/>
  <c r="M293" i="5"/>
  <c r="M292" i="5"/>
  <c r="M291" i="5"/>
  <c r="M290" i="5"/>
  <c r="M289" i="5"/>
  <c r="M288" i="5"/>
  <c r="M287" i="5"/>
  <c r="M286" i="5"/>
  <c r="M285" i="5"/>
  <c r="M284" i="5"/>
  <c r="M283" i="5"/>
  <c r="M282" i="5"/>
  <c r="M281" i="5"/>
  <c r="M280" i="5"/>
  <c r="M279" i="5"/>
  <c r="M278" i="5"/>
  <c r="M277" i="5"/>
  <c r="M276" i="5"/>
  <c r="M275" i="5"/>
  <c r="M274" i="5"/>
  <c r="M273" i="5"/>
  <c r="M272" i="5"/>
  <c r="M271" i="5"/>
  <c r="M270" i="5"/>
  <c r="M269" i="5"/>
  <c r="M268" i="5"/>
  <c r="M267" i="5"/>
  <c r="M266" i="5"/>
  <c r="M265" i="5"/>
  <c r="M264" i="5"/>
  <c r="M263" i="5"/>
  <c r="M262" i="5"/>
  <c r="M261" i="5"/>
  <c r="M260" i="5"/>
  <c r="M259" i="5"/>
  <c r="M258" i="5"/>
  <c r="M257" i="5"/>
  <c r="M256" i="5"/>
  <c r="M255" i="5"/>
  <c r="M254" i="5"/>
  <c r="M253" i="5"/>
  <c r="M252" i="5"/>
  <c r="M251" i="5"/>
  <c r="M250" i="5"/>
  <c r="M249" i="5"/>
  <c r="M248" i="5"/>
  <c r="M247" i="5"/>
  <c r="M246" i="5"/>
  <c r="M245" i="5"/>
  <c r="M244" i="5"/>
  <c r="M243" i="5"/>
  <c r="M242" i="5"/>
  <c r="M241" i="5"/>
  <c r="M240" i="5"/>
  <c r="M239" i="5"/>
  <c r="M238" i="5"/>
  <c r="M237" i="5"/>
  <c r="M236" i="5"/>
  <c r="M235" i="5"/>
  <c r="M234" i="5"/>
  <c r="M233" i="5"/>
  <c r="M232" i="5"/>
  <c r="M231" i="5"/>
  <c r="M230" i="5"/>
  <c r="M229" i="5"/>
  <c r="M228" i="5"/>
  <c r="M227" i="5"/>
  <c r="M226" i="5"/>
  <c r="M225" i="5"/>
  <c r="M224" i="5"/>
  <c r="M223" i="5"/>
  <c r="M222" i="5"/>
  <c r="M221" i="5"/>
  <c r="M220" i="5"/>
  <c r="M219" i="5"/>
  <c r="M218" i="5"/>
  <c r="M217" i="5"/>
  <c r="M216" i="5"/>
  <c r="M215" i="5"/>
  <c r="M214" i="5"/>
  <c r="M213" i="5"/>
  <c r="M212" i="5"/>
  <c r="M211" i="5"/>
  <c r="M210" i="5"/>
  <c r="M209" i="5"/>
  <c r="M208" i="5"/>
  <c r="M207" i="5"/>
  <c r="M206" i="5"/>
  <c r="M205" i="5"/>
  <c r="M204" i="5"/>
  <c r="M203" i="5"/>
  <c r="M202" i="5"/>
  <c r="M201" i="5"/>
  <c r="M200" i="5"/>
  <c r="M199" i="5"/>
  <c r="M198" i="5"/>
  <c r="M197" i="5"/>
  <c r="M196" i="5"/>
  <c r="M195" i="5"/>
  <c r="M194" i="5"/>
  <c r="M193" i="5"/>
  <c r="M192" i="5"/>
  <c r="M191" i="5"/>
  <c r="M190" i="5"/>
  <c r="M189" i="5"/>
  <c r="M188" i="5"/>
  <c r="M187" i="5"/>
  <c r="M186" i="5"/>
  <c r="M185" i="5"/>
  <c r="M184" i="5"/>
  <c r="M183" i="5"/>
  <c r="M182" i="5"/>
  <c r="M181" i="5"/>
  <c r="M180" i="5"/>
  <c r="M179" i="5"/>
  <c r="M178" i="5"/>
  <c r="M177" i="5"/>
  <c r="M176" i="5"/>
  <c r="M175" i="5"/>
  <c r="M174" i="5"/>
  <c r="M173" i="5"/>
  <c r="M172" i="5"/>
  <c r="M171" i="5"/>
  <c r="M170" i="5"/>
  <c r="M169" i="5"/>
  <c r="M168" i="5"/>
  <c r="M167" i="5"/>
  <c r="M166" i="5"/>
  <c r="M165" i="5"/>
  <c r="M164" i="5"/>
  <c r="M163" i="5"/>
  <c r="M162" i="5"/>
  <c r="M161" i="5"/>
  <c r="M160" i="5"/>
  <c r="M159" i="5"/>
  <c r="M158" i="5"/>
  <c r="M157" i="5"/>
  <c r="M156" i="5"/>
  <c r="M155" i="5"/>
  <c r="M154" i="5"/>
  <c r="M153" i="5"/>
  <c r="M152" i="5"/>
  <c r="M151" i="5"/>
  <c r="M150" i="5"/>
  <c r="M149" i="5"/>
  <c r="M148" i="5"/>
  <c r="M147" i="5"/>
  <c r="M146" i="5"/>
  <c r="M145" i="5"/>
  <c r="M144" i="5"/>
  <c r="M143" i="5"/>
  <c r="M142" i="5"/>
  <c r="M141" i="5"/>
  <c r="M140" i="5"/>
  <c r="M139" i="5"/>
  <c r="M138" i="5"/>
  <c r="M137" i="5"/>
  <c r="M136" i="5"/>
  <c r="M135" i="5"/>
  <c r="M134" i="5"/>
  <c r="M133" i="5"/>
  <c r="M132" i="5"/>
  <c r="M131" i="5"/>
  <c r="M130" i="5"/>
  <c r="M129" i="5"/>
  <c r="M128" i="5"/>
  <c r="M127" i="5"/>
  <c r="M126" i="5"/>
  <c r="M125" i="5"/>
  <c r="M124" i="5"/>
  <c r="M123" i="5"/>
  <c r="M122" i="5"/>
  <c r="M121" i="5"/>
  <c r="M120" i="5"/>
  <c r="M119" i="5"/>
  <c r="M118" i="5"/>
  <c r="M117" i="5"/>
  <c r="M116" i="5"/>
  <c r="M115" i="5"/>
  <c r="M114" i="5"/>
  <c r="M113" i="5"/>
  <c r="M112" i="5"/>
  <c r="M111" i="5"/>
  <c r="M110" i="5"/>
  <c r="M109" i="5"/>
  <c r="M108" i="5"/>
  <c r="M107" i="5"/>
  <c r="M106" i="5"/>
  <c r="M105" i="5"/>
  <c r="M104" i="5"/>
  <c r="M103" i="5"/>
  <c r="M102" i="5"/>
  <c r="M101" i="5"/>
  <c r="M100" i="5"/>
  <c r="M99" i="5"/>
  <c r="M98" i="5"/>
  <c r="M97" i="5"/>
  <c r="M96" i="5"/>
  <c r="M95" i="5"/>
  <c r="M94" i="5"/>
  <c r="M93" i="5"/>
  <c r="M92" i="5"/>
  <c r="M91" i="5"/>
  <c r="M90" i="5"/>
  <c r="M89" i="5"/>
  <c r="M88" i="5"/>
  <c r="M87" i="5"/>
  <c r="M86" i="5"/>
  <c r="M85" i="5"/>
  <c r="M84" i="5"/>
  <c r="M83" i="5"/>
  <c r="M82" i="5"/>
  <c r="M81" i="5"/>
  <c r="M80" i="5"/>
  <c r="M79" i="5"/>
  <c r="M78" i="5"/>
  <c r="M77" i="5"/>
  <c r="M76" i="5"/>
  <c r="M75" i="5"/>
  <c r="M74" i="5"/>
  <c r="M73" i="5"/>
  <c r="M72" i="5"/>
  <c r="M71" i="5"/>
  <c r="M70" i="5"/>
  <c r="M69" i="5"/>
  <c r="M68" i="5"/>
  <c r="M67" i="5"/>
  <c r="M66" i="5"/>
  <c r="M65" i="5"/>
  <c r="M64" i="5"/>
  <c r="M63" i="5"/>
  <c r="M62" i="5"/>
  <c r="M61" i="5"/>
  <c r="M60" i="5"/>
  <c r="M59" i="5"/>
  <c r="M58" i="5"/>
  <c r="M57"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M3" i="5"/>
  <c r="M2" i="5"/>
  <c r="M8" i="2"/>
  <c r="M2" i="2"/>
  <c r="M497" i="2"/>
  <c r="M496" i="2"/>
  <c r="M490" i="2"/>
  <c r="M489" i="2"/>
  <c r="M488" i="2"/>
  <c r="M487" i="2"/>
  <c r="M486" i="2"/>
  <c r="M479" i="2"/>
  <c r="M478" i="2"/>
  <c r="M474" i="2"/>
  <c r="M473" i="2"/>
  <c r="M472" i="2"/>
  <c r="M471" i="2"/>
  <c r="M470" i="2"/>
  <c r="M465" i="2"/>
  <c r="M464" i="2"/>
  <c r="M463" i="2"/>
  <c r="M462" i="2"/>
  <c r="M458" i="2"/>
  <c r="M457" i="2"/>
  <c r="M455" i="2"/>
  <c r="M454" i="2"/>
  <c r="M449" i="2"/>
  <c r="M448" i="2"/>
  <c r="M447" i="2"/>
  <c r="M446" i="2"/>
  <c r="M442" i="2"/>
  <c r="M441" i="2"/>
  <c r="M440" i="2"/>
  <c r="M439" i="2"/>
  <c r="M438" i="2"/>
  <c r="M426" i="2"/>
  <c r="M425" i="2"/>
  <c r="M424" i="2"/>
  <c r="M423" i="2"/>
  <c r="M422" i="2"/>
  <c r="M416" i="2"/>
  <c r="M415" i="2"/>
  <c r="M414" i="2"/>
  <c r="M409" i="2"/>
  <c r="M408" i="2"/>
  <c r="M407" i="2"/>
  <c r="M406" i="2"/>
  <c r="M403" i="2"/>
  <c r="M398" i="2"/>
  <c r="M393" i="2"/>
  <c r="M392" i="2"/>
  <c r="M391" i="2"/>
  <c r="M390" i="2"/>
  <c r="M387" i="2"/>
  <c r="M386" i="2"/>
  <c r="M385" i="2"/>
  <c r="M384" i="2"/>
  <c r="M383" i="2"/>
  <c r="M382" i="2"/>
  <c r="M377" i="2"/>
  <c r="M376" i="2"/>
  <c r="M375" i="2"/>
  <c r="M374" i="2"/>
  <c r="M371" i="2"/>
  <c r="M370" i="2"/>
  <c r="M369" i="2"/>
  <c r="M368" i="2"/>
  <c r="M366" i="2"/>
  <c r="M361" i="2"/>
  <c r="M360" i="2"/>
  <c r="M359" i="2"/>
  <c r="M358" i="2"/>
  <c r="M355" i="2"/>
  <c r="M354" i="2"/>
  <c r="M353" i="2"/>
  <c r="M352" i="2"/>
  <c r="M351" i="2"/>
  <c r="M350" i="2"/>
  <c r="M345" i="2"/>
  <c r="M342" i="2"/>
  <c r="M338" i="2"/>
  <c r="M337" i="2"/>
  <c r="M336" i="2"/>
  <c r="M335" i="2"/>
  <c r="M334" i="2"/>
  <c r="M329" i="2"/>
  <c r="M328" i="2"/>
  <c r="M327" i="2"/>
  <c r="M326" i="2"/>
  <c r="M322" i="2"/>
  <c r="M321" i="2"/>
  <c r="M320" i="2"/>
  <c r="M319" i="2"/>
  <c r="M318" i="2"/>
  <c r="M312" i="2"/>
  <c r="M311" i="2"/>
  <c r="M310" i="2"/>
  <c r="M307" i="2"/>
  <c r="M306" i="2"/>
  <c r="M305" i="2"/>
  <c r="M304" i="2"/>
  <c r="M303" i="2"/>
  <c r="M302" i="2"/>
  <c r="M297" i="2"/>
  <c r="M296" i="2"/>
  <c r="M295" i="2"/>
  <c r="M294" i="2"/>
  <c r="M290" i="2"/>
  <c r="M288" i="2"/>
  <c r="M287" i="2"/>
  <c r="M286" i="2"/>
  <c r="M278" i="2"/>
  <c r="M273" i="2"/>
  <c r="M272" i="2"/>
  <c r="M271" i="2"/>
  <c r="M270" i="2"/>
  <c r="M266" i="2"/>
  <c r="M265" i="2"/>
  <c r="M264" i="2"/>
  <c r="M263" i="2"/>
  <c r="M262" i="2"/>
  <c r="M257" i="2"/>
  <c r="M256" i="2"/>
  <c r="M254" i="2"/>
  <c r="M250" i="2"/>
  <c r="M248" i="2"/>
  <c r="M247" i="2"/>
  <c r="M246" i="2"/>
  <c r="M243" i="2"/>
  <c r="M241" i="2"/>
  <c r="M240" i="2"/>
  <c r="M239" i="2"/>
  <c r="M238" i="2"/>
  <c r="M233" i="2"/>
  <c r="M232" i="2"/>
  <c r="M231" i="2"/>
  <c r="M230" i="2"/>
  <c r="M226" i="2"/>
  <c r="M225" i="2"/>
  <c r="M223" i="2"/>
  <c r="M222" i="2"/>
  <c r="M217" i="2"/>
  <c r="M216" i="2"/>
  <c r="M215" i="2"/>
  <c r="M214" i="2"/>
  <c r="M210" i="2"/>
  <c r="M209" i="2"/>
  <c r="M208" i="2"/>
  <c r="M203" i="2"/>
  <c r="M202" i="2"/>
  <c r="M201" i="2"/>
  <c r="M200" i="2"/>
  <c r="M199" i="2"/>
  <c r="M198" i="2"/>
  <c r="M192" i="2"/>
  <c r="M191" i="2"/>
  <c r="M190" i="2"/>
  <c r="M185" i="2"/>
  <c r="M184" i="2"/>
  <c r="M183" i="2"/>
  <c r="M182" i="2"/>
  <c r="M177" i="2"/>
  <c r="M175" i="2"/>
  <c r="M174" i="2"/>
  <c r="M169" i="2"/>
  <c r="M168" i="2"/>
  <c r="M167" i="2"/>
  <c r="M166" i="2"/>
  <c r="M163" i="2"/>
  <c r="M160" i="2"/>
  <c r="M159" i="2"/>
  <c r="M158" i="2"/>
  <c r="M154" i="2"/>
  <c r="M153" i="2"/>
  <c r="M143" i="2"/>
  <c r="M142" i="2"/>
  <c r="M137" i="2"/>
  <c r="M136" i="2"/>
  <c r="M135" i="2"/>
  <c r="M134" i="2"/>
  <c r="M131" i="2"/>
  <c r="M129" i="2"/>
  <c r="M128" i="2"/>
  <c r="M127" i="2"/>
  <c r="M126" i="2"/>
  <c r="M121" i="2"/>
  <c r="M120" i="2"/>
  <c r="M119" i="2"/>
  <c r="M118" i="2"/>
  <c r="M112" i="2"/>
  <c r="M111" i="2"/>
  <c r="M110" i="2"/>
  <c r="M105" i="2"/>
  <c r="M104" i="2"/>
  <c r="M103" i="2"/>
  <c r="M102" i="2"/>
  <c r="M98" i="2"/>
  <c r="M97" i="2"/>
  <c r="M96" i="2"/>
  <c r="M95" i="2"/>
  <c r="M94" i="2"/>
  <c r="M89" i="2"/>
  <c r="M88" i="2"/>
  <c r="M81" i="2"/>
  <c r="M80" i="2"/>
  <c r="M79" i="2"/>
  <c r="M78" i="2"/>
  <c r="M73" i="2"/>
  <c r="M72" i="2"/>
  <c r="M71" i="2"/>
  <c r="M70" i="2"/>
  <c r="M66" i="2"/>
  <c r="M65" i="2"/>
  <c r="M62" i="2"/>
  <c r="M59" i="2"/>
  <c r="M58" i="2"/>
  <c r="M55" i="2"/>
  <c r="M54" i="2"/>
  <c r="M48" i="2"/>
  <c r="M46" i="2"/>
  <c r="M42" i="2"/>
  <c r="M41" i="2"/>
  <c r="M40" i="2"/>
  <c r="M39" i="2"/>
  <c r="M38" i="2"/>
  <c r="M33" i="2"/>
  <c r="M32" i="2"/>
  <c r="M31" i="2"/>
  <c r="M30" i="2"/>
  <c r="M27" i="2"/>
  <c r="M26" i="2"/>
  <c r="M25" i="2"/>
  <c r="M24" i="2"/>
  <c r="M23" i="2"/>
  <c r="M22" i="2"/>
  <c r="M19" i="2"/>
  <c r="M16" i="2"/>
  <c r="M15" i="2"/>
  <c r="M14" i="2"/>
  <c r="M9" i="2"/>
  <c r="M7" i="2"/>
  <c r="M6" i="2"/>
  <c r="M10" i="2"/>
  <c r="M11" i="2"/>
  <c r="M17" i="2"/>
  <c r="M18" i="2"/>
  <c r="M34" i="2"/>
  <c r="M35" i="2"/>
  <c r="M43" i="2"/>
  <c r="M50" i="2"/>
  <c r="M51" i="2"/>
  <c r="M56" i="2"/>
  <c r="M57" i="2"/>
  <c r="M61" i="2"/>
  <c r="M67" i="2"/>
  <c r="M74" i="2"/>
  <c r="M75" i="2"/>
  <c r="M77" i="2"/>
  <c r="M82" i="2"/>
  <c r="M83" i="2"/>
  <c r="M90" i="2"/>
  <c r="M91" i="2"/>
  <c r="M99" i="2"/>
  <c r="M106" i="2"/>
  <c r="M107" i="2"/>
  <c r="M113" i="2"/>
  <c r="M114" i="2"/>
  <c r="M122" i="2"/>
  <c r="M123" i="2"/>
  <c r="M130" i="2"/>
  <c r="M138" i="2"/>
  <c r="M139" i="2"/>
  <c r="M144" i="2"/>
  <c r="M146" i="2"/>
  <c r="M147" i="2"/>
  <c r="M149" i="2"/>
  <c r="M155" i="2"/>
  <c r="M161" i="2"/>
  <c r="M162" i="2"/>
  <c r="M171" i="2"/>
  <c r="M173" i="2"/>
  <c r="M178" i="2"/>
  <c r="M179" i="2"/>
  <c r="M187" i="2"/>
  <c r="M189" i="2"/>
  <c r="M193" i="2"/>
  <c r="M194" i="2"/>
  <c r="M195" i="2"/>
  <c r="M211" i="2"/>
  <c r="M218" i="2"/>
  <c r="M219" i="2"/>
  <c r="M224" i="2"/>
  <c r="M227" i="2"/>
  <c r="M234" i="2"/>
  <c r="M235" i="2"/>
  <c r="M251" i="2"/>
  <c r="M253" i="2"/>
  <c r="M255" i="2"/>
  <c r="M258" i="2"/>
  <c r="M259" i="2"/>
  <c r="M267" i="2"/>
  <c r="M274" i="2"/>
  <c r="M275" i="2"/>
  <c r="M282" i="2"/>
  <c r="M283" i="2"/>
  <c r="M285" i="2"/>
  <c r="M291" i="2"/>
  <c r="M298" i="2"/>
  <c r="M299" i="2"/>
  <c r="M313" i="2"/>
  <c r="M314" i="2"/>
  <c r="M315" i="2"/>
  <c r="M317" i="2"/>
  <c r="M323" i="2"/>
  <c r="M325" i="2"/>
  <c r="M330" i="2"/>
  <c r="M331" i="2"/>
  <c r="M339" i="2"/>
  <c r="M346" i="2"/>
  <c r="M347" i="2"/>
  <c r="M357" i="2"/>
  <c r="M362" i="2"/>
  <c r="M363" i="2"/>
  <c r="M367" i="2"/>
  <c r="M378" i="2"/>
  <c r="M379" i="2"/>
  <c r="M394" i="2"/>
  <c r="M395" i="2"/>
  <c r="M399" i="2"/>
  <c r="M400" i="2"/>
  <c r="M402" i="2"/>
  <c r="M410" i="2"/>
  <c r="M411" i="2"/>
  <c r="M421" i="2"/>
  <c r="M427" i="2"/>
  <c r="M434" i="2"/>
  <c r="M435" i="2"/>
  <c r="M443" i="2"/>
  <c r="M450" i="2"/>
  <c r="M451" i="2"/>
  <c r="M456" i="2"/>
  <c r="M459" i="2"/>
  <c r="M466" i="2"/>
  <c r="M467" i="2"/>
  <c r="M469" i="2"/>
  <c r="M475" i="2"/>
  <c r="M480" i="2"/>
  <c r="M481" i="2"/>
  <c r="M482" i="2"/>
  <c r="M483" i="2"/>
  <c r="M491" i="2"/>
  <c r="M498" i="2"/>
  <c r="M499" i="2"/>
  <c r="M495" i="2"/>
  <c r="M494" i="2"/>
  <c r="M432" i="2"/>
  <c r="M431" i="2"/>
  <c r="M430" i="2"/>
  <c r="M344" i="2"/>
  <c r="M343" i="2"/>
  <c r="M281" i="2"/>
  <c r="M280" i="2"/>
  <c r="M279" i="2"/>
  <c r="M207" i="2"/>
  <c r="M206" i="2"/>
  <c r="M186" i="2"/>
  <c r="M152" i="2"/>
  <c r="M151" i="2"/>
  <c r="M150" i="2"/>
  <c r="M87" i="2"/>
  <c r="M86" i="2"/>
  <c r="M49" i="2"/>
  <c r="M47" i="2"/>
  <c r="M29" i="2"/>
  <c r="M63" i="2"/>
  <c r="M64" i="2"/>
  <c r="M109" i="2"/>
  <c r="M125" i="2"/>
  <c r="M145" i="2"/>
  <c r="M165" i="2"/>
  <c r="M170" i="2"/>
  <c r="M176" i="2"/>
  <c r="M205" i="2"/>
  <c r="M242" i="2"/>
  <c r="M249" i="2"/>
  <c r="M289" i="2"/>
  <c r="M293" i="2"/>
  <c r="M309" i="2"/>
  <c r="M373" i="2"/>
  <c r="M389" i="2"/>
  <c r="M401" i="2"/>
  <c r="M417" i="2"/>
  <c r="M418" i="2"/>
  <c r="M477" i="2"/>
  <c r="M433" i="2"/>
  <c r="M3" i="2"/>
  <c r="M4" i="2"/>
  <c r="M5" i="2"/>
  <c r="M12" i="2"/>
  <c r="M13" i="2"/>
  <c r="M20" i="2"/>
  <c r="M21" i="2"/>
  <c r="M28" i="2"/>
  <c r="M36" i="2"/>
  <c r="M37" i="2"/>
  <c r="M44" i="2"/>
  <c r="M45" i="2"/>
  <c r="M52" i="2"/>
  <c r="M53" i="2"/>
  <c r="M60" i="2"/>
  <c r="M68" i="2"/>
  <c r="M69" i="2"/>
  <c r="M76" i="2"/>
  <c r="M84" i="2"/>
  <c r="M85" i="2"/>
  <c r="M92" i="2"/>
  <c r="M93" i="2"/>
  <c r="M100" i="2"/>
  <c r="M101" i="2"/>
  <c r="M108" i="2"/>
  <c r="M115" i="2"/>
  <c r="M116" i="2"/>
  <c r="M117" i="2"/>
  <c r="M124" i="2"/>
  <c r="M132" i="2"/>
  <c r="M133" i="2"/>
  <c r="M140" i="2"/>
  <c r="M141" i="2"/>
  <c r="M148" i="2"/>
  <c r="M156" i="2"/>
  <c r="M157" i="2"/>
  <c r="M164" i="2"/>
  <c r="M172" i="2"/>
  <c r="M180" i="2"/>
  <c r="M181" i="2"/>
  <c r="M188" i="2"/>
  <c r="M196" i="2"/>
  <c r="M197" i="2"/>
  <c r="M204" i="2"/>
  <c r="M212" i="2"/>
  <c r="M213" i="2"/>
  <c r="M220" i="2"/>
  <c r="M221" i="2"/>
  <c r="M228" i="2"/>
  <c r="M229" i="2"/>
  <c r="M236" i="2"/>
  <c r="M237" i="2"/>
  <c r="M244" i="2"/>
  <c r="M245" i="2"/>
  <c r="M252" i="2"/>
  <c r="M260" i="2"/>
  <c r="M261" i="2"/>
  <c r="M268" i="2"/>
  <c r="M269" i="2"/>
  <c r="M276" i="2"/>
  <c r="M277" i="2"/>
  <c r="M284" i="2"/>
  <c r="M292" i="2"/>
  <c r="M300" i="2"/>
  <c r="M301" i="2"/>
  <c r="M308" i="2"/>
  <c r="M316" i="2"/>
  <c r="M324" i="2"/>
  <c r="M332" i="2"/>
  <c r="M333" i="2"/>
  <c r="M340" i="2"/>
  <c r="M341" i="2"/>
  <c r="M348" i="2"/>
  <c r="M349" i="2"/>
  <c r="M356" i="2"/>
  <c r="M364" i="2"/>
  <c r="M365" i="2"/>
  <c r="M372" i="2"/>
  <c r="M380" i="2"/>
  <c r="M381" i="2"/>
  <c r="M388" i="2"/>
  <c r="M396" i="2"/>
  <c r="M397" i="2"/>
  <c r="M404" i="2"/>
  <c r="M405" i="2"/>
  <c r="M412" i="2"/>
  <c r="M413" i="2"/>
  <c r="M419" i="2"/>
  <c r="M420" i="2"/>
  <c r="M428" i="2"/>
  <c r="M429" i="2"/>
  <c r="M436" i="2"/>
  <c r="M437" i="2"/>
  <c r="M444" i="2"/>
  <c r="M445" i="2"/>
  <c r="M452" i="2"/>
  <c r="M453" i="2"/>
  <c r="M460" i="2"/>
  <c r="M461" i="2"/>
  <c r="M468" i="2"/>
  <c r="M476" i="2"/>
  <c r="M484" i="2"/>
  <c r="M485" i="2"/>
  <c r="M492" i="2"/>
  <c r="M493" i="2"/>
  <c r="M500" i="2"/>
  <c r="M5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K7" i="11"/>
  <c r="P502" i="5" l="1"/>
  <c r="S312" i="5"/>
  <c r="S280" i="5"/>
  <c r="R449" i="5"/>
  <c r="R257" i="5"/>
  <c r="R143" i="5"/>
  <c r="R71" i="5"/>
  <c r="S479" i="5"/>
  <c r="R473" i="5"/>
  <c r="R17" i="5"/>
  <c r="S184" i="5"/>
  <c r="S160" i="5"/>
  <c r="S440" i="5"/>
  <c r="S128" i="5"/>
  <c r="R201" i="5"/>
  <c r="S408" i="5"/>
  <c r="S96" i="5"/>
  <c r="S351" i="5"/>
  <c r="S88" i="5"/>
  <c r="S223" i="5"/>
  <c r="R489" i="5"/>
  <c r="R436" i="5"/>
  <c r="R255" i="5"/>
  <c r="R111" i="5"/>
  <c r="S472" i="5"/>
  <c r="S344" i="5"/>
  <c r="S216" i="5"/>
  <c r="S127" i="5"/>
  <c r="S32" i="5"/>
  <c r="R488" i="5"/>
  <c r="R433" i="5"/>
  <c r="R72" i="5"/>
  <c r="S447" i="5"/>
  <c r="S319" i="5"/>
  <c r="S192" i="5"/>
  <c r="S120" i="5"/>
  <c r="S31" i="5"/>
  <c r="S24" i="5"/>
  <c r="S95" i="5"/>
  <c r="S287" i="5"/>
  <c r="R463" i="5"/>
  <c r="R366" i="5"/>
  <c r="R167" i="5"/>
  <c r="R39" i="5"/>
  <c r="S64" i="5"/>
  <c r="R407" i="5"/>
  <c r="S191" i="5"/>
  <c r="R471" i="5"/>
  <c r="R367" i="5"/>
  <c r="S415" i="5"/>
  <c r="R455" i="5"/>
  <c r="R311" i="5"/>
  <c r="R166" i="5"/>
  <c r="S383" i="5"/>
  <c r="S159" i="5"/>
  <c r="R454" i="5"/>
  <c r="R271" i="5"/>
  <c r="R161" i="5"/>
  <c r="R15" i="5"/>
  <c r="S376" i="5"/>
  <c r="S248" i="5"/>
  <c r="S152" i="5"/>
  <c r="S63" i="5"/>
  <c r="R21" i="5"/>
  <c r="S21" i="5"/>
  <c r="R414" i="5"/>
  <c r="S414" i="5"/>
  <c r="R398" i="5"/>
  <c r="S398" i="5"/>
  <c r="R390" i="5"/>
  <c r="S390" i="5"/>
  <c r="S382" i="5"/>
  <c r="R382" i="5"/>
  <c r="R374" i="5"/>
  <c r="S374" i="5"/>
  <c r="R358" i="5"/>
  <c r="S358" i="5"/>
  <c r="R342" i="5"/>
  <c r="S342" i="5"/>
  <c r="R334" i="5"/>
  <c r="S334" i="5"/>
  <c r="S326" i="5"/>
  <c r="R326" i="5"/>
  <c r="R318" i="5"/>
  <c r="S318" i="5"/>
  <c r="R302" i="5"/>
  <c r="S302" i="5"/>
  <c r="R286" i="5"/>
  <c r="S286" i="5"/>
  <c r="S270" i="5"/>
  <c r="R270" i="5"/>
  <c r="R262" i="5"/>
  <c r="S262" i="5"/>
  <c r="R246" i="5"/>
  <c r="S246" i="5"/>
  <c r="R230" i="5"/>
  <c r="S230" i="5"/>
  <c r="R214" i="5"/>
  <c r="S214" i="5"/>
  <c r="R206" i="5"/>
  <c r="S206" i="5"/>
  <c r="S198" i="5"/>
  <c r="R198" i="5"/>
  <c r="R190" i="5"/>
  <c r="S190" i="5"/>
  <c r="R174" i="5"/>
  <c r="S174" i="5"/>
  <c r="R158" i="5"/>
  <c r="S158" i="5"/>
  <c r="S142" i="5"/>
  <c r="R142" i="5"/>
  <c r="R134" i="5"/>
  <c r="S134" i="5"/>
  <c r="R118" i="5"/>
  <c r="S118" i="5"/>
  <c r="R102" i="5"/>
  <c r="S102" i="5"/>
  <c r="R86" i="5"/>
  <c r="S86" i="5"/>
  <c r="R78" i="5"/>
  <c r="S78" i="5"/>
  <c r="S70" i="5"/>
  <c r="R70" i="5"/>
  <c r="R62" i="5"/>
  <c r="S62" i="5"/>
  <c r="R46" i="5"/>
  <c r="S46" i="5"/>
  <c r="R30" i="5"/>
  <c r="S30" i="5"/>
  <c r="S14" i="5"/>
  <c r="R14" i="5"/>
  <c r="R6" i="5"/>
  <c r="S6" i="5"/>
  <c r="R494" i="5"/>
  <c r="R476" i="5"/>
  <c r="R438" i="5"/>
  <c r="R422" i="5"/>
  <c r="R217" i="5"/>
  <c r="R126" i="5"/>
  <c r="R22" i="5"/>
  <c r="S480" i="5"/>
  <c r="S448" i="5"/>
  <c r="S416" i="5"/>
  <c r="S384" i="5"/>
  <c r="S352" i="5"/>
  <c r="S320" i="5"/>
  <c r="S288" i="5"/>
  <c r="S256" i="5"/>
  <c r="S224" i="5"/>
  <c r="R499" i="5"/>
  <c r="S499" i="5"/>
  <c r="R491" i="5"/>
  <c r="S491" i="5"/>
  <c r="R483" i="5"/>
  <c r="S483" i="5"/>
  <c r="R475" i="5"/>
  <c r="S475" i="5"/>
  <c r="R467" i="5"/>
  <c r="S467" i="5"/>
  <c r="R459" i="5"/>
  <c r="S459" i="5"/>
  <c r="R451" i="5"/>
  <c r="S451" i="5"/>
  <c r="R443" i="5"/>
  <c r="S443" i="5"/>
  <c r="R435" i="5"/>
  <c r="S435" i="5"/>
  <c r="R427" i="5"/>
  <c r="S427" i="5"/>
  <c r="R419" i="5"/>
  <c r="S419" i="5"/>
  <c r="R411" i="5"/>
  <c r="S411" i="5"/>
  <c r="R403" i="5"/>
  <c r="S403" i="5"/>
  <c r="R395" i="5"/>
  <c r="S395" i="5"/>
  <c r="R387" i="5"/>
  <c r="S387" i="5"/>
  <c r="R379" i="5"/>
  <c r="S379" i="5"/>
  <c r="R371" i="5"/>
  <c r="S371" i="5"/>
  <c r="R363" i="5"/>
  <c r="S363" i="5"/>
  <c r="R355" i="5"/>
  <c r="S355" i="5"/>
  <c r="R347" i="5"/>
  <c r="S347" i="5"/>
  <c r="R339" i="5"/>
  <c r="S339" i="5"/>
  <c r="R331" i="5"/>
  <c r="S331" i="5"/>
  <c r="R323" i="5"/>
  <c r="S323" i="5"/>
  <c r="R315" i="5"/>
  <c r="S315" i="5"/>
  <c r="R307" i="5"/>
  <c r="S307" i="5"/>
  <c r="R299" i="5"/>
  <c r="S299" i="5"/>
  <c r="R291" i="5"/>
  <c r="S291" i="5"/>
  <c r="R283" i="5"/>
  <c r="S283" i="5"/>
  <c r="R275" i="5"/>
  <c r="S275" i="5"/>
  <c r="R267" i="5"/>
  <c r="S267" i="5"/>
  <c r="R259" i="5"/>
  <c r="S259" i="5"/>
  <c r="R251" i="5"/>
  <c r="S251" i="5"/>
  <c r="R243" i="5"/>
  <c r="S243" i="5"/>
  <c r="R235" i="5"/>
  <c r="S235" i="5"/>
  <c r="R227" i="5"/>
  <c r="S227" i="5"/>
  <c r="R219" i="5"/>
  <c r="S219" i="5"/>
  <c r="R211" i="5"/>
  <c r="S211" i="5"/>
  <c r="R203" i="5"/>
  <c r="S203" i="5"/>
  <c r="R195" i="5"/>
  <c r="S195" i="5"/>
  <c r="R187" i="5"/>
  <c r="S187" i="5"/>
  <c r="R179" i="5"/>
  <c r="S179" i="5"/>
  <c r="R171" i="5"/>
  <c r="S171" i="5"/>
  <c r="R163" i="5"/>
  <c r="S163" i="5"/>
  <c r="R155" i="5"/>
  <c r="S155" i="5"/>
  <c r="R147" i="5"/>
  <c r="S147" i="5"/>
  <c r="R139" i="5"/>
  <c r="S139" i="5"/>
  <c r="R131" i="5"/>
  <c r="S131" i="5"/>
  <c r="R123" i="5"/>
  <c r="S123" i="5"/>
  <c r="R115" i="5"/>
  <c r="S115" i="5"/>
  <c r="R107" i="5"/>
  <c r="S107" i="5"/>
  <c r="R99" i="5"/>
  <c r="S99" i="5"/>
  <c r="R91" i="5"/>
  <c r="S91" i="5"/>
  <c r="R83" i="5"/>
  <c r="S83" i="5"/>
  <c r="R75" i="5"/>
  <c r="S75" i="5"/>
  <c r="R67" i="5"/>
  <c r="S67" i="5"/>
  <c r="R59" i="5"/>
  <c r="S59" i="5"/>
  <c r="R51" i="5"/>
  <c r="S51" i="5"/>
  <c r="R43" i="5"/>
  <c r="S43" i="5"/>
  <c r="R35" i="5"/>
  <c r="S35" i="5"/>
  <c r="R27" i="5"/>
  <c r="S27" i="5"/>
  <c r="R19" i="5"/>
  <c r="S19" i="5"/>
  <c r="R11" i="5"/>
  <c r="S11" i="5"/>
  <c r="R3" i="5"/>
  <c r="S3" i="5"/>
  <c r="R487" i="5"/>
  <c r="R470" i="5"/>
  <c r="R431" i="5"/>
  <c r="R401" i="5"/>
  <c r="R345" i="5"/>
  <c r="R295" i="5"/>
  <c r="R254" i="5"/>
  <c r="R200" i="5"/>
  <c r="R150" i="5"/>
  <c r="R105" i="5"/>
  <c r="R55" i="5"/>
  <c r="S497" i="5"/>
  <c r="S439" i="5"/>
  <c r="S375" i="5"/>
  <c r="S343" i="5"/>
  <c r="S279" i="5"/>
  <c r="S247" i="5"/>
  <c r="S215" i="5"/>
  <c r="S183" i="5"/>
  <c r="S151" i="5"/>
  <c r="S119" i="5"/>
  <c r="S87" i="5"/>
  <c r="S23" i="5"/>
  <c r="R36" i="5"/>
  <c r="S36" i="5"/>
  <c r="R28" i="5"/>
  <c r="S28" i="5"/>
  <c r="R20" i="5"/>
  <c r="S20" i="5"/>
  <c r="R12" i="5"/>
  <c r="S12" i="5"/>
  <c r="R4" i="5"/>
  <c r="S4" i="5"/>
  <c r="R406" i="5"/>
  <c r="R350" i="5"/>
  <c r="R310" i="5"/>
  <c r="R110" i="5"/>
  <c r="R498" i="5"/>
  <c r="S498" i="5"/>
  <c r="R490" i="5"/>
  <c r="S490" i="5"/>
  <c r="R482" i="5"/>
  <c r="S482" i="5"/>
  <c r="R474" i="5"/>
  <c r="S474" i="5"/>
  <c r="R466" i="5"/>
  <c r="S466" i="5"/>
  <c r="R458" i="5"/>
  <c r="S458" i="5"/>
  <c r="R450" i="5"/>
  <c r="S450" i="5"/>
  <c r="R442" i="5"/>
  <c r="S442" i="5"/>
  <c r="R434" i="5"/>
  <c r="S434" i="5"/>
  <c r="R426" i="5"/>
  <c r="S426" i="5"/>
  <c r="R418" i="5"/>
  <c r="S418" i="5"/>
  <c r="R410" i="5"/>
  <c r="S410" i="5"/>
  <c r="R402" i="5"/>
  <c r="S402" i="5"/>
  <c r="R394" i="5"/>
  <c r="S394" i="5"/>
  <c r="R386" i="5"/>
  <c r="S386" i="5"/>
  <c r="R378" i="5"/>
  <c r="S378" i="5"/>
  <c r="R370" i="5"/>
  <c r="S370" i="5"/>
  <c r="R362" i="5"/>
  <c r="S362" i="5"/>
  <c r="R354" i="5"/>
  <c r="S354" i="5"/>
  <c r="R346" i="5"/>
  <c r="S346" i="5"/>
  <c r="R338" i="5"/>
  <c r="S338" i="5"/>
  <c r="R330" i="5"/>
  <c r="S330" i="5"/>
  <c r="R322" i="5"/>
  <c r="S322" i="5"/>
  <c r="R314" i="5"/>
  <c r="S314" i="5"/>
  <c r="R306" i="5"/>
  <c r="S306" i="5"/>
  <c r="R298" i="5"/>
  <c r="S298" i="5"/>
  <c r="R290" i="5"/>
  <c r="S290" i="5"/>
  <c r="R282" i="5"/>
  <c r="S282" i="5"/>
  <c r="R274" i="5"/>
  <c r="S274" i="5"/>
  <c r="R266" i="5"/>
  <c r="S266" i="5"/>
  <c r="R258" i="5"/>
  <c r="S258" i="5"/>
  <c r="R250" i="5"/>
  <c r="S250" i="5"/>
  <c r="R242" i="5"/>
  <c r="S242" i="5"/>
  <c r="R234" i="5"/>
  <c r="S234" i="5"/>
  <c r="R226" i="5"/>
  <c r="S226" i="5"/>
  <c r="R218" i="5"/>
  <c r="S218" i="5"/>
  <c r="R210" i="5"/>
  <c r="S210" i="5"/>
  <c r="R202" i="5"/>
  <c r="S202" i="5"/>
  <c r="R194" i="5"/>
  <c r="S194" i="5"/>
  <c r="R186" i="5"/>
  <c r="S186" i="5"/>
  <c r="R178" i="5"/>
  <c r="S178" i="5"/>
  <c r="R170" i="5"/>
  <c r="S170" i="5"/>
  <c r="R162" i="5"/>
  <c r="S162" i="5"/>
  <c r="R154" i="5"/>
  <c r="S154" i="5"/>
  <c r="R146" i="5"/>
  <c r="S146" i="5"/>
  <c r="R138" i="5"/>
  <c r="S138" i="5"/>
  <c r="R130" i="5"/>
  <c r="S130" i="5"/>
  <c r="R122" i="5"/>
  <c r="S122" i="5"/>
  <c r="R114" i="5"/>
  <c r="S114" i="5"/>
  <c r="R106" i="5"/>
  <c r="S106" i="5"/>
  <c r="R98" i="5"/>
  <c r="S98" i="5"/>
  <c r="R90" i="5"/>
  <c r="S90" i="5"/>
  <c r="R82" i="5"/>
  <c r="S82" i="5"/>
  <c r="R74" i="5"/>
  <c r="S74" i="5"/>
  <c r="R66" i="5"/>
  <c r="S66" i="5"/>
  <c r="R58" i="5"/>
  <c r="S58" i="5"/>
  <c r="R50" i="5"/>
  <c r="S50" i="5"/>
  <c r="R42" i="5"/>
  <c r="S42" i="5"/>
  <c r="R34" i="5"/>
  <c r="S34" i="5"/>
  <c r="R26" i="5"/>
  <c r="S26" i="5"/>
  <c r="R18" i="5"/>
  <c r="S18" i="5"/>
  <c r="R10" i="5"/>
  <c r="S10" i="5"/>
  <c r="R2" i="5"/>
  <c r="S2" i="5"/>
  <c r="R486" i="5"/>
  <c r="R465" i="5"/>
  <c r="R430" i="5"/>
  <c r="R385" i="5"/>
  <c r="R294" i="5"/>
  <c r="R239" i="5"/>
  <c r="R199" i="5"/>
  <c r="R145" i="5"/>
  <c r="R94" i="5"/>
  <c r="R54" i="5"/>
  <c r="S496" i="5"/>
  <c r="S464" i="5"/>
  <c r="S432" i="5"/>
  <c r="S400" i="5"/>
  <c r="S368" i="5"/>
  <c r="S336" i="5"/>
  <c r="S304" i="5"/>
  <c r="S272" i="5"/>
  <c r="S240" i="5"/>
  <c r="S208" i="5"/>
  <c r="S176" i="5"/>
  <c r="S144" i="5"/>
  <c r="S112" i="5"/>
  <c r="S80" i="5"/>
  <c r="S48" i="5"/>
  <c r="S16" i="5"/>
  <c r="R477" i="5"/>
  <c r="S477" i="5"/>
  <c r="R461" i="5"/>
  <c r="S461" i="5"/>
  <c r="R429" i="5"/>
  <c r="S429" i="5"/>
  <c r="R405" i="5"/>
  <c r="S405" i="5"/>
  <c r="R381" i="5"/>
  <c r="S381" i="5"/>
  <c r="R357" i="5"/>
  <c r="S357" i="5"/>
  <c r="R341" i="5"/>
  <c r="S341" i="5"/>
  <c r="R301" i="5"/>
  <c r="S301" i="5"/>
  <c r="R277" i="5"/>
  <c r="S277" i="5"/>
  <c r="R253" i="5"/>
  <c r="S253" i="5"/>
  <c r="R237" i="5"/>
  <c r="S237" i="5"/>
  <c r="R213" i="5"/>
  <c r="S213" i="5"/>
  <c r="R189" i="5"/>
  <c r="S189" i="5"/>
  <c r="R165" i="5"/>
  <c r="S165" i="5"/>
  <c r="R141" i="5"/>
  <c r="S141" i="5"/>
  <c r="R117" i="5"/>
  <c r="S117" i="5"/>
  <c r="R93" i="5"/>
  <c r="S93" i="5"/>
  <c r="R53" i="5"/>
  <c r="S53" i="5"/>
  <c r="R412" i="5"/>
  <c r="S412" i="5"/>
  <c r="R388" i="5"/>
  <c r="S388" i="5"/>
  <c r="R364" i="5"/>
  <c r="S364" i="5"/>
  <c r="R348" i="5"/>
  <c r="S348" i="5"/>
  <c r="R332" i="5"/>
  <c r="S332" i="5"/>
  <c r="R316" i="5"/>
  <c r="S316" i="5"/>
  <c r="R300" i="5"/>
  <c r="S300" i="5"/>
  <c r="R284" i="5"/>
  <c r="S284" i="5"/>
  <c r="R268" i="5"/>
  <c r="S268" i="5"/>
  <c r="R252" i="5"/>
  <c r="S252" i="5"/>
  <c r="R236" i="5"/>
  <c r="S236" i="5"/>
  <c r="R220" i="5"/>
  <c r="S220" i="5"/>
  <c r="R188" i="5"/>
  <c r="S188" i="5"/>
  <c r="R172" i="5"/>
  <c r="S172" i="5"/>
  <c r="R156" i="5"/>
  <c r="S156" i="5"/>
  <c r="R132" i="5"/>
  <c r="S132" i="5"/>
  <c r="R52" i="5"/>
  <c r="S52" i="5"/>
  <c r="R417" i="5"/>
  <c r="S417" i="5"/>
  <c r="R409" i="5"/>
  <c r="S409" i="5"/>
  <c r="R393" i="5"/>
  <c r="S393" i="5"/>
  <c r="R377" i="5"/>
  <c r="S377" i="5"/>
  <c r="R361" i="5"/>
  <c r="S361" i="5"/>
  <c r="R353" i="5"/>
  <c r="S353" i="5"/>
  <c r="R337" i="5"/>
  <c r="S337" i="5"/>
  <c r="R321" i="5"/>
  <c r="S321" i="5"/>
  <c r="R313" i="5"/>
  <c r="S313" i="5"/>
  <c r="R305" i="5"/>
  <c r="S305" i="5"/>
  <c r="R297" i="5"/>
  <c r="S297" i="5"/>
  <c r="R281" i="5"/>
  <c r="S281" i="5"/>
  <c r="R265" i="5"/>
  <c r="S265" i="5"/>
  <c r="R249" i="5"/>
  <c r="S249" i="5"/>
  <c r="R241" i="5"/>
  <c r="S241" i="5"/>
  <c r="R225" i="5"/>
  <c r="S225" i="5"/>
  <c r="R209" i="5"/>
  <c r="S209" i="5"/>
  <c r="R193" i="5"/>
  <c r="S193" i="5"/>
  <c r="R185" i="5"/>
  <c r="S185" i="5"/>
  <c r="R177" i="5"/>
  <c r="S177" i="5"/>
  <c r="R169" i="5"/>
  <c r="S169" i="5"/>
  <c r="R153" i="5"/>
  <c r="S153" i="5"/>
  <c r="R137" i="5"/>
  <c r="S137" i="5"/>
  <c r="R121" i="5"/>
  <c r="S121" i="5"/>
  <c r="R113" i="5"/>
  <c r="S113" i="5"/>
  <c r="R97" i="5"/>
  <c r="S97" i="5"/>
  <c r="R81" i="5"/>
  <c r="S81" i="5"/>
  <c r="R65" i="5"/>
  <c r="S65" i="5"/>
  <c r="R57" i="5"/>
  <c r="S57" i="5"/>
  <c r="R49" i="5"/>
  <c r="S49" i="5"/>
  <c r="R41" i="5"/>
  <c r="S41" i="5"/>
  <c r="R25" i="5"/>
  <c r="S25" i="5"/>
  <c r="R9" i="5"/>
  <c r="S9" i="5"/>
  <c r="R500" i="5"/>
  <c r="R481" i="5"/>
  <c r="R446" i="5"/>
  <c r="R425" i="5"/>
  <c r="R329" i="5"/>
  <c r="R289" i="5"/>
  <c r="R238" i="5"/>
  <c r="R89" i="5"/>
  <c r="S495" i="5"/>
  <c r="S399" i="5"/>
  <c r="S335" i="5"/>
  <c r="S303" i="5"/>
  <c r="S207" i="5"/>
  <c r="S175" i="5"/>
  <c r="S79" i="5"/>
  <c r="S47" i="5"/>
  <c r="R501" i="5"/>
  <c r="S501" i="5"/>
  <c r="R485" i="5"/>
  <c r="S485" i="5"/>
  <c r="R453" i="5"/>
  <c r="S453" i="5"/>
  <c r="R421" i="5"/>
  <c r="S421" i="5"/>
  <c r="R389" i="5"/>
  <c r="S389" i="5"/>
  <c r="R365" i="5"/>
  <c r="S365" i="5"/>
  <c r="R317" i="5"/>
  <c r="S317" i="5"/>
  <c r="R293" i="5"/>
  <c r="S293" i="5"/>
  <c r="R261" i="5"/>
  <c r="S261" i="5"/>
  <c r="R229" i="5"/>
  <c r="S229" i="5"/>
  <c r="R205" i="5"/>
  <c r="S205" i="5"/>
  <c r="R181" i="5"/>
  <c r="S181" i="5"/>
  <c r="R157" i="5"/>
  <c r="S157" i="5"/>
  <c r="R133" i="5"/>
  <c r="S133" i="5"/>
  <c r="R101" i="5"/>
  <c r="S101" i="5"/>
  <c r="R77" i="5"/>
  <c r="S77" i="5"/>
  <c r="R37" i="5"/>
  <c r="S37" i="5"/>
  <c r="R60" i="5"/>
  <c r="S60" i="5"/>
  <c r="R462" i="5"/>
  <c r="R441" i="5"/>
  <c r="R424" i="5"/>
  <c r="R328" i="5"/>
  <c r="R278" i="5"/>
  <c r="R233" i="5"/>
  <c r="R129" i="5"/>
  <c r="R38" i="5"/>
  <c r="S456" i="5"/>
  <c r="S392" i="5"/>
  <c r="S360" i="5"/>
  <c r="S296" i="5"/>
  <c r="S264" i="5"/>
  <c r="S232" i="5"/>
  <c r="S168" i="5"/>
  <c r="S136" i="5"/>
  <c r="S104" i="5"/>
  <c r="S40" i="5"/>
  <c r="S8" i="5"/>
  <c r="R493" i="5"/>
  <c r="S493" i="5"/>
  <c r="R469" i="5"/>
  <c r="S469" i="5"/>
  <c r="R445" i="5"/>
  <c r="S445" i="5"/>
  <c r="R437" i="5"/>
  <c r="S437" i="5"/>
  <c r="R413" i="5"/>
  <c r="S413" i="5"/>
  <c r="R397" i="5"/>
  <c r="S397" i="5"/>
  <c r="R373" i="5"/>
  <c r="S373" i="5"/>
  <c r="R349" i="5"/>
  <c r="S349" i="5"/>
  <c r="R333" i="5"/>
  <c r="S333" i="5"/>
  <c r="R325" i="5"/>
  <c r="S325" i="5"/>
  <c r="R309" i="5"/>
  <c r="S309" i="5"/>
  <c r="R285" i="5"/>
  <c r="S285" i="5"/>
  <c r="R269" i="5"/>
  <c r="S269" i="5"/>
  <c r="R245" i="5"/>
  <c r="S245" i="5"/>
  <c r="R221" i="5"/>
  <c r="S221" i="5"/>
  <c r="R197" i="5"/>
  <c r="S197" i="5"/>
  <c r="R173" i="5"/>
  <c r="S173" i="5"/>
  <c r="R149" i="5"/>
  <c r="S149" i="5"/>
  <c r="R125" i="5"/>
  <c r="S125" i="5"/>
  <c r="R109" i="5"/>
  <c r="S109" i="5"/>
  <c r="R85" i="5"/>
  <c r="S85" i="5"/>
  <c r="R69" i="5"/>
  <c r="S69" i="5"/>
  <c r="R61" i="5"/>
  <c r="S61" i="5"/>
  <c r="R45" i="5"/>
  <c r="S45" i="5"/>
  <c r="R29" i="5"/>
  <c r="S29" i="5"/>
  <c r="R13" i="5"/>
  <c r="S13" i="5"/>
  <c r="R5" i="5"/>
  <c r="S5" i="5"/>
  <c r="R492" i="5"/>
  <c r="S492" i="5"/>
  <c r="R484" i="5"/>
  <c r="S484" i="5"/>
  <c r="R468" i="5"/>
  <c r="S468" i="5"/>
  <c r="R460" i="5"/>
  <c r="S460" i="5"/>
  <c r="R452" i="5"/>
  <c r="S452" i="5"/>
  <c r="R444" i="5"/>
  <c r="S444" i="5"/>
  <c r="R428" i="5"/>
  <c r="S428" i="5"/>
  <c r="R420" i="5"/>
  <c r="S420" i="5"/>
  <c r="R404" i="5"/>
  <c r="S404" i="5"/>
  <c r="R396" i="5"/>
  <c r="S396" i="5"/>
  <c r="R380" i="5"/>
  <c r="S380" i="5"/>
  <c r="R372" i="5"/>
  <c r="S372" i="5"/>
  <c r="R356" i="5"/>
  <c r="S356" i="5"/>
  <c r="R340" i="5"/>
  <c r="S340" i="5"/>
  <c r="R324" i="5"/>
  <c r="S324" i="5"/>
  <c r="R308" i="5"/>
  <c r="S308" i="5"/>
  <c r="R292" i="5"/>
  <c r="S292" i="5"/>
  <c r="R276" i="5"/>
  <c r="S276" i="5"/>
  <c r="R260" i="5"/>
  <c r="S260" i="5"/>
  <c r="R244" i="5"/>
  <c r="S244" i="5"/>
  <c r="R228" i="5"/>
  <c r="S228" i="5"/>
  <c r="R212" i="5"/>
  <c r="S212" i="5"/>
  <c r="R204" i="5"/>
  <c r="S204" i="5"/>
  <c r="R196" i="5"/>
  <c r="S196" i="5"/>
  <c r="R180" i="5"/>
  <c r="S180" i="5"/>
  <c r="R164" i="5"/>
  <c r="S164" i="5"/>
  <c r="R148" i="5"/>
  <c r="S148" i="5"/>
  <c r="R140" i="5"/>
  <c r="S140" i="5"/>
  <c r="R124" i="5"/>
  <c r="S124" i="5"/>
  <c r="R116" i="5"/>
  <c r="S116" i="5"/>
  <c r="R108" i="5"/>
  <c r="S108" i="5"/>
  <c r="R100" i="5"/>
  <c r="S100" i="5"/>
  <c r="R92" i="5"/>
  <c r="S92" i="5"/>
  <c r="R84" i="5"/>
  <c r="S84" i="5"/>
  <c r="R76" i="5"/>
  <c r="S76" i="5"/>
  <c r="R68" i="5"/>
  <c r="S68" i="5"/>
  <c r="R44" i="5"/>
  <c r="S44" i="5"/>
  <c r="R478" i="5"/>
  <c r="R457" i="5"/>
  <c r="R423" i="5"/>
  <c r="R369" i="5"/>
  <c r="R327" i="5"/>
  <c r="R273" i="5"/>
  <c r="R222" i="5"/>
  <c r="R182" i="5"/>
  <c r="R73" i="5"/>
  <c r="R33" i="5"/>
  <c r="S391" i="5"/>
  <c r="S359" i="5"/>
  <c r="S263" i="5"/>
  <c r="S231" i="5"/>
  <c r="S135" i="5"/>
  <c r="S103" i="5"/>
  <c r="S7" i="5"/>
  <c r="S502"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84E0EF-C37C-4E75-8849-A5E4B8A11A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28D03B8-177B-45BB-8B3D-7CBB02FF984F}" name="WorksheetConnection_Spotify Streaming Performance Dataset.xlsx!Table3" type="102" refreshedVersion="8" minRefreshableVersion="5">
    <extLst>
      <ext xmlns:x15="http://schemas.microsoft.com/office/spreadsheetml/2010/11/main" uri="{DE250136-89BD-433C-8126-D09CA5730AF9}">
        <x15:connection id="Table3">
          <x15:rangePr sourceName="_xlcn.WorksheetConnection_SpotifyStreamingPerformanceDataset.xlsxTable31"/>
        </x15:connection>
      </ext>
    </extLst>
  </connection>
</connections>
</file>

<file path=xl/sharedStrings.xml><?xml version="1.0" encoding="utf-8"?>
<sst xmlns="http://schemas.openxmlformats.org/spreadsheetml/2006/main" count="9114" uniqueCount="623">
  <si>
    <t>Artist Name</t>
  </si>
  <si>
    <t>Country of Origin</t>
  </si>
  <si>
    <t>Primary Language</t>
  </si>
  <si>
    <t>Primary Genre</t>
  </si>
  <si>
    <t xml:space="preserve"> Artist Type</t>
  </si>
  <si>
    <t>Debut Year</t>
  </si>
  <si>
    <t>Total Streams (in millions)</t>
  </si>
  <si>
    <t>Lead Streams (in millions)</t>
  </si>
  <si>
    <t>Feature Streams (in millions)</t>
  </si>
  <si>
    <t>Solo Streams (in millions)</t>
  </si>
  <si>
    <t>% of Solo Streams</t>
  </si>
  <si>
    <t>Collaborative Streams (in millions)</t>
  </si>
  <si>
    <t>% of Collaborative Streams</t>
  </si>
  <si>
    <t>Drake</t>
  </si>
  <si>
    <t>Male</t>
  </si>
  <si>
    <t>Canada</t>
  </si>
  <si>
    <t>English</t>
  </si>
  <si>
    <t>Hip-Hop</t>
  </si>
  <si>
    <t>Solo</t>
  </si>
  <si>
    <t>Taylor Swift</t>
  </si>
  <si>
    <t>Female</t>
  </si>
  <si>
    <t>United States</t>
  </si>
  <si>
    <t>Pop</t>
  </si>
  <si>
    <t>Bad Bunny</t>
  </si>
  <si>
    <t>Spanish</t>
  </si>
  <si>
    <t>Reggaeton</t>
  </si>
  <si>
    <t>The Weeknd</t>
  </si>
  <si>
    <t>R&amp;B</t>
  </si>
  <si>
    <t>Justin Bieber</t>
  </si>
  <si>
    <t>Ariana Grande</t>
  </si>
  <si>
    <t>Travis Scott</t>
  </si>
  <si>
    <t>Kanye West</t>
  </si>
  <si>
    <t>Ed Sheeran</t>
  </si>
  <si>
    <t>United Kingdom</t>
  </si>
  <si>
    <t>Eminem</t>
  </si>
  <si>
    <t>Rihanna</t>
  </si>
  <si>
    <t>Barbados</t>
  </si>
  <si>
    <t>Billie Eilish</t>
  </si>
  <si>
    <t>Bruno Mars</t>
  </si>
  <si>
    <t>Kendrick Lamar</t>
  </si>
  <si>
    <t>Post Malone</t>
  </si>
  <si>
    <t>J Balvin</t>
  </si>
  <si>
    <t>Colombia</t>
  </si>
  <si>
    <t>Future</t>
  </si>
  <si>
    <t>BTS</t>
  </si>
  <si>
    <t>South Korea</t>
  </si>
  <si>
    <t>Korean</t>
  </si>
  <si>
    <t>K-Pop</t>
  </si>
  <si>
    <t>Group</t>
  </si>
  <si>
    <t>Ozuna</t>
  </si>
  <si>
    <t>Coldplay</t>
  </si>
  <si>
    <t>Rock</t>
  </si>
  <si>
    <t>Juice WRLD</t>
  </si>
  <si>
    <t>Chris Brown</t>
  </si>
  <si>
    <t>Nicki Minaj</t>
  </si>
  <si>
    <t>Trinidad and Tobago</t>
  </si>
  <si>
    <t>Lana Del Rey</t>
  </si>
  <si>
    <t>Alternative</t>
  </si>
  <si>
    <t>David Guetta</t>
  </si>
  <si>
    <t>France</t>
  </si>
  <si>
    <t>EDM</t>
  </si>
  <si>
    <t>Dua Lipa</t>
  </si>
  <si>
    <t>Daddy Yankee</t>
  </si>
  <si>
    <t>Rauw Alejandro</t>
  </si>
  <si>
    <t>Anuel AA</t>
  </si>
  <si>
    <t>XXXTENTACION</t>
  </si>
  <si>
    <t>Imagine Dragons</t>
  </si>
  <si>
    <t>Lil Wayne</t>
  </si>
  <si>
    <t>21 Savage</t>
  </si>
  <si>
    <t>SZA</t>
  </si>
  <si>
    <t>Arijit Singh</t>
  </si>
  <si>
    <t>India</t>
  </si>
  <si>
    <t>Hindi</t>
  </si>
  <si>
    <t>Filmi</t>
  </si>
  <si>
    <t>Lady Gaga</t>
  </si>
  <si>
    <t>KAROL G</t>
  </si>
  <si>
    <t>Lil Baby</t>
  </si>
  <si>
    <t>Maroon 5</t>
  </si>
  <si>
    <t>Mixed</t>
  </si>
  <si>
    <t>Khalid</t>
  </si>
  <si>
    <t>BeyoncÃ©</t>
  </si>
  <si>
    <t>Maluma</t>
  </si>
  <si>
    <t>Latin</t>
  </si>
  <si>
    <t>Feid</t>
  </si>
  <si>
    <t>Calvin Harris</t>
  </si>
  <si>
    <t>Scotland</t>
  </si>
  <si>
    <t>Myke Towers</t>
  </si>
  <si>
    <t>Linkin Park</t>
  </si>
  <si>
    <t>Peso Pluma</t>
  </si>
  <si>
    <t>Mexico</t>
  </si>
  <si>
    <t>Regional Mexican</t>
  </si>
  <si>
    <t>J. Cole</t>
  </si>
  <si>
    <t>Lil Uzi Vert</t>
  </si>
  <si>
    <t>Sia</t>
  </si>
  <si>
    <t>Australia</t>
  </si>
  <si>
    <t>Doja Cat</t>
  </si>
  <si>
    <t>Shakira</t>
  </si>
  <si>
    <t>Morgan Wallen</t>
  </si>
  <si>
    <t>Country</t>
  </si>
  <si>
    <t>Young Thug</t>
  </si>
  <si>
    <t>Farruko</t>
  </si>
  <si>
    <t>Shawn Mendes</t>
  </si>
  <si>
    <t>Harry Styles</t>
  </si>
  <si>
    <t>Queen</t>
  </si>
  <si>
    <t>Sam Smith</t>
  </si>
  <si>
    <t>One Direction</t>
  </si>
  <si>
    <t>Metro Boomin</t>
  </si>
  <si>
    <t>Olivia Rodrigo</t>
  </si>
  <si>
    <t>Adele</t>
  </si>
  <si>
    <t>Pritam</t>
  </si>
  <si>
    <t>Katy Perry</t>
  </si>
  <si>
    <t>Gunna</t>
  </si>
  <si>
    <t>Arctic Monkeys</t>
  </si>
  <si>
    <t>Fuerza Regida</t>
  </si>
  <si>
    <t>Junior H</t>
  </si>
  <si>
    <t>Tyler, The Creator</t>
  </si>
  <si>
    <t>Selena Gomez</t>
  </si>
  <si>
    <t>Ty Dolla $ign</t>
  </si>
  <si>
    <t>The Beatles</t>
  </si>
  <si>
    <t>Pitbull</t>
  </si>
  <si>
    <t>Nicky Jam</t>
  </si>
  <si>
    <t>Playboi Carti</t>
  </si>
  <si>
    <t>Halsey</t>
  </si>
  <si>
    <t>Wiz Khalifa</t>
  </si>
  <si>
    <t>Michael Jackson</t>
  </si>
  <si>
    <t>Sabrina Carpenter</t>
  </si>
  <si>
    <t>Frank Ocean</t>
  </si>
  <si>
    <t>Die drei ???</t>
  </si>
  <si>
    <t>Germany</t>
  </si>
  <si>
    <t>German</t>
  </si>
  <si>
    <t>Spoken Word</t>
  </si>
  <si>
    <t>JAÅ¸-Z</t>
  </si>
  <si>
    <t>A$AP Rocky</t>
  </si>
  <si>
    <t>Miley Cyrus</t>
  </si>
  <si>
    <t>The Chainsmokers</t>
  </si>
  <si>
    <t>Marshmello</t>
  </si>
  <si>
    <t>Cardi B</t>
  </si>
  <si>
    <t>Twenty One Pilots</t>
  </si>
  <si>
    <t>Disney</t>
  </si>
  <si>
    <t>Soundtrack</t>
  </si>
  <si>
    <t>ArcÃ¡ngel</t>
  </si>
  <si>
    <t>Red Hot Chili Peppers</t>
  </si>
  <si>
    <t>Camila Cabello</t>
  </si>
  <si>
    <t>Cuba</t>
  </si>
  <si>
    <t>$uicideboy$</t>
  </si>
  <si>
    <t>OneRepublic</t>
  </si>
  <si>
    <t>Avicii</t>
  </si>
  <si>
    <t>Sweden</t>
  </si>
  <si>
    <t>Diplo</t>
  </si>
  <si>
    <t>Snoop Dogg</t>
  </si>
  <si>
    <t>Romeo Santos</t>
  </si>
  <si>
    <t>Bachata</t>
  </si>
  <si>
    <t>50 Cent</t>
  </si>
  <si>
    <t>Natanael Cano</t>
  </si>
  <si>
    <t>YoungBoy Never Broke Again</t>
  </si>
  <si>
    <t>Mac Miller</t>
  </si>
  <si>
    <t>DaBaby</t>
  </si>
  <si>
    <t>Don Toliver</t>
  </si>
  <si>
    <t>Zach Bryan</t>
  </si>
  <si>
    <t>Kygo</t>
  </si>
  <si>
    <t>Norway</t>
  </si>
  <si>
    <t>Sech</t>
  </si>
  <si>
    <t>Panama</t>
  </si>
  <si>
    <t>The Neighbourhood</t>
  </si>
  <si>
    <t>Quavo</t>
  </si>
  <si>
    <t>Henrique &amp; Juliano</t>
  </si>
  <si>
    <t>Brazil</t>
  </si>
  <si>
    <t>Portuguese</t>
  </si>
  <si>
    <t>Sertanjeo</t>
  </si>
  <si>
    <t>Luke Combs</t>
  </si>
  <si>
    <t>Elton John</t>
  </si>
  <si>
    <t>Manuel Turizo</t>
  </si>
  <si>
    <t>Trippie Redd</t>
  </si>
  <si>
    <t>Tate McRae</t>
  </si>
  <si>
    <t>Lil Peep</t>
  </si>
  <si>
    <t>Metallica</t>
  </si>
  <si>
    <t>Don Omar</t>
  </si>
  <si>
    <t>USHER</t>
  </si>
  <si>
    <t>Charlie Puth</t>
  </si>
  <si>
    <t>Justin Timberlake</t>
  </si>
  <si>
    <t>TiÃ«sto</t>
  </si>
  <si>
    <t>Netherlands</t>
  </si>
  <si>
    <t>Sean Paul</t>
  </si>
  <si>
    <t>Jamaica</t>
  </si>
  <si>
    <t>Reggae</t>
  </si>
  <si>
    <t>Tyga</t>
  </si>
  <si>
    <t>Kali Uchis</t>
  </si>
  <si>
    <t>Kodak Black</t>
  </si>
  <si>
    <t>Jason Derulo</t>
  </si>
  <si>
    <t>BLACKPINK</t>
  </si>
  <si>
    <t>JHAYCO</t>
  </si>
  <si>
    <t>Bebe Rexha</t>
  </si>
  <si>
    <t>Daft Punk</t>
  </si>
  <si>
    <t>Luis Miguel</t>
  </si>
  <si>
    <t>Demi Lovato</t>
  </si>
  <si>
    <t>Akon</t>
  </si>
  <si>
    <t>Senegal</t>
  </si>
  <si>
    <t>AC/DC</t>
  </si>
  <si>
    <t>Sebastian Yatra</t>
  </si>
  <si>
    <t>CarÃ­n LeÃ³n</t>
  </si>
  <si>
    <t>Alan Walker</t>
  </si>
  <si>
    <t>A Boogie Wit da Hoodie</t>
  </si>
  <si>
    <t>Fleetwood Mac</t>
  </si>
  <si>
    <t>Hozier</t>
  </si>
  <si>
    <t>Ireland</t>
  </si>
  <si>
    <t>Ellie Goulding</t>
  </si>
  <si>
    <t>Radiohead</t>
  </si>
  <si>
    <t>Big Sean</t>
  </si>
  <si>
    <t>Flo Rida</t>
  </si>
  <si>
    <t>P!nk</t>
  </si>
  <si>
    <t>Nirvana</t>
  </si>
  <si>
    <t>Pop Smoke</t>
  </si>
  <si>
    <t>Britney Spears</t>
  </si>
  <si>
    <t>James Arthur</t>
  </si>
  <si>
    <t>Tory Lanez</t>
  </si>
  <si>
    <t>Pharrell Williams</t>
  </si>
  <si>
    <t>DJ Snake</t>
  </si>
  <si>
    <t>Daniel Caesar</t>
  </si>
  <si>
    <t>Black Eyed Peas</t>
  </si>
  <si>
    <t>Swae Lee</t>
  </si>
  <si>
    <t>Shreya Ghoshal</t>
  </si>
  <si>
    <t>Duki</t>
  </si>
  <si>
    <t>Argentina</t>
  </si>
  <si>
    <t>Bizarrap</t>
  </si>
  <si>
    <t>Migos</t>
  </si>
  <si>
    <t>The Kid LAROI</t>
  </si>
  <si>
    <t>MarÃ­lia MendonÃ§a</t>
  </si>
  <si>
    <t>Anitta</t>
  </si>
  <si>
    <t>Green Day</t>
  </si>
  <si>
    <t>Lil Durk</t>
  </si>
  <si>
    <t>Polo G</t>
  </si>
  <si>
    <t>A.R. Rahman</t>
  </si>
  <si>
    <t>Tamil</t>
  </si>
  <si>
    <t>G-Eazy</t>
  </si>
  <si>
    <t>Kid Cudi</t>
  </si>
  <si>
    <t>Justin Quiles</t>
  </si>
  <si>
    <t>Bob Marley &amp; The Wailers</t>
  </si>
  <si>
    <t>Stray Kids</t>
  </si>
  <si>
    <t>Anirudh Ravichander</t>
  </si>
  <si>
    <t>Ne-Yo</t>
  </si>
  <si>
    <t>Gucci Mane</t>
  </si>
  <si>
    <t>ROSALÃA</t>
  </si>
  <si>
    <t>Spain</t>
  </si>
  <si>
    <t>Charli xcx</t>
  </si>
  <si>
    <t>Joji</t>
  </si>
  <si>
    <t>Japan</t>
  </si>
  <si>
    <t>Fall Out Boy</t>
  </si>
  <si>
    <t>PARTYNEXTDOOR</t>
  </si>
  <si>
    <t>Jorge &amp; Mateus</t>
  </si>
  <si>
    <t>Offset</t>
  </si>
  <si>
    <t>Panic! At The Disco</t>
  </si>
  <si>
    <t>Tame Impala</t>
  </si>
  <si>
    <t>Quevedo</t>
  </si>
  <si>
    <t>Morat</t>
  </si>
  <si>
    <t>Zara Larsson</t>
  </si>
  <si>
    <t>Tito Double P</t>
  </si>
  <si>
    <t>Jul</t>
  </si>
  <si>
    <t>French</t>
  </si>
  <si>
    <t>2Pac</t>
  </si>
  <si>
    <t>Gorillaz</t>
  </si>
  <si>
    <t>Lewis Capaldi</t>
  </si>
  <si>
    <t>Grupo Frontera</t>
  </si>
  <si>
    <t>Camilo</t>
  </si>
  <si>
    <t>Lenny TavÃ¡rez</t>
  </si>
  <si>
    <t>2 Chainz</t>
  </si>
  <si>
    <t>NF</t>
  </si>
  <si>
    <t>Bryson Tiller</t>
  </si>
  <si>
    <t>Rels B</t>
  </si>
  <si>
    <t>Roddy Ricch</t>
  </si>
  <si>
    <t>Guns N' Roses</t>
  </si>
  <si>
    <t>Mariah Carey</t>
  </si>
  <si>
    <t>Noah Kahan</t>
  </si>
  <si>
    <t>Folk</t>
  </si>
  <si>
    <t>Megan Thee Stallion</t>
  </si>
  <si>
    <t>Christian Nodal</t>
  </si>
  <si>
    <t>Brent Faiyaz</t>
  </si>
  <si>
    <t>Martin Garrix</t>
  </si>
  <si>
    <t>Banda MS de Sergio LizÃ¡rraga</t>
  </si>
  <si>
    <t>Pink Floyd</t>
  </si>
  <si>
    <t>mgk</t>
  </si>
  <si>
    <t>Wisin &amp; Yandel</t>
  </si>
  <si>
    <t>Dr. Dre</t>
  </si>
  <si>
    <t>Mora</t>
  </si>
  <si>
    <t>Cigarettes After Sex</t>
  </si>
  <si>
    <t>Childish Gambino</t>
  </si>
  <si>
    <t>Wisin</t>
  </si>
  <si>
    <t>Major Lazer</t>
  </si>
  <si>
    <t>John Mayer</t>
  </si>
  <si>
    <t>Miguel</t>
  </si>
  <si>
    <t>Lil Nas X</t>
  </si>
  <si>
    <t>System Of A Down</t>
  </si>
  <si>
    <t>Metal</t>
  </si>
  <si>
    <t>Logic</t>
  </si>
  <si>
    <t>ABBA</t>
  </si>
  <si>
    <t>Becky G</t>
  </si>
  <si>
    <t>Yandel</t>
  </si>
  <si>
    <t>Enrique Iglesias</t>
  </si>
  <si>
    <t>Lil Yachty</t>
  </si>
  <si>
    <t>Luis R Conriquez</t>
  </si>
  <si>
    <t>Zion &amp; Lennox</t>
  </si>
  <si>
    <t>5 Seconds of Summer</t>
  </si>
  <si>
    <t>Jack Harlow</t>
  </si>
  <si>
    <t>TWICE</t>
  </si>
  <si>
    <t>Ã‘engo Flow</t>
  </si>
  <si>
    <t>Ava Max</t>
  </si>
  <si>
    <t>ZAYN</t>
  </si>
  <si>
    <t>Michael BublÃ©</t>
  </si>
  <si>
    <t>Macklemore</t>
  </si>
  <si>
    <t>Anne-Marie</t>
  </si>
  <si>
    <t>The Rolling Stones</t>
  </si>
  <si>
    <t>Frank Sinatra</t>
  </si>
  <si>
    <t>Robin Schulz</t>
  </si>
  <si>
    <t>Bryant Myers</t>
  </si>
  <si>
    <t>Gusttavo Lima</t>
  </si>
  <si>
    <t>Eladio Carrion</t>
  </si>
  <si>
    <t>Grupo Firme</t>
  </si>
  <si>
    <t>Amitabh Bhattacharya</t>
  </si>
  <si>
    <t>Alicia Keys</t>
  </si>
  <si>
    <t>Kesha</t>
  </si>
  <si>
    <t>LAUV</t>
  </si>
  <si>
    <t>Madonna</t>
  </si>
  <si>
    <t>Reik</t>
  </si>
  <si>
    <t>John Legend</t>
  </si>
  <si>
    <t>Meghan Trainor</t>
  </si>
  <si>
    <t>Lil Tecca</t>
  </si>
  <si>
    <t>Lorde</t>
  </si>
  <si>
    <t>New Zealand</t>
  </si>
  <si>
    <t>MC Ryan SP</t>
  </si>
  <si>
    <t>Chris Stapleton</t>
  </si>
  <si>
    <t>French Montana</t>
  </si>
  <si>
    <t>Morocco</t>
  </si>
  <si>
    <t>Melanie Martinez</t>
  </si>
  <si>
    <t>Elvis Presley</t>
  </si>
  <si>
    <t>Rick Ross</t>
  </si>
  <si>
    <t>Cris MJ</t>
  </si>
  <si>
    <t>Chile</t>
  </si>
  <si>
    <t>Zedd</t>
  </si>
  <si>
    <t>Russia</t>
  </si>
  <si>
    <t>Paramore</t>
  </si>
  <si>
    <t>Chance the Rapper</t>
  </si>
  <si>
    <t>Ninho</t>
  </si>
  <si>
    <t>blackbear</t>
  </si>
  <si>
    <t>Creedence Clearwater Revival</t>
  </si>
  <si>
    <t>T-Pain</t>
  </si>
  <si>
    <t>Jung Kook</t>
  </si>
  <si>
    <t>Skrillex</t>
  </si>
  <si>
    <t>DJ Khaled</t>
  </si>
  <si>
    <t>Wizkid</t>
  </si>
  <si>
    <t>Nigeria</t>
  </si>
  <si>
    <t>Afrobeats</t>
  </si>
  <si>
    <t>Oasis</t>
  </si>
  <si>
    <t>Christina Aguilera</t>
  </si>
  <si>
    <t>Slipknot</t>
  </si>
  <si>
    <t>Irshad Kamil</t>
  </si>
  <si>
    <t>Little Mix</t>
  </si>
  <si>
    <t>BeÃ©le</t>
  </si>
  <si>
    <t>The Notorious B.I.G.</t>
  </si>
  <si>
    <t>Mitski</t>
  </si>
  <si>
    <t>Tainy</t>
  </si>
  <si>
    <t>ZÃ© Neto &amp; Cristiano</t>
  </si>
  <si>
    <t>Rammstein</t>
  </si>
  <si>
    <t>Labrinth</t>
  </si>
  <si>
    <t>Chencho Corleone</t>
  </si>
  <si>
    <t>Darell</t>
  </si>
  <si>
    <t>Bon Jovi</t>
  </si>
  <si>
    <t>The Killers</t>
  </si>
  <si>
    <t>blink-182</t>
  </si>
  <si>
    <t>Summer Walker</t>
  </si>
  <si>
    <t>JhenÃ© Aiko</t>
  </si>
  <si>
    <t>Kehlani</t>
  </si>
  <si>
    <t>Clean Bandit</t>
  </si>
  <si>
    <t>David Bowie</t>
  </si>
  <si>
    <t>U2</t>
  </si>
  <si>
    <t>Aventura</t>
  </si>
  <si>
    <t>Foo Fighters</t>
  </si>
  <si>
    <t>The 1975</t>
  </si>
  <si>
    <t>Maria Becerra</t>
  </si>
  <si>
    <t>Plan B</t>
  </si>
  <si>
    <t>Steve Lacy</t>
  </si>
  <si>
    <t>De La Ghetto</t>
  </si>
  <si>
    <t>Troye Sivan</t>
  </si>
  <si>
    <t>South Africa</t>
  </si>
  <si>
    <t>Conan Gray</t>
  </si>
  <si>
    <t>Ludacris</t>
  </si>
  <si>
    <t>Burna Boy</t>
  </si>
  <si>
    <t>Danny Ocean</t>
  </si>
  <si>
    <t>Venezuela</t>
  </si>
  <si>
    <t>Meek Mill</t>
  </si>
  <si>
    <t>My Chemical Romance</t>
  </si>
  <si>
    <t>Alessia Cara</t>
  </si>
  <si>
    <t>Vishal-Shekhar</t>
  </si>
  <si>
    <t>Paulo Londra</t>
  </si>
  <si>
    <t>La Arrolladora Banda El LimÃ³n De Rene Camacho</t>
  </si>
  <si>
    <t>Yeat</t>
  </si>
  <si>
    <t>Matheus &amp; Kauan</t>
  </si>
  <si>
    <t>Alok</t>
  </si>
  <si>
    <t>Bring Me The Horizon</t>
  </si>
  <si>
    <t>Central Cee</t>
  </si>
  <si>
    <t>League of Legends</t>
  </si>
  <si>
    <t>Mac DeMarco</t>
  </si>
  <si>
    <t>Benson Boone</t>
  </si>
  <si>
    <t>Dalex</t>
  </si>
  <si>
    <t>Nickelback</t>
  </si>
  <si>
    <t>Marc Anthony</t>
  </si>
  <si>
    <t>ManÃ¡</t>
  </si>
  <si>
    <t>Led Zeppelin</t>
  </si>
  <si>
    <t>MÃ¥neskin</t>
  </si>
  <si>
    <t>Italy</t>
  </si>
  <si>
    <t>Italian</t>
  </si>
  <si>
    <t>Florida Georgia Line</t>
  </si>
  <si>
    <t>Luis Fonsi</t>
  </si>
  <si>
    <t>RAYE</t>
  </si>
  <si>
    <t>Neton Vega</t>
  </si>
  <si>
    <t>Gracie Abrams</t>
  </si>
  <si>
    <t>Timbaland</t>
  </si>
  <si>
    <t>Jeremih</t>
  </si>
  <si>
    <t>The Lumineers</t>
  </si>
  <si>
    <t>Oscar Maydon</t>
  </si>
  <si>
    <t>Anderson .Paak</t>
  </si>
  <si>
    <t>Chase Atlantic</t>
  </si>
  <si>
    <t>JuliÃ³n Ãlvarez y su NorteÃ±o Banda</t>
  </si>
  <si>
    <t>Prince Royce</t>
  </si>
  <si>
    <t>Bastille</t>
  </si>
  <si>
    <t>Sfera Ebbasta</t>
  </si>
  <si>
    <t>Florence + The Machine</t>
  </si>
  <si>
    <t>YG</t>
  </si>
  <si>
    <t>Alejandro Sanz</t>
  </si>
  <si>
    <t>Lil Tjay</t>
  </si>
  <si>
    <t>GIVÄ’ON</t>
  </si>
  <si>
    <t>Billy Joel</t>
  </si>
  <si>
    <t>Luke Bryan</t>
  </si>
  <si>
    <t>Muse</t>
  </si>
  <si>
    <t>Jonas Blue</t>
  </si>
  <si>
    <t>Teddy Swims</t>
  </si>
  <si>
    <t>Juanes</t>
  </si>
  <si>
    <t>Jennifer Lopez</t>
  </si>
  <si>
    <t>Cartel De Santa</t>
  </si>
  <si>
    <t>T.I.</t>
  </si>
  <si>
    <t>Gabito Ballesteros</t>
  </si>
  <si>
    <t>El Alfa</t>
  </si>
  <si>
    <t>Dominican Republic</t>
  </si>
  <si>
    <t>Alka Yagnik</t>
  </si>
  <si>
    <t>Blessd</t>
  </si>
  <si>
    <t>NATTI NATASHA</t>
  </si>
  <si>
    <t>Bruce Springsteen</t>
  </si>
  <si>
    <t>Alfredo Olivas</t>
  </si>
  <si>
    <t>Jonas Brothers</t>
  </si>
  <si>
    <t>Hans Zimmer</t>
  </si>
  <si>
    <t>Julia Michaels</t>
  </si>
  <si>
    <t>Deftones</t>
  </si>
  <si>
    <t>Clairo</t>
  </si>
  <si>
    <t>Whitney Houston</t>
  </si>
  <si>
    <t>Tove Lo</t>
  </si>
  <si>
    <t>DJ Luian</t>
  </si>
  <si>
    <t>Amy Winehouse</t>
  </si>
  <si>
    <t>Soul</t>
  </si>
  <si>
    <t>TV Girl</t>
  </si>
  <si>
    <t>Tanishk Bagchi</t>
  </si>
  <si>
    <t>Dave</t>
  </si>
  <si>
    <t>Avril Lavigne</t>
  </si>
  <si>
    <t>Lost Frequencies</t>
  </si>
  <si>
    <t>Belgium</t>
  </si>
  <si>
    <t>Kings of Leon</t>
  </si>
  <si>
    <t>Joan Sebastian</t>
  </si>
  <si>
    <t>Alejandro FernÃ¡ndez</t>
  </si>
  <si>
    <t>Glass Animals</t>
  </si>
  <si>
    <t>Sachin-Jigar</t>
  </si>
  <si>
    <t>Fetty Wap</t>
  </si>
  <si>
    <t>NAV</t>
  </si>
  <si>
    <t>Jack Johnson</t>
  </si>
  <si>
    <t>SEVENTEEN</t>
  </si>
  <si>
    <t>The Script</t>
  </si>
  <si>
    <t>TINI</t>
  </si>
  <si>
    <t>Backstreet Boys</t>
  </si>
  <si>
    <t>Jimin</t>
  </si>
  <si>
    <t>Mambo Kingz</t>
  </si>
  <si>
    <t>NLE Choppa</t>
  </si>
  <si>
    <t>GIMS</t>
  </si>
  <si>
    <t>DR Congo</t>
  </si>
  <si>
    <t>Calibre 50</t>
  </si>
  <si>
    <t>Chappell Roan</t>
  </si>
  <si>
    <t>Stevie Wonder</t>
  </si>
  <si>
    <t>Juicy J</t>
  </si>
  <si>
    <t>Mark Ronson</t>
  </si>
  <si>
    <t>Kelly Clarkson</t>
  </si>
  <si>
    <t>The Offspring</t>
  </si>
  <si>
    <t>Bonez MC</t>
  </si>
  <si>
    <t>Bibi Blocksberg</t>
  </si>
  <si>
    <t>Children's Music</t>
  </si>
  <si>
    <t>Milo j</t>
  </si>
  <si>
    <t>Jay Wheeler</t>
  </si>
  <si>
    <t>felix jaehn</t>
  </si>
  <si>
    <t>Niall Horan</t>
  </si>
  <si>
    <t>6ix9ine</t>
  </si>
  <si>
    <t>Nate Dogg</t>
  </si>
  <si>
    <t>Noriel</t>
  </si>
  <si>
    <t>Vicente FernÃ¡ndez</t>
  </si>
  <si>
    <t>Three Days Grace</t>
  </si>
  <si>
    <t>Aerosmith</t>
  </si>
  <si>
    <t>Bee Gees</t>
  </si>
  <si>
    <t>Udit Narayan</t>
  </si>
  <si>
    <t>Nepal</t>
  </si>
  <si>
    <t>Piso 21</t>
  </si>
  <si>
    <t>Rod Wave</t>
  </si>
  <si>
    <t>Vance Joy</t>
  </si>
  <si>
    <t>Bon Iver</t>
  </si>
  <si>
    <t>Eslabon Armado</t>
  </si>
  <si>
    <t>JENNIE</t>
  </si>
  <si>
    <t>Russ</t>
  </si>
  <si>
    <t>Rae Sremmurd</t>
  </si>
  <si>
    <t>Jess Glynne</t>
  </si>
  <si>
    <t>The Smiths</t>
  </si>
  <si>
    <t>Eagles</t>
  </si>
  <si>
    <t>The Police</t>
  </si>
  <si>
    <t>Phil Collins</t>
  </si>
  <si>
    <t>The Strokes</t>
  </si>
  <si>
    <t>Atif Aslam</t>
  </si>
  <si>
    <t>Pakistan</t>
  </si>
  <si>
    <t>Urdu</t>
  </si>
  <si>
    <t>Ovy On The Drums</t>
  </si>
  <si>
    <t>Olivia Dean</t>
  </si>
  <si>
    <t>Dire Straits</t>
  </si>
  <si>
    <t>NewJeans</t>
  </si>
  <si>
    <t>Avenged Sevenfold</t>
  </si>
  <si>
    <t>Ricardo Arjona</t>
  </si>
  <si>
    <t>Guatemala</t>
  </si>
  <si>
    <t>Los Ãngeles Azules</t>
  </si>
  <si>
    <t>Rex Orange County</t>
  </si>
  <si>
    <t>ScHoolboy Q</t>
  </si>
  <si>
    <t>6LACK</t>
  </si>
  <si>
    <t>Disclosure</t>
  </si>
  <si>
    <t>Brytiago</t>
  </si>
  <si>
    <t>Alesso</t>
  </si>
  <si>
    <t>RAF Camora</t>
  </si>
  <si>
    <t>Austria</t>
  </si>
  <si>
    <t>Nelly</t>
  </si>
  <si>
    <t>Mumford &amp; Sons</t>
  </si>
  <si>
    <t>Kumaar</t>
  </si>
  <si>
    <t>Pearl Jam</t>
  </si>
  <si>
    <t>Zion</t>
  </si>
  <si>
    <t>Ryan Castro</t>
  </si>
  <si>
    <t>Nelly Furtado</t>
  </si>
  <si>
    <t>Wesley SafadÃ£o</t>
  </si>
  <si>
    <t>Disturbed</t>
  </si>
  <si>
    <t>H.E.R.</t>
  </si>
  <si>
    <t>Rita Ora</t>
  </si>
  <si>
    <t>Kevin Gates</t>
  </si>
  <si>
    <t>beabadoobee</t>
  </si>
  <si>
    <t>Philippines</t>
  </si>
  <si>
    <t>Karan Aujla</t>
  </si>
  <si>
    <t>Punjabi</t>
  </si>
  <si>
    <t>CÃ©line Dion</t>
  </si>
  <si>
    <t>Bryan Adams</t>
  </si>
  <si>
    <t>ENHYPEN</t>
  </si>
  <si>
    <t>Dominic Fike</t>
  </si>
  <si>
    <t>Ana Castela</t>
  </si>
  <si>
    <t>LANY</t>
  </si>
  <si>
    <t>Johnny Cash</t>
  </si>
  <si>
    <t>B.o.B</t>
  </si>
  <si>
    <t>Jason Aldean</t>
  </si>
  <si>
    <t>Luan Santana</t>
  </si>
  <si>
    <t>KHEA</t>
  </si>
  <si>
    <t>Maiara &amp; Maraisa</t>
  </si>
  <si>
    <t>Mc IG</t>
  </si>
  <si>
    <t>Tiago PZK</t>
  </si>
  <si>
    <t>Tom Odell</t>
  </si>
  <si>
    <t>Macklemore &amp; Ryan Lewis</t>
  </si>
  <si>
    <t>Thomas Rhett</t>
  </si>
  <si>
    <t>MÃ˜</t>
  </si>
  <si>
    <t>Denmark</t>
  </si>
  <si>
    <t>Five Finger Death Punch</t>
  </si>
  <si>
    <t>Kane Brown</t>
  </si>
  <si>
    <t>Laufey</t>
  </si>
  <si>
    <t>Iceland</t>
  </si>
  <si>
    <t>Grupo Menos Ã‰ Mais</t>
  </si>
  <si>
    <t>Nicki Nicole</t>
  </si>
  <si>
    <t>Moneybagg Yo</t>
  </si>
  <si>
    <t>Magenta</t>
  </si>
  <si>
    <t>Ryan Lewis</t>
  </si>
  <si>
    <t>Morad</t>
  </si>
  <si>
    <t>Calum Scott</t>
  </si>
  <si>
    <t>TOMORROW X TOGETHER</t>
  </si>
  <si>
    <t>Grupo Marca Registrada</t>
  </si>
  <si>
    <t>benny blanco</t>
  </si>
  <si>
    <t>JID</t>
  </si>
  <si>
    <t>YNW Melly</t>
  </si>
  <si>
    <t>Juan Gabriel</t>
  </si>
  <si>
    <t>Los Temerarios</t>
  </si>
  <si>
    <t>Jason Mraz</t>
  </si>
  <si>
    <t>The Cure</t>
  </si>
  <si>
    <t>The MarÃ­as</t>
  </si>
  <si>
    <t>Limp Bizkit</t>
  </si>
  <si>
    <t>Nu Metal</t>
  </si>
  <si>
    <t>Korn</t>
  </si>
  <si>
    <t>Omar Courtz</t>
  </si>
  <si>
    <t>Gender</t>
  </si>
  <si>
    <t>Artist Type</t>
  </si>
  <si>
    <t xml:space="preserve"> </t>
  </si>
  <si>
    <t>% of Collaborative streams2</t>
  </si>
  <si>
    <t>% of Solo Streams2</t>
  </si>
  <si>
    <t>Total Stream</t>
  </si>
  <si>
    <t>Stream differences</t>
  </si>
  <si>
    <t>Collaborative Rate</t>
  </si>
  <si>
    <t>Artist Performance Caterogy</t>
  </si>
  <si>
    <t>Sum of Total Stream</t>
  </si>
  <si>
    <t>Debut Year Group</t>
  </si>
  <si>
    <t>Row Labels</t>
  </si>
  <si>
    <t>Grand Total</t>
  </si>
  <si>
    <t xml:space="preserve">Total Artists </t>
  </si>
  <si>
    <t>Total Streams</t>
  </si>
  <si>
    <t>Top Artist</t>
  </si>
  <si>
    <t>Average of Total Stream</t>
  </si>
  <si>
    <t>Sum of % of Solo Streams2</t>
  </si>
  <si>
    <t>Total Artists</t>
  </si>
  <si>
    <t>Average Streams per Artist</t>
  </si>
  <si>
    <t>Total Collaborative Streams</t>
  </si>
  <si>
    <t>Sum of Collaborative Rate</t>
  </si>
  <si>
    <t>Lead Streams</t>
  </si>
  <si>
    <t>Feature Streams</t>
  </si>
  <si>
    <t>Main Dashboard</t>
  </si>
  <si>
    <t>Ranks</t>
  </si>
  <si>
    <t>Collaborative_Rate</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</si>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</sst>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quot;K&quot;"/>
    <numFmt numFmtId="166" formatCode="0,&quot;k&quot;"/>
    <numFmt numFmtId="167" formatCode="0,&quot;K&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tint="-0.499984740745262"/>
      <name val="Calibri"/>
      <family val="2"/>
      <scheme val="minor"/>
    </font>
    <font>
      <b/>
      <sz val="1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1"/>
        <bgColor indexed="64"/>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13" fillId="33" borderId="10" xfId="0" applyFont="1" applyFill="1" applyBorder="1"/>
    <xf numFmtId="49" fontId="0" fillId="0" borderId="0" xfId="0" applyNumberFormat="1"/>
    <xf numFmtId="2" fontId="0" fillId="0" borderId="0" xfId="0" applyNumberFormat="1"/>
    <xf numFmtId="1" fontId="0" fillId="0" borderId="0" xfId="0" applyNumberFormat="1"/>
    <xf numFmtId="10" fontId="0" fillId="0" borderId="0" xfId="0" applyNumberFormat="1"/>
    <xf numFmtId="164" fontId="0" fillId="0" borderId="0" xfId="0" applyNumberFormat="1"/>
    <xf numFmtId="9" fontId="0" fillId="0" borderId="0" xfId="0" applyNumberFormat="1"/>
    <xf numFmtId="9" fontId="0" fillId="0" borderId="0" xfId="1" applyFont="1"/>
    <xf numFmtId="49" fontId="0" fillId="34" borderId="10" xfId="0" applyNumberFormat="1" applyFill="1" applyBorder="1"/>
    <xf numFmtId="1" fontId="0" fillId="34" borderId="10" xfId="0" applyNumberFormat="1" applyFill="1" applyBorder="1"/>
    <xf numFmtId="49" fontId="0" fillId="0" borderId="10" xfId="0" applyNumberFormat="1" applyBorder="1"/>
    <xf numFmtId="1" fontId="0" fillId="0" borderId="10" xfId="0" applyNumberFormat="1" applyBorder="1"/>
    <xf numFmtId="49" fontId="0" fillId="0" borderId="11" xfId="0" applyNumberFormat="1" applyBorder="1"/>
    <xf numFmtId="1" fontId="0" fillId="0" borderId="11" xfId="0" applyNumberFormat="1" applyBorder="1"/>
    <xf numFmtId="0" fontId="0" fillId="0" borderId="11" xfId="0" applyBorder="1"/>
    <xf numFmtId="0" fontId="0" fillId="0" borderId="0" xfId="0" pivotButton="1"/>
    <xf numFmtId="0" fontId="0" fillId="0" borderId="0" xfId="0" applyAlignment="1">
      <alignment horizontal="left"/>
    </xf>
    <xf numFmtId="49" fontId="0" fillId="34" borderId="12" xfId="0" applyNumberFormat="1" applyFill="1" applyBorder="1"/>
    <xf numFmtId="9" fontId="1" fillId="0" borderId="0" xfId="0" applyNumberFormat="1" applyFont="1"/>
    <xf numFmtId="165" fontId="0" fillId="0" borderId="0" xfId="0" applyNumberFormat="1"/>
    <xf numFmtId="0" fontId="0" fillId="35" borderId="0" xfId="0" applyFill="1"/>
    <xf numFmtId="0" fontId="0" fillId="36" borderId="0" xfId="0" applyFill="1"/>
    <xf numFmtId="166" fontId="0" fillId="0" borderId="0" xfId="0" applyNumberFormat="1"/>
    <xf numFmtId="167" fontId="0" fillId="0" borderId="0" xfId="0" applyNumberFormat="1"/>
    <xf numFmtId="0" fontId="16" fillId="0" borderId="0" xfId="0" applyFont="1"/>
    <xf numFmtId="0" fontId="17" fillId="35" borderId="0" xfId="0" applyFont="1" applyFill="1"/>
    <xf numFmtId="0" fontId="19" fillId="0" borderId="0" xfId="0" applyFont="1"/>
    <xf numFmtId="1" fontId="0" fillId="0" borderId="0" xfId="0" applyNumberFormat="1" applyAlignment="1">
      <alignment horizontal="left" indent="1"/>
    </xf>
    <xf numFmtId="0" fontId="16" fillId="0" borderId="0" xfId="0" applyFont="1" applyAlignment="1">
      <alignment horizontal="center" vertical="center" wrapText="1"/>
    </xf>
    <xf numFmtId="0" fontId="18" fillId="35" borderId="0" xfId="0" applyFont="1"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1">
    <dxf>
      <numFmt numFmtId="13" formatCode="0%"/>
    </dxf>
    <dxf>
      <numFmt numFmtId="166" formatCode="0,&quot;k&quot;"/>
    </dxf>
    <dxf>
      <font>
        <b/>
        <i val="0"/>
        <u/>
        <sz val="14"/>
        <name val="Bahnschrift"/>
        <family val="2"/>
        <scheme val="none"/>
      </font>
      <border diagonalUp="0" diagonalDown="0">
        <left/>
        <right/>
        <top/>
        <bottom/>
        <vertical/>
        <horizontal/>
      </border>
    </dxf>
    <dxf>
      <font>
        <b/>
        <i val="0"/>
        <sz val="14"/>
        <color theme="1"/>
        <name val="Aptos"/>
        <family val="2"/>
        <scheme val="none"/>
      </font>
      <fill>
        <patternFill>
          <bgColor rgb="FF4ECB27"/>
        </patternFill>
      </fill>
      <border>
        <left style="thin">
          <color theme="1"/>
        </left>
        <right style="thin">
          <color theme="1"/>
        </right>
        <top style="thin">
          <color theme="1"/>
        </top>
        <bottom style="thin">
          <color theme="1"/>
        </bottom>
      </border>
    </dxf>
    <dxf>
      <numFmt numFmtId="0" formatCode="General"/>
    </dxf>
    <dxf>
      <font>
        <b val="0"/>
        <i val="0"/>
        <strike val="0"/>
        <condense val="0"/>
        <extend val="0"/>
        <outline val="0"/>
        <shadow val="0"/>
        <u val="none"/>
        <vertAlign val="baseline"/>
        <sz val="11"/>
        <color theme="1"/>
        <name val="Calibri"/>
        <family val="2"/>
        <scheme val="minor"/>
      </font>
      <numFmt numFmtId="13"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2" formatCode="0.00"/>
    </dxf>
    <dxf>
      <numFmt numFmtId="2" formatCode="0.00"/>
    </dxf>
    <dxf>
      <numFmt numFmtId="164" formatCode="0.0%"/>
    </dxf>
    <dxf>
      <numFmt numFmtId="164" formatCode="0.0%"/>
    </dxf>
    <dxf>
      <numFmt numFmtId="1" formatCode="0"/>
    </dxf>
    <dxf>
      <numFmt numFmtId="1" formatCode="0"/>
    </dxf>
    <dxf>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style="thin">
          <color theme="4" tint="0.39997558519241921"/>
        </bottom>
        <vertical/>
        <horizontal/>
      </border>
    </dxf>
    <dxf>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style="thin">
          <color theme="4" tint="0.39997558519241921"/>
        </bottom>
        <vertical/>
        <horizontal/>
      </border>
    </dxf>
    <dxf>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style="thin">
          <color theme="4" tint="0.39997558519241921"/>
        </bottom>
        <vertical/>
        <horizontal/>
      </border>
    </dxf>
    <dxf>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style="thin">
          <color theme="4" tint="0.39997558519241921"/>
        </bottom>
        <vertical/>
        <horizontal/>
      </border>
    </dxf>
    <dxf>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style="thin">
          <color theme="4" tint="0.39997558519241921"/>
        </bottom>
        <vertical/>
        <horizontal/>
      </border>
    </dxf>
    <dxf>
      <numFmt numFmtId="30" formatCode="@"/>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style="thin">
          <color theme="4" tint="0.39997558519241921"/>
        </bottom>
        <vertical/>
        <horizontal/>
      </border>
    </dxf>
    <dxf>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numFmt numFmtId="164" formatCode="0.0%"/>
    </dxf>
    <dxf>
      <numFmt numFmtId="14" formatCode="0.00%"/>
    </dxf>
    <dxf>
      <numFmt numFmtId="2" formatCode="0.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30" formatCode="@"/>
    </dxf>
    <dxf>
      <font>
        <color theme="0" tint="-4.9989318521683403E-2"/>
      </font>
    </dxf>
    <dxf>
      <font>
        <color rgb="FF4ECB27"/>
      </font>
    </dxf>
  </dxfs>
  <tableStyles count="4" defaultTableStyle="TableStyleMedium2" defaultPivotStyle="PivotStyleLight16">
    <tableStyle name="Performance" pivot="0" table="0" count="9" xr9:uid="{D45174F3-62A4-41A3-B179-9BDF3FD8225D}">
      <tableStyleElement type="wholeTable" dxfId="3"/>
      <tableStyleElement type="headerRow" dxfId="2"/>
    </tableStyle>
    <tableStyle name="Slicer Style 1" pivot="0" table="0" count="4" xr9:uid="{A686749E-EFCB-463D-9831-A643E214A2B6}">
      <tableStyleElement type="wholeTable" dxfId="60"/>
    </tableStyle>
    <tableStyle name="Slicer Style 2" pivot="0" table="0" count="1" xr9:uid="{159CFAF8-7B1F-42B9-9B6B-78AD56A97E85}">
      <tableStyleElement type="wholeTable" dxfId="59"/>
    </tableStyle>
    <tableStyle name="Slicer Style 3" pivot="0" table="0" count="0" xr9:uid="{C8C42F66-2F58-49F2-ABBC-09A27CC0C611}"/>
  </tableStyles>
  <colors>
    <mruColors>
      <color rgb="FF4ECB27"/>
      <color rgb="FF43AE22"/>
      <color rgb="FF172C51"/>
      <color rgb="FF344F21"/>
    </mruColors>
  </colors>
  <extLst>
    <ext xmlns:x14="http://schemas.microsoft.com/office/spreadsheetml/2009/9/main" uri="{46F421CA-312F-682f-3DD2-61675219B42D}">
      <x14:dxfs count="10">
        <dxf>
          <font>
            <color theme="1"/>
          </font>
        </dxf>
        <dxf>
          <fill>
            <patternFill>
              <bgColor theme="1"/>
            </patternFill>
          </fill>
        </dxf>
        <dxf>
          <fill>
            <patternFill>
              <bgColor theme="9" tint="0.79998168889431442"/>
            </patternFill>
          </fill>
        </dxf>
        <dxf>
          <fill>
            <patternFill patternType="none">
              <bgColor auto="1"/>
            </patternFill>
          </fill>
        </dxf>
        <dxf>
          <font>
            <color rgb="FF4ECB27"/>
          </font>
        </dxf>
        <dxf>
          <font>
            <b/>
            <i val="0"/>
            <sz val="12"/>
            <color rgb="FF4ECB27"/>
            <name val="Aptos Narrow"/>
            <family val="2"/>
            <scheme val="none"/>
          </font>
          <fill>
            <patternFill>
              <bgColor theme="1"/>
            </patternFill>
          </fill>
        </dxf>
        <dxf>
          <font>
            <color theme="1"/>
          </font>
        </dxf>
        <dxf>
          <font>
            <color theme="0"/>
          </font>
        </dxf>
        <dxf>
          <font>
            <color theme="1"/>
          </font>
        </dxf>
        <dxf>
          <font>
            <color rgb="FF4ECB27"/>
          </font>
        </dxf>
      </x14:dxfs>
    </ext>
    <ext xmlns:x14="http://schemas.microsoft.com/office/spreadsheetml/2009/9/main" uri="{EB79DEF2-80B8-43e5-95BD-54CBDDF9020C}">
      <x14:slicerStyles defaultSlicerStyle="SlicerStyleLight6">
        <x14:slicerStyle name="Performance">
          <x14:slicerStyleElements>
            <x14:slicerStyleElement type="unselectedItemWithData" dxfId="0"/>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SelectedItemWithNoData" dxfId="1"/>
          </x14:slicerStyleElements>
        </x14:slicerStyle>
        <x14:slicerStyle name="Slicer Style 1">
          <x14:slicerStyleElements>
            <x14:slicerStyleElement type="unselectedItemWithData" dxfId="9"/>
            <x14:slicerStyleElement type="selectedItemWithData" dxfId="8"/>
            <x14:slicerStyleElement type="hoveredSelectedItemWithData" dxfId="7"/>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10/relationships/person" Target="persons/person.xml"/><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4.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3.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Streaming Performance Dataset.xlsx]Pivot Tables!top5_Artists</c:name>
    <c:fmtId val="7"/>
  </c:pivotSource>
  <c:chart>
    <c:title>
      <c:tx>
        <c:rich>
          <a:bodyPr rot="0" spcFirstLastPara="1" vertOverflow="ellipsis" vert="horz" wrap="square" anchor="ctr" anchorCtr="1"/>
          <a:lstStyle/>
          <a:p>
            <a:pPr>
              <a:defRPr sz="1600" b="1" i="0" u="none" strike="noStrike" kern="1200" baseline="0">
                <a:solidFill>
                  <a:schemeClr val="accent6">
                    <a:lumMod val="20000"/>
                    <a:lumOff val="80000"/>
                  </a:schemeClr>
                </a:solidFill>
                <a:latin typeface="+mn-lt"/>
                <a:ea typeface="+mn-ea"/>
                <a:cs typeface="+mn-cs"/>
              </a:defRPr>
            </a:pPr>
            <a:r>
              <a:rPr lang="en-US">
                <a:solidFill>
                  <a:schemeClr val="accent6">
                    <a:lumMod val="20000"/>
                    <a:lumOff val="80000"/>
                  </a:schemeClr>
                </a:solidFill>
              </a:rPr>
              <a:t>Top 5 Artist By Streams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20000"/>
                  <a:lumOff val="80000"/>
                </a:schemeClr>
              </a:solidFill>
              <a:latin typeface="+mn-lt"/>
              <a:ea typeface="+mn-ea"/>
              <a:cs typeface="+mn-cs"/>
            </a:defRPr>
          </a:pPr>
          <a:endParaRPr lang="en-US"/>
        </a:p>
      </c:txPr>
    </c:title>
    <c:autoTitleDeleted val="0"/>
    <c:pivotFmts>
      <c:pivotFmt>
        <c:idx val="0"/>
      </c:pivotFmt>
      <c:pivotFmt>
        <c:idx val="1"/>
      </c:pivotFmt>
      <c:pivotFmt>
        <c:idx val="2"/>
        <c:spPr>
          <a:solidFill>
            <a:srgbClr val="43AE22"/>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3AE22"/>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3AE22"/>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65467832290432"/>
          <c:y val="0.16086751583662126"/>
          <c:w val="0.72023591325227765"/>
          <c:h val="0.71217099096922465"/>
        </c:manualLayout>
      </c:layout>
      <c:barChart>
        <c:barDir val="bar"/>
        <c:grouping val="clustered"/>
        <c:varyColors val="0"/>
        <c:ser>
          <c:idx val="0"/>
          <c:order val="0"/>
          <c:tx>
            <c:strRef>
              <c:f>'Pivot Tables'!$B$8</c:f>
              <c:strCache>
                <c:ptCount val="1"/>
                <c:pt idx="0">
                  <c:v>Total</c:v>
                </c:pt>
              </c:strCache>
            </c:strRef>
          </c:tx>
          <c:spPr>
            <a:solidFill>
              <a:srgbClr val="43AE22"/>
            </a:soli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Tables'!$A$9:$A$13</c:f>
              <c:strCache>
                <c:ptCount val="5"/>
                <c:pt idx="0">
                  <c:v>Bad Bunny</c:v>
                </c:pt>
                <c:pt idx="1">
                  <c:v>Drake</c:v>
                </c:pt>
                <c:pt idx="2">
                  <c:v>Justin Bieber</c:v>
                </c:pt>
                <c:pt idx="3">
                  <c:v>Taylor Swift</c:v>
                </c:pt>
                <c:pt idx="4">
                  <c:v>The Weeknd</c:v>
                </c:pt>
              </c:strCache>
            </c:strRef>
          </c:cat>
          <c:val>
            <c:numRef>
              <c:f>'Pivot Tables'!$B$9:$B$13</c:f>
              <c:numCache>
                <c:formatCode>##0,"K"</c:formatCode>
                <c:ptCount val="5"/>
                <c:pt idx="0">
                  <c:v>125899.8</c:v>
                </c:pt>
                <c:pt idx="1">
                  <c:v>137492</c:v>
                </c:pt>
                <c:pt idx="2">
                  <c:v>78104.399999999994</c:v>
                </c:pt>
                <c:pt idx="3">
                  <c:v>127861.1</c:v>
                </c:pt>
                <c:pt idx="4">
                  <c:v>95703.2</c:v>
                </c:pt>
              </c:numCache>
            </c:numRef>
          </c:val>
          <c:extLst>
            <c:ext xmlns:c16="http://schemas.microsoft.com/office/drawing/2014/chart" uri="{C3380CC4-5D6E-409C-BE32-E72D297353CC}">
              <c16:uniqueId val="{00000005-BA35-4703-903F-B3D778E38957}"/>
            </c:ext>
          </c:extLst>
        </c:ser>
        <c:dLbls>
          <c:dLblPos val="outEnd"/>
          <c:showLegendKey val="0"/>
          <c:showVal val="1"/>
          <c:showCatName val="0"/>
          <c:showSerName val="0"/>
          <c:showPercent val="0"/>
          <c:showBubbleSize val="0"/>
        </c:dLbls>
        <c:gapWidth val="100"/>
        <c:axId val="1640226384"/>
        <c:axId val="1527256304"/>
      </c:barChart>
      <c:catAx>
        <c:axId val="16402263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6">
                    <a:lumMod val="20000"/>
                    <a:lumOff val="80000"/>
                  </a:schemeClr>
                </a:solidFill>
                <a:latin typeface="+mn-lt"/>
                <a:ea typeface="+mn-ea"/>
                <a:cs typeface="+mn-cs"/>
              </a:defRPr>
            </a:pPr>
            <a:endParaRPr lang="en-US"/>
          </a:p>
        </c:txPr>
        <c:crossAx val="1527256304"/>
        <c:crosses val="autoZero"/>
        <c:auto val="1"/>
        <c:lblAlgn val="ctr"/>
        <c:lblOffset val="100"/>
        <c:noMultiLvlLbl val="0"/>
      </c:catAx>
      <c:valAx>
        <c:axId val="1527256304"/>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20000"/>
                    <a:lumOff val="80000"/>
                  </a:schemeClr>
                </a:solidFill>
                <a:latin typeface="+mn-lt"/>
                <a:ea typeface="+mn-ea"/>
                <a:cs typeface="+mn-cs"/>
              </a:defRPr>
            </a:pPr>
            <a:endParaRPr lang="en-US"/>
          </a:p>
        </c:txPr>
        <c:crossAx val="164022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43AE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Streaming Performance Dataset.xlsx]Pivot Tables!stream by country</c:name>
    <c:fmtId val="27"/>
  </c:pivotSource>
  <c:chart>
    <c:title>
      <c:tx>
        <c:rich>
          <a:bodyPr rot="0" spcFirstLastPara="1" vertOverflow="ellipsis" vert="horz" wrap="square" anchor="ctr" anchorCtr="1"/>
          <a:lstStyle/>
          <a:p>
            <a:pPr>
              <a:defRPr sz="1400" b="1" i="0" u="none" strike="noStrike" kern="1200" spc="0" baseline="0">
                <a:solidFill>
                  <a:schemeClr val="accent6">
                    <a:lumMod val="20000"/>
                    <a:lumOff val="80000"/>
                  </a:schemeClr>
                </a:solidFill>
                <a:latin typeface="+mn-lt"/>
                <a:ea typeface="+mn-ea"/>
                <a:cs typeface="+mn-cs"/>
              </a:defRPr>
            </a:pPr>
            <a:r>
              <a:rPr lang="en-IN" sz="1400" b="1" i="0" u="none" strike="noStrike" baseline="0"/>
              <a:t>Top 5 Countries by Streams</a:t>
            </a:r>
            <a:endParaRPr lang="en-US" b="1" baseline="0">
              <a:solidFill>
                <a:schemeClr val="accent6">
                  <a:lumMod val="20000"/>
                  <a:lumOff val="8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ECB27"/>
          </a:solidFill>
          <a:ln>
            <a:noFill/>
          </a:ln>
          <a:effectLst/>
          <a:scene3d>
            <a:camera prst="orthographicFront"/>
            <a:lightRig rig="threePt" dir="t"/>
          </a:scene3d>
          <a:sp3d prstMaterial="matte">
            <a:bevelT w="1270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Tables'!$B$17</c:f>
              <c:strCache>
                <c:ptCount val="1"/>
                <c:pt idx="0">
                  <c:v>Total</c:v>
                </c:pt>
              </c:strCache>
            </c:strRef>
          </c:tx>
          <c:spPr>
            <a:solidFill>
              <a:srgbClr val="4ECB27"/>
            </a:solidFill>
            <a:ln>
              <a:noFill/>
            </a:ln>
            <a:effectLst/>
            <a:scene3d>
              <a:camera prst="orthographicFront"/>
              <a:lightRig rig="threePt" dir="t"/>
            </a:scene3d>
            <a:sp3d prstMaterial="matte">
              <a:bevelT w="127000" h="635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Tables'!$A$18:$A$22</c:f>
              <c:strCache>
                <c:ptCount val="5"/>
                <c:pt idx="0">
                  <c:v>Canada</c:v>
                </c:pt>
                <c:pt idx="1">
                  <c:v>Colombia</c:v>
                </c:pt>
                <c:pt idx="2">
                  <c:v>Mexico</c:v>
                </c:pt>
                <c:pt idx="3">
                  <c:v>United Kingdom</c:v>
                </c:pt>
                <c:pt idx="4">
                  <c:v>United States</c:v>
                </c:pt>
              </c:strCache>
            </c:strRef>
          </c:cat>
          <c:val>
            <c:numRef>
              <c:f>'Pivot Tables'!$B$18:$B$22</c:f>
              <c:numCache>
                <c:formatCode>##0,"K"</c:formatCode>
                <c:ptCount val="5"/>
                <c:pt idx="0">
                  <c:v>496852.9</c:v>
                </c:pt>
                <c:pt idx="1">
                  <c:v>327831.09999999992</c:v>
                </c:pt>
                <c:pt idx="2">
                  <c:v>332426.40000000002</c:v>
                </c:pt>
                <c:pt idx="3">
                  <c:v>852501.79999999993</c:v>
                </c:pt>
                <c:pt idx="4">
                  <c:v>4787905.9000000013</c:v>
                </c:pt>
              </c:numCache>
            </c:numRef>
          </c:val>
          <c:extLst>
            <c:ext xmlns:c16="http://schemas.microsoft.com/office/drawing/2014/chart" uri="{C3380CC4-5D6E-409C-BE32-E72D297353CC}">
              <c16:uniqueId val="{00000005-5772-4994-B54C-0C2F290470F4}"/>
            </c:ext>
          </c:extLst>
        </c:ser>
        <c:dLbls>
          <c:showLegendKey val="0"/>
          <c:showVal val="0"/>
          <c:showCatName val="0"/>
          <c:showSerName val="0"/>
          <c:showPercent val="0"/>
          <c:showBubbleSize val="0"/>
        </c:dLbls>
        <c:gapWidth val="219"/>
        <c:axId val="175165727"/>
        <c:axId val="1660054096"/>
      </c:barChart>
      <c:catAx>
        <c:axId val="17516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20000"/>
                    <a:lumOff val="80000"/>
                  </a:schemeClr>
                </a:solidFill>
                <a:latin typeface="Aptos" panose="020B0004020202020204" pitchFamily="34" charset="0"/>
                <a:ea typeface="+mn-ea"/>
                <a:cs typeface="+mn-cs"/>
              </a:defRPr>
            </a:pPr>
            <a:endParaRPr lang="en-US"/>
          </a:p>
        </c:txPr>
        <c:crossAx val="1660054096"/>
        <c:crosses val="autoZero"/>
        <c:auto val="1"/>
        <c:lblAlgn val="ctr"/>
        <c:lblOffset val="100"/>
        <c:noMultiLvlLbl val="0"/>
      </c:catAx>
      <c:valAx>
        <c:axId val="1660054096"/>
        <c:scaling>
          <c:orientation val="minMax"/>
        </c:scaling>
        <c:delete val="0"/>
        <c:axPos val="b"/>
        <c:majorGridlines>
          <c:spPr>
            <a:ln w="9525" cap="flat" cmpd="sng" algn="ctr">
              <a:solidFill>
                <a:schemeClr val="bg1">
                  <a:alpha val="2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20000"/>
                    <a:lumOff val="80000"/>
                  </a:schemeClr>
                </a:solidFill>
                <a:latin typeface="+mn-lt"/>
                <a:ea typeface="+mn-ea"/>
                <a:cs typeface="+mn-cs"/>
              </a:defRPr>
            </a:pPr>
            <a:endParaRPr lang="en-US"/>
          </a:p>
        </c:txPr>
        <c:crossAx val="17516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43AE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Streaming Performance Dataset.xlsx]Pivot Tables!Top5_Genre</c:name>
    <c:fmtId val="16"/>
  </c:pivotSource>
  <c:chart>
    <c:title>
      <c:tx>
        <c:rich>
          <a:bodyPr rot="0" spcFirstLastPara="1" vertOverflow="ellipsis" vert="horz" wrap="square" anchor="ctr" anchorCtr="1"/>
          <a:lstStyle/>
          <a:p>
            <a:pPr>
              <a:defRPr sz="1600" b="1" i="0" u="none" strike="noStrike" kern="1200" spc="0" baseline="0">
                <a:solidFill>
                  <a:schemeClr val="accent6">
                    <a:lumMod val="20000"/>
                    <a:lumOff val="80000"/>
                  </a:schemeClr>
                </a:solidFill>
                <a:latin typeface="+mn-lt"/>
                <a:ea typeface="+mn-ea"/>
                <a:cs typeface="+mn-cs"/>
              </a:defRPr>
            </a:pPr>
            <a:r>
              <a:rPr lang="en-IN" sz="1600" b="1">
                <a:solidFill>
                  <a:schemeClr val="accent6">
                    <a:lumMod val="20000"/>
                    <a:lumOff val="80000"/>
                  </a:schemeClr>
                </a:solidFill>
              </a:rPr>
              <a:t>Total Stream by Genre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3AE22"/>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a:scene3d>
            <a:camera prst="orthographicFront"/>
            <a:lightRig rig="threePt" dir="t"/>
          </a:scene3d>
          <a:sp3d>
            <a:bevelT w="190500" h="38100"/>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3AE22"/>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3AE22"/>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1109023082766"/>
          <c:y val="0.16035901591640636"/>
          <c:w val="0.86659631418479222"/>
          <c:h val="0.71308081435629256"/>
        </c:manualLayout>
      </c:layout>
      <c:barChart>
        <c:barDir val="col"/>
        <c:grouping val="clustered"/>
        <c:varyColors val="0"/>
        <c:ser>
          <c:idx val="0"/>
          <c:order val="0"/>
          <c:tx>
            <c:strRef>
              <c:f>'Pivot Tables'!$E$17</c:f>
              <c:strCache>
                <c:ptCount val="1"/>
                <c:pt idx="0">
                  <c:v>Total</c:v>
                </c:pt>
              </c:strCache>
            </c:strRef>
          </c:tx>
          <c:spPr>
            <a:solidFill>
              <a:srgbClr val="43AE22"/>
            </a:solidFill>
            <a:ln>
              <a:noFill/>
            </a:ln>
            <a:effectLst/>
            <a:scene3d>
              <a:camera prst="orthographicFront"/>
              <a:lightRig rig="threePt" dir="t"/>
            </a:scene3d>
            <a:sp3d>
              <a:bevelT w="190500" h="38100"/>
            </a:sp3d>
          </c:spPr>
          <c:invertIfNegative val="0"/>
          <c:cat>
            <c:strRef>
              <c:f>'Pivot Tables'!$D$18:$D$22</c:f>
              <c:strCache>
                <c:ptCount val="5"/>
                <c:pt idx="0">
                  <c:v>Hip-Hop</c:v>
                </c:pt>
                <c:pt idx="1">
                  <c:v>Pop</c:v>
                </c:pt>
                <c:pt idx="2">
                  <c:v>R&amp;B</c:v>
                </c:pt>
                <c:pt idx="3">
                  <c:v>Reggaeton</c:v>
                </c:pt>
                <c:pt idx="4">
                  <c:v>Rock</c:v>
                </c:pt>
              </c:strCache>
            </c:strRef>
          </c:cat>
          <c:val>
            <c:numRef>
              <c:f>'Pivot Tables'!$E$18:$E$22</c:f>
              <c:numCache>
                <c:formatCode>0,"K"</c:formatCode>
                <c:ptCount val="5"/>
                <c:pt idx="0">
                  <c:v>2126475.6999999997</c:v>
                </c:pt>
                <c:pt idx="1">
                  <c:v>2004162.4999999998</c:v>
                </c:pt>
                <c:pt idx="2">
                  <c:v>570871.80000000005</c:v>
                </c:pt>
                <c:pt idx="3">
                  <c:v>889049.60000000009</c:v>
                </c:pt>
                <c:pt idx="4">
                  <c:v>812423.99999999988</c:v>
                </c:pt>
              </c:numCache>
            </c:numRef>
          </c:val>
          <c:extLst>
            <c:ext xmlns:c16="http://schemas.microsoft.com/office/drawing/2014/chart" uri="{C3380CC4-5D6E-409C-BE32-E72D297353CC}">
              <c16:uniqueId val="{00000005-8464-4B9C-9FCB-DEDB3AB88BBF}"/>
            </c:ext>
          </c:extLst>
        </c:ser>
        <c:dLbls>
          <c:showLegendKey val="0"/>
          <c:showVal val="0"/>
          <c:showCatName val="0"/>
          <c:showSerName val="0"/>
          <c:showPercent val="0"/>
          <c:showBubbleSize val="0"/>
        </c:dLbls>
        <c:gapWidth val="219"/>
        <c:axId val="1521399536"/>
        <c:axId val="1659918736"/>
      </c:barChart>
      <c:catAx>
        <c:axId val="152139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20000"/>
                    <a:lumOff val="80000"/>
                  </a:schemeClr>
                </a:solidFill>
                <a:latin typeface="+mn-lt"/>
                <a:ea typeface="+mn-ea"/>
                <a:cs typeface="+mn-cs"/>
              </a:defRPr>
            </a:pPr>
            <a:endParaRPr lang="en-US"/>
          </a:p>
        </c:txPr>
        <c:crossAx val="1659918736"/>
        <c:crosses val="autoZero"/>
        <c:auto val="1"/>
        <c:lblAlgn val="ctr"/>
        <c:lblOffset val="100"/>
        <c:noMultiLvlLbl val="0"/>
      </c:catAx>
      <c:valAx>
        <c:axId val="1659918736"/>
        <c:scaling>
          <c:orientation val="minMax"/>
        </c:scaling>
        <c:delete val="0"/>
        <c:axPos val="l"/>
        <c:majorGridlines>
          <c:spPr>
            <a:ln w="9525" cap="flat" cmpd="sng" algn="ctr">
              <a:solidFill>
                <a:srgbClr val="43AE22">
                  <a:alpha val="34000"/>
                </a:srgb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152139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43AE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Streaming Performance Dataset.xlsx]Pivot Tables!soloVS collab</c:name>
    <c:fmtId val="11"/>
  </c:pivotSource>
  <c:chart>
    <c:title>
      <c:tx>
        <c:rich>
          <a:bodyPr rot="0" spcFirstLastPara="1" vertOverflow="ellipsis" vert="horz" wrap="square" anchor="ctr" anchorCtr="1"/>
          <a:lstStyle/>
          <a:p>
            <a:pPr>
              <a:defRPr sz="1400" b="1" i="0" u="none" strike="noStrike" kern="1200" spc="0" baseline="0">
                <a:solidFill>
                  <a:schemeClr val="accent6">
                    <a:lumMod val="20000"/>
                    <a:lumOff val="80000"/>
                  </a:schemeClr>
                </a:solidFill>
                <a:latin typeface="+mn-lt"/>
                <a:ea typeface="+mn-ea"/>
                <a:cs typeface="+mn-cs"/>
              </a:defRPr>
            </a:pPr>
            <a:r>
              <a:rPr lang="en-IN" sz="1400" b="1" i="0" u="none" strike="noStrike" baseline="0"/>
              <a:t>Collaboration Rate by Top 5 Artists</a:t>
            </a:r>
            <a:r>
              <a:rPr lang="en-US" b="1" baseline="0">
                <a:solidFill>
                  <a:schemeClr val="accent6">
                    <a:lumMod val="20000"/>
                    <a:lumOff val="80000"/>
                  </a:schemeClr>
                </a:solidFill>
              </a:rPr>
              <a:t> </a:t>
            </a:r>
            <a:endParaRPr lang="en-IN" b="1">
              <a:solidFill>
                <a:schemeClr val="accent6">
                  <a:lumMod val="20000"/>
                  <a:lumOff val="8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20000"/>
                  <a:lumOff val="80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43AE22"/>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43AE22"/>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43AE22"/>
          </a:solidFill>
          <a:ln>
            <a:noFill/>
          </a:ln>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4ECB27"/>
          </a:solidFill>
          <a:ln>
            <a:noFill/>
          </a:ln>
          <a:effectLst/>
          <a:scene3d>
            <a:camera prst="orthographicFront"/>
            <a:lightRig rig="threePt" dir="t"/>
          </a:scene3d>
          <a:sp3d>
            <a:bevelT w="190500" h="38100"/>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contrasting" dir="t">
              <a:rot lat="0" lon="0" rev="1500000"/>
            </a:lightRig>
          </a:scene3d>
          <a:sp3d prstMaterial="metal">
            <a:bevelT w="88900" h="889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FFFF00">
                <a:alpha val="41000"/>
              </a:srgbClr>
            </a:solidFill>
            <a:prstDash val="dash"/>
            <a:round/>
          </a:ln>
          <a:effectLst/>
        </c:spPr>
        <c:marker>
          <c:symbol val="circle"/>
          <c:size val="5"/>
          <c:spPr>
            <a:solidFill>
              <a:srgbClr val="FFFF00"/>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spPr>
          <a:solidFill>
            <a:srgbClr val="4ECB27"/>
          </a:solidFill>
          <a:ln>
            <a:noFill/>
          </a:ln>
          <a:effectLst/>
          <a:scene3d>
            <a:camera prst="orthographicFront"/>
            <a:lightRig rig="threePt" dir="t"/>
          </a:scene3d>
          <a:sp3d>
            <a:bevelT w="190500" h="38100"/>
          </a:sp3d>
        </c:spPr>
        <c:dLbl>
          <c:idx val="0"/>
          <c:layout>
            <c:manualLayout>
              <c:x val="0"/>
              <c:y val="-4.5243827634295145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a:scene3d>
            <a:camera prst="orthographicFront"/>
            <a:lightRig rig="contrasting" dir="t">
              <a:rot lat="0" lon="0" rev="1500000"/>
            </a:lightRig>
          </a:scene3d>
          <a:sp3d prstMaterial="metal">
            <a:bevelT w="88900" h="889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4ECB27"/>
          </a:solidFill>
          <a:ln>
            <a:noFill/>
          </a:ln>
          <a:effectLst/>
          <a:scene3d>
            <a:camera prst="orthographicFront"/>
            <a:lightRig rig="threePt" dir="t"/>
          </a:scene3d>
          <a:sp3d>
            <a:bevelT w="190500" h="38100"/>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ECB27"/>
          </a:solidFill>
          <a:ln>
            <a:noFill/>
          </a:ln>
          <a:effectLst/>
          <a:scene3d>
            <a:camera prst="orthographicFront"/>
            <a:lightRig rig="threePt" dir="t"/>
          </a:scene3d>
          <a:sp3d>
            <a:bevelT w="190500" h="38100"/>
          </a:sp3d>
        </c:spPr>
      </c:pivotFmt>
      <c:pivotFmt>
        <c:idx val="26"/>
        <c:spPr>
          <a:solidFill>
            <a:schemeClr val="accent1"/>
          </a:solidFill>
          <a:ln>
            <a:solidFill>
              <a:srgbClr val="FFFF00">
                <a:alpha val="68000"/>
              </a:srgbClr>
            </a:solidFill>
            <a:prstDash val="dash"/>
          </a:ln>
          <a:effectLst/>
        </c:spPr>
        <c:marker>
          <c:symbol val="circle"/>
          <c:size val="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7617923353888"/>
          <c:y val="0.20484858538852327"/>
          <c:w val="0.85349980007385251"/>
          <c:h val="0.47071262298092131"/>
        </c:manualLayout>
      </c:layout>
      <c:barChart>
        <c:barDir val="col"/>
        <c:grouping val="clustered"/>
        <c:varyColors val="0"/>
        <c:ser>
          <c:idx val="0"/>
          <c:order val="0"/>
          <c:tx>
            <c:strRef>
              <c:f>'Pivot Tables'!$B$29</c:f>
              <c:strCache>
                <c:ptCount val="1"/>
                <c:pt idx="0">
                  <c:v>Total Streams</c:v>
                </c:pt>
              </c:strCache>
            </c:strRef>
          </c:tx>
          <c:spPr>
            <a:solidFill>
              <a:srgbClr val="4ECB27"/>
            </a:solidFill>
            <a:ln>
              <a:noFill/>
            </a:ln>
            <a:effectLst/>
            <a:scene3d>
              <a:camera prst="orthographicFront"/>
              <a:lightRig rig="threePt" dir="t"/>
            </a:scene3d>
            <a:sp3d>
              <a:bevelT w="190500" h="38100"/>
            </a:sp3d>
          </c:spPr>
          <c:invertIfNegative val="0"/>
          <c:dPt>
            <c:idx val="3"/>
            <c:invertIfNegative val="0"/>
            <c:bubble3D val="0"/>
            <c:spPr>
              <a:solidFill>
                <a:srgbClr val="4ECB27"/>
              </a:solidFill>
              <a:ln>
                <a:noFill/>
              </a:ln>
              <a:effectLst/>
              <a:scene3d>
                <a:camera prst="orthographicFront"/>
                <a:lightRig rig="threePt" dir="t"/>
              </a:scene3d>
              <a:sp3d>
                <a:bevelT w="190500" h="38100"/>
              </a:sp3d>
            </c:spPr>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Tables'!$A$30:$A$34</c:f>
              <c:strCache>
                <c:ptCount val="5"/>
                <c:pt idx="0">
                  <c:v>Bad Bunny</c:v>
                </c:pt>
                <c:pt idx="1">
                  <c:v>Drake</c:v>
                </c:pt>
                <c:pt idx="2">
                  <c:v>Justin Bieber</c:v>
                </c:pt>
                <c:pt idx="3">
                  <c:v>Taylor Swift</c:v>
                </c:pt>
                <c:pt idx="4">
                  <c:v>The Weeknd</c:v>
                </c:pt>
              </c:strCache>
            </c:strRef>
          </c:cat>
          <c:val>
            <c:numRef>
              <c:f>'Pivot Tables'!$B$30:$B$34</c:f>
              <c:numCache>
                <c:formatCode>0</c:formatCode>
                <c:ptCount val="5"/>
                <c:pt idx="0">
                  <c:v>125899.8</c:v>
                </c:pt>
                <c:pt idx="1">
                  <c:v>137492</c:v>
                </c:pt>
                <c:pt idx="2">
                  <c:v>78104.399999999994</c:v>
                </c:pt>
                <c:pt idx="3">
                  <c:v>127861.1</c:v>
                </c:pt>
                <c:pt idx="4">
                  <c:v>95703.2</c:v>
                </c:pt>
              </c:numCache>
            </c:numRef>
          </c:val>
          <c:extLst>
            <c:ext xmlns:c16="http://schemas.microsoft.com/office/drawing/2014/chart" uri="{C3380CC4-5D6E-409C-BE32-E72D297353CC}">
              <c16:uniqueId val="{0000000B-8FBB-4305-8515-7D7876A56AAF}"/>
            </c:ext>
          </c:extLst>
        </c:ser>
        <c:ser>
          <c:idx val="1"/>
          <c:order val="1"/>
          <c:tx>
            <c:strRef>
              <c:f>'Pivot Tables'!$C$29</c:f>
              <c:strCache>
                <c:ptCount val="1"/>
                <c:pt idx="0">
                  <c:v>Collaborative_Rate</c:v>
                </c:pt>
              </c:strCache>
            </c:strRef>
          </c:tx>
          <c:spPr>
            <a:solidFill>
              <a:schemeClr val="accent2"/>
            </a:solidFill>
            <a:ln w="25400">
              <a:noFill/>
            </a:ln>
            <a:effectLst/>
          </c:spPr>
          <c:invertIfNegative val="0"/>
          <c:cat>
            <c:strRef>
              <c:f>'Pivot Tables'!$A$30:$A$34</c:f>
              <c:strCache>
                <c:ptCount val="5"/>
                <c:pt idx="0">
                  <c:v>Bad Bunny</c:v>
                </c:pt>
                <c:pt idx="1">
                  <c:v>Drake</c:v>
                </c:pt>
                <c:pt idx="2">
                  <c:v>Justin Bieber</c:v>
                </c:pt>
                <c:pt idx="3">
                  <c:v>Taylor Swift</c:v>
                </c:pt>
                <c:pt idx="4">
                  <c:v>The Weeknd</c:v>
                </c:pt>
              </c:strCache>
            </c:strRef>
          </c:cat>
          <c:val>
            <c:numRef>
              <c:f>'Pivot Tables'!$C$30:$C$34</c:f>
              <c:numCache>
                <c:formatCode>0%</c:formatCode>
                <c:ptCount val="5"/>
                <c:pt idx="0">
                  <c:v>0.61169914487552801</c:v>
                </c:pt>
                <c:pt idx="1">
                  <c:v>0.61216798068251244</c:v>
                </c:pt>
                <c:pt idx="2">
                  <c:v>0.62052970127163132</c:v>
                </c:pt>
                <c:pt idx="3">
                  <c:v>0.11293114168421826</c:v>
                </c:pt>
                <c:pt idx="4">
                  <c:v>0.46689347900592665</c:v>
                </c:pt>
              </c:numCache>
            </c:numRef>
          </c:val>
          <c:extLst>
            <c:ext xmlns:c16="http://schemas.microsoft.com/office/drawing/2014/chart" uri="{C3380CC4-5D6E-409C-BE32-E72D297353CC}">
              <c16:uniqueId val="{0000000C-8FBB-4305-8515-7D7876A56AAF}"/>
            </c:ext>
          </c:extLst>
        </c:ser>
        <c:dLbls>
          <c:showLegendKey val="0"/>
          <c:showVal val="0"/>
          <c:showCatName val="0"/>
          <c:showSerName val="0"/>
          <c:showPercent val="0"/>
          <c:showBubbleSize val="0"/>
        </c:dLbls>
        <c:gapWidth val="219"/>
        <c:axId val="1557649552"/>
        <c:axId val="1580076816"/>
      </c:barChart>
      <c:catAx>
        <c:axId val="155764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1580076816"/>
        <c:crosses val="autoZero"/>
        <c:auto val="1"/>
        <c:lblAlgn val="ctr"/>
        <c:lblOffset val="100"/>
        <c:noMultiLvlLbl val="0"/>
      </c:catAx>
      <c:valAx>
        <c:axId val="1580076816"/>
        <c:scaling>
          <c:orientation val="minMax"/>
        </c:scaling>
        <c:delete val="0"/>
        <c:axPos val="l"/>
        <c:majorGridlines>
          <c:spPr>
            <a:ln w="9525" cap="flat" cmpd="sng" algn="ctr">
              <a:solidFill>
                <a:schemeClr val="bg1">
                  <a:lumMod val="95000"/>
                  <a:alpha val="13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1557649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43AE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Streaming Performance Dataset.xlsx]Pivot Tables!PivotTable13</c:name>
    <c:fmtId val="26"/>
  </c:pivotSource>
  <c:chart>
    <c:title>
      <c:tx>
        <c:rich>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r>
              <a:rPr lang="en-IN" b="1">
                <a:solidFill>
                  <a:schemeClr val="bg1"/>
                </a:solidFill>
                <a:latin typeface="Aptos" panose="020B0004020202020204" pitchFamily="34" charset="0"/>
              </a:rPr>
              <a:t>Streams:</a:t>
            </a:r>
            <a:r>
              <a:rPr lang="en-IN" b="1" baseline="0">
                <a:solidFill>
                  <a:schemeClr val="bg1"/>
                </a:solidFill>
                <a:latin typeface="Aptos" panose="020B0004020202020204" pitchFamily="34" charset="0"/>
              </a:rPr>
              <a:t> Lead Vs Featured</a:t>
            </a:r>
            <a:endParaRPr lang="en-IN" b="1">
              <a:solidFill>
                <a:schemeClr val="bg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Aptos" panose="020B0004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ECB27"/>
          </a:solidFill>
          <a:ln>
            <a:noFill/>
          </a:ln>
          <a:effectLst/>
          <a:scene3d>
            <a:camera prst="orthographicFront"/>
            <a:lightRig rig="threePt" dir="t"/>
          </a:scene3d>
          <a:sp3d prstMaterial="matte">
            <a:bevelT w="1270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threePt" dir="t"/>
          </a:scene3d>
          <a:sp3d prstMaterial="matte">
            <a:bevelT w="1270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Tables'!$H$27</c:f>
              <c:strCache>
                <c:ptCount val="1"/>
                <c:pt idx="0">
                  <c:v>Lead Streams</c:v>
                </c:pt>
              </c:strCache>
            </c:strRef>
          </c:tx>
          <c:spPr>
            <a:solidFill>
              <a:srgbClr val="4ECB27"/>
            </a:solidFill>
            <a:ln>
              <a:noFill/>
            </a:ln>
            <a:effectLst/>
            <a:scene3d>
              <a:camera prst="orthographicFront"/>
              <a:lightRig rig="threePt" dir="t"/>
            </a:scene3d>
            <a:sp3d prstMaterial="matte">
              <a:bevelT w="127000" h="63500"/>
            </a:sp3d>
          </c:spPr>
          <c:invertIfNegative val="0"/>
          <c:cat>
            <c:strRef>
              <c:f>'Pivot Tables'!$G$28:$G$32</c:f>
              <c:strCache>
                <c:ptCount val="5"/>
                <c:pt idx="0">
                  <c:v>Bad Bunny</c:v>
                </c:pt>
                <c:pt idx="1">
                  <c:v>Drake</c:v>
                </c:pt>
                <c:pt idx="2">
                  <c:v>Ed Sheeran</c:v>
                </c:pt>
                <c:pt idx="3">
                  <c:v>Taylor Swift</c:v>
                </c:pt>
                <c:pt idx="4">
                  <c:v>The Weeknd</c:v>
                </c:pt>
              </c:strCache>
            </c:strRef>
          </c:cat>
          <c:val>
            <c:numRef>
              <c:f>'Pivot Tables'!$H$28:$H$32</c:f>
              <c:numCache>
                <c:formatCode>0</c:formatCode>
                <c:ptCount val="5"/>
                <c:pt idx="0">
                  <c:v>82189.3</c:v>
                </c:pt>
                <c:pt idx="1">
                  <c:v>94851.1</c:v>
                </c:pt>
                <c:pt idx="2">
                  <c:v>57704</c:v>
                </c:pt>
                <c:pt idx="3">
                  <c:v>126177.3</c:v>
                </c:pt>
                <c:pt idx="4">
                  <c:v>77189.399999999994</c:v>
                </c:pt>
              </c:numCache>
            </c:numRef>
          </c:val>
          <c:extLst>
            <c:ext xmlns:c16="http://schemas.microsoft.com/office/drawing/2014/chart" uri="{C3380CC4-5D6E-409C-BE32-E72D297353CC}">
              <c16:uniqueId val="{00000009-B5C6-45A4-8FFD-4F49CE6E8D6F}"/>
            </c:ext>
          </c:extLst>
        </c:ser>
        <c:ser>
          <c:idx val="1"/>
          <c:order val="1"/>
          <c:tx>
            <c:strRef>
              <c:f>'Pivot Tables'!$I$27</c:f>
              <c:strCache>
                <c:ptCount val="1"/>
                <c:pt idx="0">
                  <c:v>Feature Streams</c:v>
                </c:pt>
              </c:strCache>
            </c:strRef>
          </c:tx>
          <c:spPr>
            <a:solidFill>
              <a:schemeClr val="accent2"/>
            </a:solidFill>
            <a:ln>
              <a:noFill/>
            </a:ln>
            <a:effectLst/>
            <a:scene3d>
              <a:camera prst="orthographicFront"/>
              <a:lightRig rig="threePt" dir="t"/>
            </a:scene3d>
            <a:sp3d prstMaterial="matte">
              <a:bevelT w="127000" h="63500"/>
            </a:sp3d>
          </c:spPr>
          <c:invertIfNegative val="0"/>
          <c:cat>
            <c:strRef>
              <c:f>'Pivot Tables'!$G$28:$G$32</c:f>
              <c:strCache>
                <c:ptCount val="5"/>
                <c:pt idx="0">
                  <c:v>Bad Bunny</c:v>
                </c:pt>
                <c:pt idx="1">
                  <c:v>Drake</c:v>
                </c:pt>
                <c:pt idx="2">
                  <c:v>Ed Sheeran</c:v>
                </c:pt>
                <c:pt idx="3">
                  <c:v>Taylor Swift</c:v>
                </c:pt>
                <c:pt idx="4">
                  <c:v>The Weeknd</c:v>
                </c:pt>
              </c:strCache>
            </c:strRef>
          </c:cat>
          <c:val>
            <c:numRef>
              <c:f>'Pivot Tables'!$I$28:$I$32</c:f>
              <c:numCache>
                <c:formatCode>0</c:formatCode>
                <c:ptCount val="5"/>
                <c:pt idx="0">
                  <c:v>43710.5</c:v>
                </c:pt>
                <c:pt idx="1">
                  <c:v>42640.9</c:v>
                </c:pt>
                <c:pt idx="2">
                  <c:v>6967.8</c:v>
                </c:pt>
                <c:pt idx="3">
                  <c:v>1683.8</c:v>
                </c:pt>
                <c:pt idx="4">
                  <c:v>18513.8</c:v>
                </c:pt>
              </c:numCache>
            </c:numRef>
          </c:val>
          <c:extLst>
            <c:ext xmlns:c16="http://schemas.microsoft.com/office/drawing/2014/chart" uri="{C3380CC4-5D6E-409C-BE32-E72D297353CC}">
              <c16:uniqueId val="{0000000A-B5C6-45A4-8FFD-4F49CE6E8D6F}"/>
            </c:ext>
          </c:extLst>
        </c:ser>
        <c:dLbls>
          <c:showLegendKey val="0"/>
          <c:showVal val="0"/>
          <c:showCatName val="0"/>
          <c:showSerName val="0"/>
          <c:showPercent val="0"/>
          <c:showBubbleSize val="0"/>
        </c:dLbls>
        <c:gapWidth val="219"/>
        <c:overlap val="-27"/>
        <c:axId val="428942336"/>
        <c:axId val="624639568"/>
      </c:barChart>
      <c:catAx>
        <c:axId val="42894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4639568"/>
        <c:crosses val="autoZero"/>
        <c:auto val="1"/>
        <c:lblAlgn val="ctr"/>
        <c:lblOffset val="100"/>
        <c:noMultiLvlLbl val="0"/>
      </c:catAx>
      <c:valAx>
        <c:axId val="624639568"/>
        <c:scaling>
          <c:orientation val="minMax"/>
        </c:scaling>
        <c:delete val="0"/>
        <c:axPos val="l"/>
        <c:majorGridlines>
          <c:spPr>
            <a:ln w="9525" cap="flat" cmpd="sng" algn="ctr">
              <a:solidFill>
                <a:srgbClr val="43AE22">
                  <a:alpha val="32000"/>
                </a:srgb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428942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4ECB27"/>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chart" Target="../charts/chart4.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7.png"/><Relationship Id="rId5" Type="http://schemas.openxmlformats.org/officeDocument/2006/relationships/chart" Target="../charts/chart2.xml"/><Relationship Id="rId10" Type="http://schemas.openxmlformats.org/officeDocument/2006/relationships/image" Target="../media/image6.png"/><Relationship Id="rId4" Type="http://schemas.openxmlformats.org/officeDocument/2006/relationships/chart" Target="../charts/chart1.xml"/><Relationship Id="rId9" Type="http://schemas.openxmlformats.org/officeDocument/2006/relationships/image" Target="../media/image5.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12</xdr:col>
      <xdr:colOff>83702</xdr:colOff>
      <xdr:row>1</xdr:row>
      <xdr:rowOff>66994</xdr:rowOff>
    </xdr:from>
    <xdr:to>
      <xdr:col>15</xdr:col>
      <xdr:colOff>42333</xdr:colOff>
      <xdr:row>4</xdr:row>
      <xdr:rowOff>175852</xdr:rowOff>
    </xdr:to>
    <xdr:sp macro="" textlink="'Pivot Tables'!E4">
      <xdr:nvSpPr>
        <xdr:cNvPr id="8" name="Rectangle: Rounded Corners 7">
          <a:extLst>
            <a:ext uri="{FF2B5EF4-FFF2-40B4-BE49-F238E27FC236}">
              <a16:creationId xmlns:a16="http://schemas.microsoft.com/office/drawing/2014/main" id="{57CF13EF-509D-49A2-BD18-6D1BC02A5050}"/>
            </a:ext>
          </a:extLst>
        </xdr:cNvPr>
        <xdr:cNvSpPr/>
      </xdr:nvSpPr>
      <xdr:spPr>
        <a:xfrm>
          <a:off x="7398902" y="253261"/>
          <a:ext cx="1787431" cy="667658"/>
        </a:xfrm>
        <a:prstGeom prst="roundRect">
          <a:avLst>
            <a:gd name="adj" fmla="val 22580"/>
          </a:avLst>
        </a:prstGeom>
        <a:solidFill>
          <a:schemeClr val="tx1"/>
        </a:solidFill>
        <a:ln w="31750">
          <a:solidFill>
            <a:srgbClr val="43AE22"/>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i="0" u="none" strike="noStrike">
              <a:solidFill>
                <a:schemeClr val="bg1"/>
              </a:solidFill>
              <a:latin typeface="Aptos" panose="020B0004020202020204" pitchFamily="34" charset="0"/>
              <a:ea typeface="Calibri"/>
              <a:cs typeface="Calibri"/>
            </a:rPr>
            <a:t>Top</a:t>
          </a:r>
          <a:r>
            <a:rPr lang="en-US" sz="1200" b="1" i="0" u="none" strike="noStrike" baseline="0">
              <a:solidFill>
                <a:schemeClr val="bg1"/>
              </a:solidFill>
              <a:latin typeface="Aptos" panose="020B0004020202020204" pitchFamily="34" charset="0"/>
              <a:ea typeface="Calibri"/>
              <a:cs typeface="Calibri"/>
            </a:rPr>
            <a:t> Artist</a:t>
          </a:r>
          <a:endParaRPr lang="en-US" sz="1200" b="1" i="0" u="none" strike="noStrike">
            <a:solidFill>
              <a:schemeClr val="bg1"/>
            </a:solidFill>
            <a:latin typeface="Aptos" panose="020B0004020202020204" pitchFamily="34" charset="0"/>
            <a:ea typeface="Calibri"/>
            <a:cs typeface="Calibri"/>
          </a:endParaRPr>
        </a:p>
        <a:p>
          <a:pPr algn="r"/>
          <a:fld id="{75A1C90C-DA2B-476A-99E0-B29566009F77}" type="TxLink">
            <a:rPr lang="en-US" sz="1200" b="1" i="0" u="none" strike="noStrike">
              <a:solidFill>
                <a:schemeClr val="bg1"/>
              </a:solidFill>
              <a:latin typeface="Aptos" panose="020B0004020202020204" pitchFamily="34" charset="0"/>
              <a:ea typeface="Calibri"/>
              <a:cs typeface="Calibri"/>
            </a:rPr>
            <a:t>Drake</a:t>
          </a:fld>
          <a:endParaRPr lang="en-US" sz="1600" b="1" i="0" u="none" strike="noStrike">
            <a:solidFill>
              <a:schemeClr val="bg1"/>
            </a:solidFill>
            <a:latin typeface="Aptos" panose="020B0004020202020204" pitchFamily="34" charset="0"/>
          </a:endParaRPr>
        </a:p>
      </xdr:txBody>
    </xdr:sp>
    <xdr:clientData/>
  </xdr:twoCellAnchor>
  <xdr:twoCellAnchor>
    <xdr:from>
      <xdr:col>23</xdr:col>
      <xdr:colOff>169332</xdr:colOff>
      <xdr:row>1</xdr:row>
      <xdr:rowOff>54919</xdr:rowOff>
    </xdr:from>
    <xdr:to>
      <xdr:col>26</xdr:col>
      <xdr:colOff>93133</xdr:colOff>
      <xdr:row>4</xdr:row>
      <xdr:rowOff>143188</xdr:rowOff>
    </xdr:to>
    <xdr:sp macro="" textlink="'Pivot Tables'!$F$4">
      <xdr:nvSpPr>
        <xdr:cNvPr id="14" name="Rectangle: Rounded Corners 13">
          <a:extLst>
            <a:ext uri="{FF2B5EF4-FFF2-40B4-BE49-F238E27FC236}">
              <a16:creationId xmlns:a16="http://schemas.microsoft.com/office/drawing/2014/main" id="{8FA7A6C7-899A-48A9-80D8-6AD5490A2776}"/>
            </a:ext>
          </a:extLst>
        </xdr:cNvPr>
        <xdr:cNvSpPr/>
      </xdr:nvSpPr>
      <xdr:spPr>
        <a:xfrm>
          <a:off x="14190132" y="241186"/>
          <a:ext cx="1752601" cy="647069"/>
        </a:xfrm>
        <a:prstGeom prst="roundRect">
          <a:avLst>
            <a:gd name="adj" fmla="val 22580"/>
          </a:avLst>
        </a:prstGeom>
        <a:solidFill>
          <a:schemeClr val="tx1"/>
        </a:solidFill>
        <a:ln w="31750">
          <a:solidFill>
            <a:srgbClr val="43AE22"/>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i="0" u="none" strike="noStrike">
              <a:solidFill>
                <a:schemeClr val="bg1"/>
              </a:solidFill>
              <a:latin typeface="Aptos" panose="020B0004020202020204" pitchFamily="34" charset="0"/>
              <a:ea typeface="Calibri"/>
              <a:cs typeface="Calibri"/>
            </a:rPr>
            <a:t>Avg. Streams</a:t>
          </a:r>
        </a:p>
        <a:p>
          <a:pPr algn="r"/>
          <a:fld id="{0CD7A701-B39F-4679-9A99-E050A33ABF28}" type="TxLink">
            <a:rPr lang="en-US" sz="1200" b="1" i="0" u="none" strike="noStrike">
              <a:solidFill>
                <a:schemeClr val="bg1"/>
              </a:solidFill>
              <a:latin typeface="Aptos" panose="020B0004020202020204" pitchFamily="34" charset="0"/>
              <a:ea typeface="Calibri"/>
              <a:cs typeface="Calibri"/>
            </a:rPr>
            <a:t>137k</a:t>
          </a:fld>
          <a:endParaRPr lang="en-US" sz="1800" b="1" i="0" u="none" strike="noStrike">
            <a:solidFill>
              <a:schemeClr val="bg1"/>
            </a:solidFill>
            <a:latin typeface="Aptos" panose="020B0004020202020204" pitchFamily="34" charset="0"/>
            <a:ea typeface="Microsoft Himalaya" panose="01010100010101010101" pitchFamily="2" charset="0"/>
            <a:cs typeface="Microsoft Himalaya" panose="01010100010101010101" pitchFamily="2" charset="0"/>
          </a:endParaRPr>
        </a:p>
      </xdr:txBody>
    </xdr:sp>
    <xdr:clientData/>
  </xdr:twoCellAnchor>
  <xdr:twoCellAnchor>
    <xdr:from>
      <xdr:col>19</xdr:col>
      <xdr:colOff>160866</xdr:colOff>
      <xdr:row>1</xdr:row>
      <xdr:rowOff>68743</xdr:rowOff>
    </xdr:from>
    <xdr:to>
      <xdr:col>23</xdr:col>
      <xdr:colOff>76200</xdr:colOff>
      <xdr:row>4</xdr:row>
      <xdr:rowOff>153493</xdr:rowOff>
    </xdr:to>
    <xdr:sp macro="" textlink="'Pivot Tables'!$G$8">
      <xdr:nvSpPr>
        <xdr:cNvPr id="53" name="Rectangle: Rounded Corners 52">
          <a:extLst>
            <a:ext uri="{FF2B5EF4-FFF2-40B4-BE49-F238E27FC236}">
              <a16:creationId xmlns:a16="http://schemas.microsoft.com/office/drawing/2014/main" id="{D2B6C0F9-5671-431F-9487-3CA4893D36D3}"/>
            </a:ext>
          </a:extLst>
        </xdr:cNvPr>
        <xdr:cNvSpPr/>
      </xdr:nvSpPr>
      <xdr:spPr>
        <a:xfrm>
          <a:off x="11743266" y="255010"/>
          <a:ext cx="2353734" cy="643550"/>
        </a:xfrm>
        <a:prstGeom prst="roundRect">
          <a:avLst>
            <a:gd name="adj" fmla="val 22580"/>
          </a:avLst>
        </a:prstGeom>
        <a:solidFill>
          <a:schemeClr val="tx1"/>
        </a:solidFill>
        <a:ln w="31750">
          <a:solidFill>
            <a:srgbClr val="43AE22"/>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i="0" u="none" strike="noStrike">
              <a:solidFill>
                <a:schemeClr val="bg1"/>
              </a:solidFill>
              <a:latin typeface="Aptos" panose="020B0004020202020204" pitchFamily="34" charset="0"/>
              <a:ea typeface="Calibri"/>
              <a:cs typeface="Calibri"/>
            </a:rPr>
            <a:t>Collab Performance Rate</a:t>
          </a:r>
        </a:p>
        <a:p>
          <a:pPr algn="r"/>
          <a:fld id="{284E7D6C-F2B6-4DBD-BEB2-BA1D92A816A3}" type="TxLink">
            <a:rPr lang="en-US" sz="1200" b="1" i="0" u="none" strike="noStrike">
              <a:solidFill>
                <a:schemeClr val="bg1"/>
              </a:solidFill>
              <a:latin typeface="Aptos" panose="020B0004020202020204" pitchFamily="34" charset="0"/>
              <a:ea typeface="Calibri"/>
              <a:cs typeface="Calibri"/>
            </a:rPr>
            <a:t>61%</a:t>
          </a:fld>
          <a:endParaRPr lang="en-US" sz="1800" b="1" i="0" u="none" strike="noStrike">
            <a:solidFill>
              <a:schemeClr val="bg1"/>
            </a:solidFill>
            <a:latin typeface="Aptos" panose="020B0004020202020204" pitchFamily="34" charset="0"/>
            <a:ea typeface="Microsoft Himalaya" panose="01010100010101010101" pitchFamily="2" charset="0"/>
            <a:cs typeface="Microsoft Himalaya" panose="01010100010101010101" pitchFamily="2" charset="0"/>
          </a:endParaRPr>
        </a:p>
      </xdr:txBody>
    </xdr:sp>
    <xdr:clientData/>
  </xdr:twoCellAnchor>
  <xdr:twoCellAnchor>
    <xdr:from>
      <xdr:col>5</xdr:col>
      <xdr:colOff>56323</xdr:colOff>
      <xdr:row>1</xdr:row>
      <xdr:rowOff>75429</xdr:rowOff>
    </xdr:from>
    <xdr:to>
      <xdr:col>8</xdr:col>
      <xdr:colOff>270933</xdr:colOff>
      <xdr:row>5</xdr:row>
      <xdr:rowOff>23817</xdr:rowOff>
    </xdr:to>
    <xdr:sp macro="" textlink="'Pivot Tables'!$B$4">
      <xdr:nvSpPr>
        <xdr:cNvPr id="51" name="Rectangle: Rounded Corners 50">
          <a:extLst>
            <a:ext uri="{FF2B5EF4-FFF2-40B4-BE49-F238E27FC236}">
              <a16:creationId xmlns:a16="http://schemas.microsoft.com/office/drawing/2014/main" id="{227ED8BC-C781-44CD-AF06-EB3FF4FFB6CC}"/>
            </a:ext>
          </a:extLst>
        </xdr:cNvPr>
        <xdr:cNvSpPr/>
      </xdr:nvSpPr>
      <xdr:spPr>
        <a:xfrm>
          <a:off x="3104323" y="261696"/>
          <a:ext cx="2043410" cy="693454"/>
        </a:xfrm>
        <a:prstGeom prst="roundRect">
          <a:avLst>
            <a:gd name="adj" fmla="val 22580"/>
          </a:avLst>
        </a:prstGeom>
        <a:solidFill>
          <a:schemeClr val="tx1"/>
        </a:solidFill>
        <a:ln w="31750">
          <a:solidFill>
            <a:srgbClr val="43AE22"/>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i="0" u="none" strike="noStrike">
              <a:solidFill>
                <a:schemeClr val="bg1"/>
              </a:solidFill>
              <a:latin typeface="Aptos" panose="020B0004020202020204" pitchFamily="34" charset="0"/>
              <a:ea typeface="Calibri"/>
              <a:cs typeface="Calibri"/>
            </a:rPr>
            <a:t>Total No. of Artist</a:t>
          </a:r>
        </a:p>
        <a:p>
          <a:pPr algn="r"/>
          <a:fld id="{B8E22992-C3B4-4D03-A972-0E53E14D0719}" type="TxLink">
            <a:rPr lang="en-US" sz="1200" b="1" i="0" u="none" strike="noStrike">
              <a:solidFill>
                <a:schemeClr val="bg1"/>
              </a:solidFill>
              <a:latin typeface="Aptos" panose="020B0004020202020204" pitchFamily="34" charset="0"/>
              <a:ea typeface="Calibri"/>
              <a:cs typeface="Calibri"/>
            </a:rPr>
            <a:t>500</a:t>
          </a:fld>
          <a:endParaRPr lang="en-US" sz="1800" b="1" i="0" u="none" strike="noStrike">
            <a:solidFill>
              <a:schemeClr val="bg1"/>
            </a:solidFill>
            <a:latin typeface="Aptos" panose="020B0004020202020204" pitchFamily="34" charset="0"/>
            <a:ea typeface="Microsoft Himalaya" panose="01010100010101010101" pitchFamily="2" charset="0"/>
            <a:cs typeface="Microsoft Himalaya" panose="01010100010101010101" pitchFamily="2" charset="0"/>
          </a:endParaRPr>
        </a:p>
      </xdr:txBody>
    </xdr:sp>
    <xdr:clientData/>
  </xdr:twoCellAnchor>
  <xdr:twoCellAnchor>
    <xdr:from>
      <xdr:col>0</xdr:col>
      <xdr:colOff>17517</xdr:colOff>
      <xdr:row>0</xdr:row>
      <xdr:rowOff>49218</xdr:rowOff>
    </xdr:from>
    <xdr:to>
      <xdr:col>4</xdr:col>
      <xdr:colOff>404091</xdr:colOff>
      <xdr:row>43</xdr:row>
      <xdr:rowOff>140137</xdr:rowOff>
    </xdr:to>
    <xdr:sp macro="" textlink="">
      <xdr:nvSpPr>
        <xdr:cNvPr id="3" name="Rectangle: Rounded Corners 2">
          <a:extLst>
            <a:ext uri="{FF2B5EF4-FFF2-40B4-BE49-F238E27FC236}">
              <a16:creationId xmlns:a16="http://schemas.microsoft.com/office/drawing/2014/main" id="{91647E12-AA83-A461-2965-66A1ED7405B9}"/>
            </a:ext>
          </a:extLst>
        </xdr:cNvPr>
        <xdr:cNvSpPr/>
      </xdr:nvSpPr>
      <xdr:spPr>
        <a:xfrm>
          <a:off x="17517" y="49218"/>
          <a:ext cx="2818125" cy="7822222"/>
        </a:xfrm>
        <a:prstGeom prst="roundRect">
          <a:avLst>
            <a:gd name="adj" fmla="val 6510"/>
          </a:avLst>
        </a:prstGeom>
        <a:solidFill>
          <a:srgbClr val="4ECB27"/>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216338</xdr:colOff>
      <xdr:row>1</xdr:row>
      <xdr:rowOff>86097</xdr:rowOff>
    </xdr:from>
    <xdr:to>
      <xdr:col>1</xdr:col>
      <xdr:colOff>68055</xdr:colOff>
      <xdr:row>4</xdr:row>
      <xdr:rowOff>1226</xdr:rowOff>
    </xdr:to>
    <xdr:pic macro="[1]!DR">
      <xdr:nvPicPr>
        <xdr:cNvPr id="5" name="Picture 4">
          <a:extLst>
            <a:ext uri="{FF2B5EF4-FFF2-40B4-BE49-F238E27FC236}">
              <a16:creationId xmlns:a16="http://schemas.microsoft.com/office/drawing/2014/main" id="{17E7265E-66C6-491A-4886-F5807C501C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338" y="270028"/>
          <a:ext cx="464820" cy="466922"/>
        </a:xfrm>
        <a:prstGeom prst="rect">
          <a:avLst/>
        </a:prstGeom>
        <a:ln>
          <a:noFill/>
        </a:ln>
        <a:effectLst>
          <a:outerShdw blurRad="50800" dist="38100" dir="2700000" algn="tl" rotWithShape="0">
            <a:prstClr val="black">
              <a:alpha val="40000"/>
            </a:prstClr>
          </a:outerShdw>
        </a:effectLst>
        <a:scene3d>
          <a:camera prst="orthographicFront">
            <a:rot lat="0" lon="0" rev="0"/>
          </a:camera>
          <a:lightRig rig="contrasting" dir="t">
            <a:rot lat="0" lon="0" rev="7800000"/>
          </a:lightRig>
        </a:scene3d>
        <a:sp3d>
          <a:bevelT w="139700" h="139700"/>
        </a:sp3d>
      </xdr:spPr>
    </xdr:pic>
    <xdr:clientData/>
  </xdr:twoCellAnchor>
  <xdr:oneCellAnchor>
    <xdr:from>
      <xdr:col>1</xdr:col>
      <xdr:colOff>167620</xdr:colOff>
      <xdr:row>1</xdr:row>
      <xdr:rowOff>60516</xdr:rowOff>
    </xdr:from>
    <xdr:ext cx="1870088" cy="623455"/>
    <xdr:sp macro="" textlink="">
      <xdr:nvSpPr>
        <xdr:cNvPr id="2" name="TextBox 1">
          <a:extLst>
            <a:ext uri="{FF2B5EF4-FFF2-40B4-BE49-F238E27FC236}">
              <a16:creationId xmlns:a16="http://schemas.microsoft.com/office/drawing/2014/main" id="{C1A20385-23CD-526D-270B-A487048D8DA5}"/>
            </a:ext>
          </a:extLst>
        </xdr:cNvPr>
        <xdr:cNvSpPr txBox="1"/>
      </xdr:nvSpPr>
      <xdr:spPr>
        <a:xfrm>
          <a:off x="775508" y="240314"/>
          <a:ext cx="1870088" cy="623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3200" b="1">
              <a:solidFill>
                <a:schemeClr val="tx1"/>
              </a:solidFill>
              <a:latin typeface="Aharoni" panose="02010803020104030203" pitchFamily="2" charset="-79"/>
              <a:cs typeface="Aharoni" panose="02010803020104030203" pitchFamily="2" charset="-79"/>
            </a:rPr>
            <a:t>Spotify</a:t>
          </a:r>
        </a:p>
      </xdr:txBody>
    </xdr:sp>
    <xdr:clientData/>
  </xdr:oneCellAnchor>
  <xdr:twoCellAnchor>
    <xdr:from>
      <xdr:col>1</xdr:col>
      <xdr:colOff>73875</xdr:colOff>
      <xdr:row>9</xdr:row>
      <xdr:rowOff>157780</xdr:rowOff>
    </xdr:from>
    <xdr:to>
      <xdr:col>4</xdr:col>
      <xdr:colOff>510524</xdr:colOff>
      <xdr:row>12</xdr:row>
      <xdr:rowOff>78731</xdr:rowOff>
    </xdr:to>
    <xdr:sp macro="" textlink="">
      <xdr:nvSpPr>
        <xdr:cNvPr id="7" name="Rectangle: Rounded Corners 6">
          <a:extLst>
            <a:ext uri="{FF2B5EF4-FFF2-40B4-BE49-F238E27FC236}">
              <a16:creationId xmlns:a16="http://schemas.microsoft.com/office/drawing/2014/main" id="{FECC77B6-6951-BC0F-3F37-FB6FE1D037A6}"/>
            </a:ext>
          </a:extLst>
        </xdr:cNvPr>
        <xdr:cNvSpPr/>
      </xdr:nvSpPr>
      <xdr:spPr>
        <a:xfrm>
          <a:off x="685784" y="1820325"/>
          <a:ext cx="2272376" cy="475133"/>
        </a:xfrm>
        <a:prstGeom prst="roundRect">
          <a:avLst/>
        </a:prstGeom>
        <a:solidFill>
          <a:schemeClr val="tx1"/>
        </a:solidFill>
        <a:ln>
          <a:noFill/>
        </a:ln>
        <a:effectLst>
          <a:outerShdw blurRad="63500" sx="102000" sy="102000" algn="ctr" rotWithShape="0">
            <a:prstClr val="black">
              <a:alpha val="40000"/>
            </a:prst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2" algn="l"/>
          <a:r>
            <a:rPr lang="en-IN" sz="1400">
              <a:solidFill>
                <a:srgbClr val="4ECB27"/>
              </a:solidFill>
              <a:latin typeface="Aharoni" panose="02010803020104030203" pitchFamily="2" charset="-79"/>
              <a:cs typeface="Aharoni" panose="02010803020104030203" pitchFamily="2" charset="-79"/>
            </a:rPr>
            <a:t>Dashboard</a:t>
          </a:r>
        </a:p>
      </xdr:txBody>
    </xdr:sp>
    <xdr:clientData/>
  </xdr:twoCellAnchor>
  <xdr:twoCellAnchor>
    <xdr:from>
      <xdr:col>8</xdr:col>
      <xdr:colOff>422968</xdr:colOff>
      <xdr:row>1</xdr:row>
      <xdr:rowOff>82060</xdr:rowOff>
    </xdr:from>
    <xdr:to>
      <xdr:col>11</xdr:col>
      <xdr:colOff>541868</xdr:colOff>
      <xdr:row>5</xdr:row>
      <xdr:rowOff>15073</xdr:rowOff>
    </xdr:to>
    <xdr:sp macro="" textlink="'Pivot Tables'!$A$4">
      <xdr:nvSpPr>
        <xdr:cNvPr id="20" name="Rectangle: Rounded Corners 19">
          <a:extLst>
            <a:ext uri="{FF2B5EF4-FFF2-40B4-BE49-F238E27FC236}">
              <a16:creationId xmlns:a16="http://schemas.microsoft.com/office/drawing/2014/main" id="{10FA07D6-9E5F-4FFD-A2C1-78A4870CDF9C}"/>
            </a:ext>
          </a:extLst>
        </xdr:cNvPr>
        <xdr:cNvSpPr/>
      </xdr:nvSpPr>
      <xdr:spPr>
        <a:xfrm>
          <a:off x="5299768" y="268327"/>
          <a:ext cx="1947700" cy="678079"/>
        </a:xfrm>
        <a:prstGeom prst="roundRect">
          <a:avLst>
            <a:gd name="adj" fmla="val 22580"/>
          </a:avLst>
        </a:prstGeom>
        <a:solidFill>
          <a:schemeClr val="tx1"/>
        </a:solidFill>
        <a:ln w="31750">
          <a:solidFill>
            <a:srgbClr val="43AE22"/>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i="0" u="none" strike="noStrike">
              <a:solidFill>
                <a:schemeClr val="bg1"/>
              </a:solidFill>
              <a:latin typeface="Aptos" panose="020B0004020202020204" pitchFamily="34" charset="0"/>
              <a:ea typeface="Calibri"/>
              <a:cs typeface="Calibri"/>
            </a:rPr>
            <a:t>Total Streams</a:t>
          </a:r>
        </a:p>
        <a:p>
          <a:pPr algn="r"/>
          <a:fld id="{DADAEC09-B15F-431D-A644-954B81FEB09F}" type="TxLink">
            <a:rPr lang="en-US" sz="1200" b="1" i="0" u="none" strike="noStrike">
              <a:solidFill>
                <a:schemeClr val="bg1"/>
              </a:solidFill>
              <a:latin typeface="Aptos" panose="020B0004020202020204" pitchFamily="34" charset="0"/>
              <a:ea typeface="Calibri"/>
              <a:cs typeface="Calibri"/>
            </a:rPr>
            <a:t>8412K</a:t>
          </a:fld>
          <a:endParaRPr lang="en-US" sz="1600" b="1" i="0" u="none" strike="noStrike">
            <a:solidFill>
              <a:schemeClr val="bg1"/>
            </a:solidFill>
            <a:latin typeface="Aptos" panose="020B0004020202020204" pitchFamily="34" charset="0"/>
            <a:ea typeface="Microsoft Himalaya" panose="01010100010101010101" pitchFamily="2" charset="0"/>
            <a:cs typeface="Microsoft Himalaya" panose="01010100010101010101" pitchFamily="2" charset="0"/>
          </a:endParaRPr>
        </a:p>
      </xdr:txBody>
    </xdr:sp>
    <xdr:clientData/>
  </xdr:twoCellAnchor>
  <xdr:twoCellAnchor editAs="oneCell">
    <xdr:from>
      <xdr:col>8</xdr:col>
      <xdr:colOff>584787</xdr:colOff>
      <xdr:row>2</xdr:row>
      <xdr:rowOff>63374</xdr:rowOff>
    </xdr:from>
    <xdr:to>
      <xdr:col>9</xdr:col>
      <xdr:colOff>311975</xdr:colOff>
      <xdr:row>4</xdr:row>
      <xdr:rowOff>25559</xdr:rowOff>
    </xdr:to>
    <xdr:pic>
      <xdr:nvPicPr>
        <xdr:cNvPr id="22" name="Picture 21">
          <a:extLst>
            <a:ext uri="{FF2B5EF4-FFF2-40B4-BE49-F238E27FC236}">
              <a16:creationId xmlns:a16="http://schemas.microsoft.com/office/drawing/2014/main" id="{010EFE1A-DE66-4D9F-8E97-1181227FAF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61587" y="435907"/>
          <a:ext cx="336788" cy="334719"/>
        </a:xfrm>
        <a:prstGeom prst="rect">
          <a:avLst/>
        </a:prstGeom>
      </xdr:spPr>
    </xdr:pic>
    <xdr:clientData/>
  </xdr:twoCellAnchor>
  <xdr:twoCellAnchor editAs="oneCell">
    <xdr:from>
      <xdr:col>23</xdr:col>
      <xdr:colOff>323059</xdr:colOff>
      <xdr:row>2</xdr:row>
      <xdr:rowOff>61635</xdr:rowOff>
    </xdr:from>
    <xdr:to>
      <xdr:col>23</xdr:col>
      <xdr:colOff>601133</xdr:colOff>
      <xdr:row>3</xdr:row>
      <xdr:rowOff>145305</xdr:rowOff>
    </xdr:to>
    <xdr:pic>
      <xdr:nvPicPr>
        <xdr:cNvPr id="25" name="Picture 24">
          <a:extLst>
            <a:ext uri="{FF2B5EF4-FFF2-40B4-BE49-F238E27FC236}">
              <a16:creationId xmlns:a16="http://schemas.microsoft.com/office/drawing/2014/main" id="{20BABB57-AB54-4F3B-9C14-09103F24814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343859" y="434168"/>
          <a:ext cx="278074" cy="269937"/>
        </a:xfrm>
        <a:prstGeom prst="rect">
          <a:avLst/>
        </a:prstGeom>
      </xdr:spPr>
    </xdr:pic>
    <xdr:clientData/>
  </xdr:twoCellAnchor>
  <xdr:twoCellAnchor>
    <xdr:from>
      <xdr:col>5</xdr:col>
      <xdr:colOff>58553</xdr:colOff>
      <xdr:row>8</xdr:row>
      <xdr:rowOff>8374</xdr:rowOff>
    </xdr:from>
    <xdr:to>
      <xdr:col>13</xdr:col>
      <xdr:colOff>326695</xdr:colOff>
      <xdr:row>24</xdr:row>
      <xdr:rowOff>168233</xdr:rowOff>
    </xdr:to>
    <xdr:graphicFrame macro="">
      <xdr:nvGraphicFramePr>
        <xdr:cNvPr id="41" name="Chart 40">
          <a:extLst>
            <a:ext uri="{FF2B5EF4-FFF2-40B4-BE49-F238E27FC236}">
              <a16:creationId xmlns:a16="http://schemas.microsoft.com/office/drawing/2014/main" id="{149C20FC-1E12-4CB8-AB0B-94501DC82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261701</xdr:colOff>
      <xdr:row>13</xdr:row>
      <xdr:rowOff>162659</xdr:rowOff>
    </xdr:from>
    <xdr:to>
      <xdr:col>3</xdr:col>
      <xdr:colOff>605614</xdr:colOff>
      <xdr:row>20</xdr:row>
      <xdr:rowOff>170447</xdr:rowOff>
    </xdr:to>
    <mc:AlternateContent xmlns:mc="http://schemas.openxmlformats.org/markup-compatibility/2006" xmlns:a14="http://schemas.microsoft.com/office/drawing/2010/main">
      <mc:Choice Requires="a14">
        <xdr:graphicFrame macro="">
          <xdr:nvGraphicFramePr>
            <xdr:cNvPr id="42" name="Gender 2">
              <a:extLst>
                <a:ext uri="{FF2B5EF4-FFF2-40B4-BE49-F238E27FC236}">
                  <a16:creationId xmlns:a16="http://schemas.microsoft.com/office/drawing/2014/main" id="{956BD5B2-B3AD-404D-8A88-EF59DD4F955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61701" y="2584126"/>
              <a:ext cx="2172713" cy="1311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245540</xdr:colOff>
      <xdr:row>26</xdr:row>
      <xdr:rowOff>175905</xdr:rowOff>
    </xdr:from>
    <xdr:to>
      <xdr:col>3</xdr:col>
      <xdr:colOff>588918</xdr:colOff>
      <xdr:row>34</xdr:row>
      <xdr:rowOff>9896</xdr:rowOff>
    </xdr:to>
    <mc:AlternateContent xmlns:mc="http://schemas.openxmlformats.org/markup-compatibility/2006" xmlns:a14="http://schemas.microsoft.com/office/drawing/2010/main">
      <mc:Choice Requires="a14">
        <xdr:graphicFrame macro="">
          <xdr:nvGraphicFramePr>
            <xdr:cNvPr id="43" name="Debut Year Group 2">
              <a:extLst>
                <a:ext uri="{FF2B5EF4-FFF2-40B4-BE49-F238E27FC236}">
                  <a16:creationId xmlns:a16="http://schemas.microsoft.com/office/drawing/2014/main" id="{2792774A-797D-440B-9D8E-4E9AC826D80D}"/>
                </a:ext>
              </a:extLst>
            </xdr:cNvPr>
            <xdr:cNvGraphicFramePr/>
          </xdr:nvGraphicFramePr>
          <xdr:xfrm>
            <a:off x="0" y="0"/>
            <a:ext cx="0" cy="0"/>
          </xdr:xfrm>
          <a:graphic>
            <a:graphicData uri="http://schemas.microsoft.com/office/drawing/2010/slicer">
              <sle:slicer xmlns:sle="http://schemas.microsoft.com/office/drawing/2010/slicer" name="Debut Year Group 2"/>
            </a:graphicData>
          </a:graphic>
        </xdr:graphicFrame>
      </mc:Choice>
      <mc:Fallback xmlns="">
        <xdr:sp macro="" textlink="">
          <xdr:nvSpPr>
            <xdr:cNvPr id="0" name=""/>
            <xdr:cNvSpPr>
              <a:spLocks noTextEdit="1"/>
            </xdr:cNvSpPr>
          </xdr:nvSpPr>
          <xdr:spPr>
            <a:xfrm>
              <a:off x="245540" y="5018838"/>
              <a:ext cx="2172178" cy="13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306651</xdr:colOff>
      <xdr:row>34</xdr:row>
      <xdr:rowOff>102299</xdr:rowOff>
    </xdr:from>
    <xdr:to>
      <xdr:col>3</xdr:col>
      <xdr:colOff>569410</xdr:colOff>
      <xdr:row>41</xdr:row>
      <xdr:rowOff>135389</xdr:rowOff>
    </xdr:to>
    <mc:AlternateContent xmlns:mc="http://schemas.openxmlformats.org/markup-compatibility/2006" xmlns:a14="http://schemas.microsoft.com/office/drawing/2010/main">
      <mc:Choice Requires="a14">
        <xdr:graphicFrame macro="">
          <xdr:nvGraphicFramePr>
            <xdr:cNvPr id="44" name="Performance">
              <a:extLst>
                <a:ext uri="{FF2B5EF4-FFF2-40B4-BE49-F238E27FC236}">
                  <a16:creationId xmlns:a16="http://schemas.microsoft.com/office/drawing/2014/main" id="{415041A5-5E9B-47BD-8680-292AD6AA9F9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306651" y="6435366"/>
              <a:ext cx="2091559" cy="1336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234160</xdr:colOff>
      <xdr:row>21</xdr:row>
      <xdr:rowOff>35241</xdr:rowOff>
    </xdr:from>
    <xdr:to>
      <xdr:col>3</xdr:col>
      <xdr:colOff>604345</xdr:colOff>
      <xdr:row>26</xdr:row>
      <xdr:rowOff>164621</xdr:rowOff>
    </xdr:to>
    <mc:AlternateContent xmlns:mc="http://schemas.openxmlformats.org/markup-compatibility/2006" xmlns:a14="http://schemas.microsoft.com/office/drawing/2010/main">
      <mc:Choice Requires="a14">
        <xdr:graphicFrame macro="">
          <xdr:nvGraphicFramePr>
            <xdr:cNvPr id="45" name=" Artist Type">
              <a:extLst>
                <a:ext uri="{FF2B5EF4-FFF2-40B4-BE49-F238E27FC236}">
                  <a16:creationId xmlns:a16="http://schemas.microsoft.com/office/drawing/2014/main" id="{83573413-17FD-4BE1-B262-1C2E4AA47566}"/>
                </a:ext>
              </a:extLst>
            </xdr:cNvPr>
            <xdr:cNvGraphicFramePr/>
          </xdr:nvGraphicFramePr>
          <xdr:xfrm>
            <a:off x="0" y="0"/>
            <a:ext cx="0" cy="0"/>
          </xdr:xfrm>
          <a:graphic>
            <a:graphicData uri="http://schemas.microsoft.com/office/drawing/2010/slicer">
              <sle:slicer xmlns:sle="http://schemas.microsoft.com/office/drawing/2010/slicer" name=" Artist Type"/>
            </a:graphicData>
          </a:graphic>
        </xdr:graphicFrame>
      </mc:Choice>
      <mc:Fallback xmlns="">
        <xdr:sp macro="" textlink="">
          <xdr:nvSpPr>
            <xdr:cNvPr id="0" name=""/>
            <xdr:cNvSpPr>
              <a:spLocks noTextEdit="1"/>
            </xdr:cNvSpPr>
          </xdr:nvSpPr>
          <xdr:spPr>
            <a:xfrm>
              <a:off x="234160" y="3946841"/>
              <a:ext cx="2198985" cy="1060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446218</xdr:colOff>
      <xdr:row>8</xdr:row>
      <xdr:rowOff>0</xdr:rowOff>
    </xdr:from>
    <xdr:to>
      <xdr:col>18</xdr:col>
      <xdr:colOff>162143</xdr:colOff>
      <xdr:row>24</xdr:row>
      <xdr:rowOff>167473</xdr:rowOff>
    </xdr:to>
    <xdr:graphicFrame macro="">
      <xdr:nvGraphicFramePr>
        <xdr:cNvPr id="46" name="Chart 45">
          <a:extLst>
            <a:ext uri="{FF2B5EF4-FFF2-40B4-BE49-F238E27FC236}">
              <a16:creationId xmlns:a16="http://schemas.microsoft.com/office/drawing/2014/main" id="{B0ABE245-FECF-4162-A1BA-9B4210D82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259863</xdr:colOff>
      <xdr:row>8</xdr:row>
      <xdr:rowOff>8374</xdr:rowOff>
    </xdr:from>
    <xdr:to>
      <xdr:col>26</xdr:col>
      <xdr:colOff>25401</xdr:colOff>
      <xdr:row>24</xdr:row>
      <xdr:rowOff>178129</xdr:rowOff>
    </xdr:to>
    <xdr:graphicFrame macro="">
      <xdr:nvGraphicFramePr>
        <xdr:cNvPr id="47" name="Chart 46">
          <a:extLst>
            <a:ext uri="{FF2B5EF4-FFF2-40B4-BE49-F238E27FC236}">
              <a16:creationId xmlns:a16="http://schemas.microsoft.com/office/drawing/2014/main" id="{F2F8B653-73CB-44D8-8B9B-2F01060F2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79169</xdr:colOff>
      <xdr:row>25</xdr:row>
      <xdr:rowOff>154661</xdr:rowOff>
    </xdr:from>
    <xdr:to>
      <xdr:col>16</xdr:col>
      <xdr:colOff>350651</xdr:colOff>
      <xdr:row>42</xdr:row>
      <xdr:rowOff>98961</xdr:rowOff>
    </xdr:to>
    <xdr:graphicFrame macro="">
      <xdr:nvGraphicFramePr>
        <xdr:cNvPr id="19" name="Chart 47">
          <a:extLst>
            <a:ext uri="{FF2B5EF4-FFF2-40B4-BE49-F238E27FC236}">
              <a16:creationId xmlns:a16="http://schemas.microsoft.com/office/drawing/2014/main" id="{B41824A8-06DD-4485-87A5-FEFB43B36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237547</xdr:colOff>
      <xdr:row>2</xdr:row>
      <xdr:rowOff>9153</xdr:rowOff>
    </xdr:from>
    <xdr:to>
      <xdr:col>5</xdr:col>
      <xdr:colOff>575550</xdr:colOff>
      <xdr:row>4</xdr:row>
      <xdr:rowOff>57826</xdr:rowOff>
    </xdr:to>
    <xdr:pic>
      <xdr:nvPicPr>
        <xdr:cNvPr id="61" name="Picture 60">
          <a:extLst>
            <a:ext uri="{FF2B5EF4-FFF2-40B4-BE49-F238E27FC236}">
              <a16:creationId xmlns:a16="http://schemas.microsoft.com/office/drawing/2014/main" id="{2086FC50-3308-B1CF-C7C0-3E63CF6EA71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285547" y="381686"/>
          <a:ext cx="338003" cy="421207"/>
        </a:xfrm>
        <a:prstGeom prst="rect">
          <a:avLst/>
        </a:prstGeom>
      </xdr:spPr>
    </xdr:pic>
    <xdr:clientData/>
  </xdr:twoCellAnchor>
  <xdr:twoCellAnchor editAs="oneCell">
    <xdr:from>
      <xdr:col>19</xdr:col>
      <xdr:colOff>274611</xdr:colOff>
      <xdr:row>2</xdr:row>
      <xdr:rowOff>59316</xdr:rowOff>
    </xdr:from>
    <xdr:to>
      <xdr:col>19</xdr:col>
      <xdr:colOff>567267</xdr:colOff>
      <xdr:row>3</xdr:row>
      <xdr:rowOff>176125</xdr:rowOff>
    </xdr:to>
    <xdr:pic>
      <xdr:nvPicPr>
        <xdr:cNvPr id="63" name="Picture 62">
          <a:extLst>
            <a:ext uri="{FF2B5EF4-FFF2-40B4-BE49-F238E27FC236}">
              <a16:creationId xmlns:a16="http://schemas.microsoft.com/office/drawing/2014/main" id="{9BC3FA88-0749-901E-406D-81058FFCCA15}"/>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857011" y="431849"/>
          <a:ext cx="292656" cy="303076"/>
        </a:xfrm>
        <a:prstGeom prst="rect">
          <a:avLst/>
        </a:prstGeom>
      </xdr:spPr>
    </xdr:pic>
    <xdr:clientData/>
  </xdr:twoCellAnchor>
  <xdr:twoCellAnchor>
    <xdr:from>
      <xdr:col>15</xdr:col>
      <xdr:colOff>175590</xdr:colOff>
      <xdr:row>1</xdr:row>
      <xdr:rowOff>80842</xdr:rowOff>
    </xdr:from>
    <xdr:to>
      <xdr:col>19</xdr:col>
      <xdr:colOff>25399</xdr:colOff>
      <xdr:row>4</xdr:row>
      <xdr:rowOff>175944</xdr:rowOff>
    </xdr:to>
    <xdr:sp macro="" textlink="'Pivot Tables'!$H$8">
      <xdr:nvSpPr>
        <xdr:cNvPr id="68" name="Rectangle: Rounded Corners 67">
          <a:extLst>
            <a:ext uri="{FF2B5EF4-FFF2-40B4-BE49-F238E27FC236}">
              <a16:creationId xmlns:a16="http://schemas.microsoft.com/office/drawing/2014/main" id="{A4F9039E-A00D-45F7-997D-BE66072A0747}"/>
            </a:ext>
          </a:extLst>
        </xdr:cNvPr>
        <xdr:cNvSpPr/>
      </xdr:nvSpPr>
      <xdr:spPr>
        <a:xfrm>
          <a:off x="9319590" y="267109"/>
          <a:ext cx="2288209" cy="653902"/>
        </a:xfrm>
        <a:prstGeom prst="roundRect">
          <a:avLst>
            <a:gd name="adj" fmla="val 22580"/>
          </a:avLst>
        </a:prstGeom>
        <a:solidFill>
          <a:schemeClr val="tx1"/>
        </a:solidFill>
        <a:ln w="31750">
          <a:solidFill>
            <a:srgbClr val="43AE22"/>
          </a:solid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i="0" u="none" strike="noStrike">
              <a:solidFill>
                <a:schemeClr val="bg1"/>
              </a:solidFill>
              <a:latin typeface="Aptos" panose="020B0004020202020204" pitchFamily="34" charset="0"/>
              <a:ea typeface="Calibri"/>
              <a:cs typeface="Calibri"/>
            </a:rPr>
            <a:t>Solo Performance Rate</a:t>
          </a:r>
        </a:p>
        <a:p>
          <a:pPr algn="r"/>
          <a:fld id="{57011372-52CA-4A48-BE59-C9BB4F6737B7}" type="TxLink">
            <a:rPr lang="en-US" sz="1200" b="1" i="0" u="none" strike="noStrike">
              <a:solidFill>
                <a:schemeClr val="bg1"/>
              </a:solidFill>
              <a:latin typeface="Aptos" panose="020B0004020202020204" pitchFamily="34" charset="0"/>
              <a:ea typeface="Calibri"/>
              <a:cs typeface="Calibri"/>
            </a:rPr>
            <a:t>39%</a:t>
          </a:fld>
          <a:endParaRPr lang="en-US" sz="1600" b="1" i="0" u="none" strike="noStrike">
            <a:solidFill>
              <a:schemeClr val="bg1"/>
            </a:solidFill>
            <a:latin typeface="Aptos" panose="020B0004020202020204" pitchFamily="34" charset="0"/>
          </a:endParaRPr>
        </a:p>
      </xdr:txBody>
    </xdr:sp>
    <xdr:clientData/>
  </xdr:twoCellAnchor>
  <xdr:twoCellAnchor editAs="oneCell">
    <xdr:from>
      <xdr:col>12</xdr:col>
      <xdr:colOff>201820</xdr:colOff>
      <xdr:row>2</xdr:row>
      <xdr:rowOff>6920</xdr:rowOff>
    </xdr:from>
    <xdr:to>
      <xdr:col>12</xdr:col>
      <xdr:colOff>562300</xdr:colOff>
      <xdr:row>4</xdr:row>
      <xdr:rowOff>12837</xdr:rowOff>
    </xdr:to>
    <xdr:pic>
      <xdr:nvPicPr>
        <xdr:cNvPr id="69" name="Picture 68">
          <a:extLst>
            <a:ext uri="{FF2B5EF4-FFF2-40B4-BE49-F238E27FC236}">
              <a16:creationId xmlns:a16="http://schemas.microsoft.com/office/drawing/2014/main" id="{304214FD-B9E4-43DF-8606-B9A26F32CE9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517020" y="379453"/>
          <a:ext cx="360480" cy="378451"/>
        </a:xfrm>
        <a:prstGeom prst="rect">
          <a:avLst/>
        </a:prstGeom>
      </xdr:spPr>
    </xdr:pic>
    <xdr:clientData/>
  </xdr:twoCellAnchor>
  <xdr:twoCellAnchor editAs="oneCell">
    <xdr:from>
      <xdr:col>0</xdr:col>
      <xdr:colOff>533768</xdr:colOff>
      <xdr:row>4</xdr:row>
      <xdr:rowOff>79525</xdr:rowOff>
    </xdr:from>
    <xdr:to>
      <xdr:col>1</xdr:col>
      <xdr:colOff>250840</xdr:colOff>
      <xdr:row>6</xdr:row>
      <xdr:rowOff>30143</xdr:rowOff>
    </xdr:to>
    <xdr:pic>
      <xdr:nvPicPr>
        <xdr:cNvPr id="70" name="Picture 69">
          <a:extLst>
            <a:ext uri="{FF2B5EF4-FFF2-40B4-BE49-F238E27FC236}">
              <a16:creationId xmlns:a16="http://schemas.microsoft.com/office/drawing/2014/main" id="{399116CD-52B6-4867-8BA2-4DDCE6B4D0C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33768" y="815249"/>
          <a:ext cx="330175" cy="318480"/>
        </a:xfrm>
        <a:prstGeom prst="rect">
          <a:avLst/>
        </a:prstGeom>
      </xdr:spPr>
    </xdr:pic>
    <xdr:clientData/>
  </xdr:twoCellAnchor>
  <xdr:twoCellAnchor editAs="oneCell">
    <xdr:from>
      <xdr:col>15</xdr:col>
      <xdr:colOff>295138</xdr:colOff>
      <xdr:row>2</xdr:row>
      <xdr:rowOff>34331</xdr:rowOff>
    </xdr:from>
    <xdr:to>
      <xdr:col>16</xdr:col>
      <xdr:colOff>5594</xdr:colOff>
      <xdr:row>4</xdr:row>
      <xdr:rowOff>23568</xdr:rowOff>
    </xdr:to>
    <xdr:pic>
      <xdr:nvPicPr>
        <xdr:cNvPr id="9" name="Picture 8">
          <a:extLst>
            <a:ext uri="{FF2B5EF4-FFF2-40B4-BE49-F238E27FC236}">
              <a16:creationId xmlns:a16="http://schemas.microsoft.com/office/drawing/2014/main" id="{AA6EEB4D-53EF-4E60-9AD2-48C2B2D21BA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9439138" y="406864"/>
          <a:ext cx="320056" cy="361771"/>
        </a:xfrm>
        <a:prstGeom prst="rect">
          <a:avLst/>
        </a:prstGeom>
      </xdr:spPr>
    </xdr:pic>
    <xdr:clientData/>
  </xdr:twoCellAnchor>
  <xdr:twoCellAnchor editAs="oneCell">
    <xdr:from>
      <xdr:col>1</xdr:col>
      <xdr:colOff>316330</xdr:colOff>
      <xdr:row>10</xdr:row>
      <xdr:rowOff>76961</xdr:rowOff>
    </xdr:from>
    <xdr:to>
      <xdr:col>1</xdr:col>
      <xdr:colOff>581051</xdr:colOff>
      <xdr:row>11</xdr:row>
      <xdr:rowOff>143686</xdr:rowOff>
    </xdr:to>
    <xdr:pic>
      <xdr:nvPicPr>
        <xdr:cNvPr id="12" name="Picture 11">
          <a:extLst>
            <a:ext uri="{FF2B5EF4-FFF2-40B4-BE49-F238E27FC236}">
              <a16:creationId xmlns:a16="http://schemas.microsoft.com/office/drawing/2014/main" id="{5F4967FD-7A23-4572-A64E-D5B80085773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928239" y="1924234"/>
          <a:ext cx="264721" cy="251452"/>
        </a:xfrm>
        <a:prstGeom prst="rect">
          <a:avLst/>
        </a:prstGeom>
      </xdr:spPr>
    </xdr:pic>
    <xdr:clientData/>
  </xdr:twoCellAnchor>
  <xdr:oneCellAnchor>
    <xdr:from>
      <xdr:col>1</xdr:col>
      <xdr:colOff>197408</xdr:colOff>
      <xdr:row>4</xdr:row>
      <xdr:rowOff>85618</xdr:rowOff>
    </xdr:from>
    <xdr:ext cx="1720434" cy="744876"/>
    <xdr:sp macro="" textlink="">
      <xdr:nvSpPr>
        <xdr:cNvPr id="13" name="TextBox 12">
          <a:extLst>
            <a:ext uri="{FF2B5EF4-FFF2-40B4-BE49-F238E27FC236}">
              <a16:creationId xmlns:a16="http://schemas.microsoft.com/office/drawing/2014/main" id="{872016D9-8C83-5890-0C36-8A77249E44CB}"/>
            </a:ext>
          </a:extLst>
        </xdr:cNvPr>
        <xdr:cNvSpPr txBox="1"/>
      </xdr:nvSpPr>
      <xdr:spPr>
        <a:xfrm>
          <a:off x="805296" y="804809"/>
          <a:ext cx="1720434" cy="7448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Artist Streaming Performance</a:t>
          </a:r>
          <a:endParaRPr lang="en-IN" sz="1400">
            <a:solidFill>
              <a:schemeClr val="tx1"/>
            </a:solidFill>
            <a:effectLst/>
          </a:endParaRPr>
        </a:p>
        <a:p>
          <a:pPr algn="l"/>
          <a:endParaRPr lang="en-IN" sz="1100"/>
        </a:p>
      </xdr:txBody>
    </xdr:sp>
    <xdr:clientData/>
  </xdr:oneCellAnchor>
  <xdr:twoCellAnchor>
    <xdr:from>
      <xdr:col>16</xdr:col>
      <xdr:colOff>440267</xdr:colOff>
      <xdr:row>25</xdr:row>
      <xdr:rowOff>160866</xdr:rowOff>
    </xdr:from>
    <xdr:to>
      <xdr:col>26</xdr:col>
      <xdr:colOff>16933</xdr:colOff>
      <xdr:row>42</xdr:row>
      <xdr:rowOff>110067</xdr:rowOff>
    </xdr:to>
    <xdr:graphicFrame macro="">
      <xdr:nvGraphicFramePr>
        <xdr:cNvPr id="15" name="Chart 14">
          <a:extLst>
            <a:ext uri="{FF2B5EF4-FFF2-40B4-BE49-F238E27FC236}">
              <a16:creationId xmlns:a16="http://schemas.microsoft.com/office/drawing/2014/main" id="{25BCDA3A-3C78-4330-B218-316F7492C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nsi\AppData\Roaming\Microsoft\Excel\XLSTART\PERSONAL.XLSB" TargetMode="External"/><Relationship Id="rId1" Type="http://schemas.microsoft.com/office/2006/relationships/xlExternalLinkPath/xlStartup" Target="PERSONAL.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definedNames>
      <definedName name="DR"/>
    </defined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si" refreshedDate="46267.748543981485" createdVersion="8" refreshedVersion="8" minRefreshableVersion="3" recordCount="500" xr:uid="{77569EA4-D123-400E-8C7C-487DE7C8E9B0}">
  <cacheSource type="worksheet">
    <worksheetSource name="Table3"/>
  </cacheSource>
  <cacheFields count="20">
    <cacheField name="Artist Name" numFmtId="49">
      <sharedItems count="500">
        <s v="Drake"/>
        <s v="Taylor Swift"/>
        <s v="Bad Bunny"/>
        <s v="The Weeknd"/>
        <s v="Justin Bieber"/>
        <s v="Ariana Grande"/>
        <s v="Travis Scott"/>
        <s v="Kanye West"/>
        <s v="Ed Sheeran"/>
        <s v="Eminem"/>
        <s v="Rihanna"/>
        <s v="Billie Eilish"/>
        <s v="Bruno Mars"/>
        <s v="Kendrick Lamar"/>
        <s v="Post Malone"/>
        <s v="J Balvin"/>
        <s v="Future"/>
        <s v="BTS"/>
        <s v="Ozuna"/>
        <s v="Coldplay"/>
        <s v="Juice WRLD"/>
        <s v="Chris Brown"/>
        <s v="Nicki Minaj"/>
        <s v="Lana Del Rey"/>
        <s v="David Guetta"/>
        <s v="Dua Lipa"/>
        <s v="Daddy Yankee"/>
        <s v="Rauw Alejandro"/>
        <s v="Anuel AA"/>
        <s v="XXXTENTACION"/>
        <s v="Imagine Dragons"/>
        <s v="Lil Wayne"/>
        <s v="21 Savage"/>
        <s v="SZA"/>
        <s v="Arijit Singh"/>
        <s v="Lady Gaga"/>
        <s v="KAROL G"/>
        <s v="Lil Baby"/>
        <s v="Maroon 5"/>
        <s v="Khalid"/>
        <s v="BeyoncÃ©"/>
        <s v="Maluma"/>
        <s v="Feid"/>
        <s v="Calvin Harris"/>
        <s v="Myke Towers"/>
        <s v="Linkin Park"/>
        <s v="Peso Pluma"/>
        <s v="J. Cole"/>
        <s v="Lil Uzi Vert"/>
        <s v="Sia"/>
        <s v="Doja Cat"/>
        <s v="Shakira"/>
        <s v="Morgan Wallen"/>
        <s v="Young Thug"/>
        <s v="Farruko"/>
        <s v="Shawn Mendes"/>
        <s v="Harry Styles"/>
        <s v="Queen"/>
        <s v="Sam Smith"/>
        <s v="One Direction"/>
        <s v="Metro Boomin"/>
        <s v="Olivia Rodrigo"/>
        <s v="Adele"/>
        <s v="Pritam"/>
        <s v="Katy Perry"/>
        <s v="Gunna"/>
        <s v="Arctic Monkeys"/>
        <s v="Fuerza Regida"/>
        <s v="Junior H"/>
        <s v="Tyler, The Creator"/>
        <s v="Selena Gomez"/>
        <s v="Ty Dolla $ign"/>
        <s v="The Beatles"/>
        <s v="Pitbull"/>
        <s v="Nicky Jam"/>
        <s v="Playboi Carti"/>
        <s v="Halsey"/>
        <s v="Wiz Khalifa"/>
        <s v="Michael Jackson"/>
        <s v="Sabrina Carpenter"/>
        <s v="Frank Ocean"/>
        <s v="Die drei ???"/>
        <s v="JAÅ¸-Z"/>
        <s v="A$AP Rocky"/>
        <s v="Miley Cyrus"/>
        <s v="The Chainsmokers"/>
        <s v="Marshmello"/>
        <s v="Cardi B"/>
        <s v="Twenty One Pilots"/>
        <s v="Disney"/>
        <s v="ArcÃ¡ngel"/>
        <s v="Red Hot Chili Peppers"/>
        <s v="Camila Cabello"/>
        <s v="$uicideboy$"/>
        <s v="OneRepublic"/>
        <s v="Avicii"/>
        <s v="Diplo"/>
        <s v="Snoop Dogg"/>
        <s v="Romeo Santos"/>
        <s v="50 Cent"/>
        <s v="Natanael Cano"/>
        <s v="YoungBoy Never Broke Again"/>
        <s v="Mac Miller"/>
        <s v="DaBaby"/>
        <s v="Don Toliver"/>
        <s v="Zach Bryan"/>
        <s v="Kygo"/>
        <s v="Sech"/>
        <s v="The Neighbourhood"/>
        <s v="Quavo"/>
        <s v="Henrique &amp; Juliano"/>
        <s v="Luke Combs"/>
        <s v="Elton John"/>
        <s v="Manuel Turizo"/>
        <s v="Trippie Redd"/>
        <s v="Tate McRae"/>
        <s v="Lil Peep"/>
        <s v="Metallica"/>
        <s v="Don Omar"/>
        <s v="USHER"/>
        <s v="Charlie Puth"/>
        <s v="Justin Timberlake"/>
        <s v="TiÃ«sto"/>
        <s v="Sean Paul"/>
        <s v="Tyga"/>
        <s v="Kali Uchis"/>
        <s v="Kodak Black"/>
        <s v="Jason Derulo"/>
        <s v="BLACKPINK"/>
        <s v="JHAYCO"/>
        <s v="Bebe Rexha"/>
        <s v="Daft Punk"/>
        <s v="Luis Miguel"/>
        <s v="Demi Lovato"/>
        <s v="Akon"/>
        <s v="AC/DC"/>
        <s v="Sebastian Yatra"/>
        <s v="CarÃ­n LeÃ³n"/>
        <s v="Alan Walker"/>
        <s v="A Boogie Wit da Hoodie"/>
        <s v="Fleetwood Mac"/>
        <s v="Hozier"/>
        <s v="Ellie Goulding"/>
        <s v="Radiohead"/>
        <s v="Big Sean"/>
        <s v="Flo Rida"/>
        <s v="P!nk"/>
        <s v="Nirvana"/>
        <s v="Pop Smoke"/>
        <s v="Britney Spears"/>
        <s v="James Arthur"/>
        <s v="Tory Lanez"/>
        <s v="Pharrell Williams"/>
        <s v="DJ Snake"/>
        <s v="Daniel Caesar"/>
        <s v="Black Eyed Peas"/>
        <s v="Swae Lee"/>
        <s v="Shreya Ghoshal"/>
        <s v="Duki"/>
        <s v="Bizarrap"/>
        <s v="Migos"/>
        <s v="The Kid LAROI"/>
        <s v="MarÃ­lia MendonÃ§a"/>
        <s v="Anitta"/>
        <s v="Green Day"/>
        <s v="Lil Durk"/>
        <s v="Polo G"/>
        <s v="A.R. Rahman"/>
        <s v="G-Eazy"/>
        <s v="Kid Cudi"/>
        <s v="Justin Quiles"/>
        <s v="Bob Marley &amp; The Wailers"/>
        <s v="Stray Kids"/>
        <s v="Anirudh Ravichander"/>
        <s v="Ne-Yo"/>
        <s v="Gucci Mane"/>
        <s v="ROSALÃA"/>
        <s v="Charli xcx"/>
        <s v="Joji"/>
        <s v="Fall Out Boy"/>
        <s v="PARTYNEXTDOOR"/>
        <s v="Jorge &amp; Mateus"/>
        <s v="Offset"/>
        <s v="Panic! At The Disco"/>
        <s v="Tame Impala"/>
        <s v="Quevedo"/>
        <s v="Morat"/>
        <s v="Zara Larsson"/>
        <s v="Tito Double P"/>
        <s v="Jul"/>
        <s v="2Pac"/>
        <s v="Gorillaz"/>
        <s v="Lewis Capaldi"/>
        <s v="Grupo Frontera"/>
        <s v="Camilo"/>
        <s v="Lenny TavÃ¡rez"/>
        <s v="2 Chainz"/>
        <s v="NF"/>
        <s v="Bryson Tiller"/>
        <s v="Rels B"/>
        <s v="Roddy Ricch"/>
        <s v="Guns N' Roses"/>
        <s v="Mariah Carey"/>
        <s v="Noah Kahan"/>
        <s v="Megan Thee Stallion"/>
        <s v="Christian Nodal"/>
        <s v="Brent Faiyaz"/>
        <s v="Martin Garrix"/>
        <s v="Banda MS de Sergio LizÃ¡rraga"/>
        <s v="Pink Floyd"/>
        <s v="mgk"/>
        <s v="Wisin &amp; Yandel"/>
        <s v="Dr. Dre"/>
        <s v="Mora"/>
        <s v="Cigarettes After Sex"/>
        <s v="Childish Gambino"/>
        <s v="Wisin"/>
        <s v="Major Lazer"/>
        <s v="John Mayer"/>
        <s v="Miguel"/>
        <s v="Lil Nas X"/>
        <s v="System Of A Down"/>
        <s v="Logic"/>
        <s v="ABBA"/>
        <s v="Becky G"/>
        <s v="Yandel"/>
        <s v="Enrique Iglesias"/>
        <s v="Lil Yachty"/>
        <s v="Luis R Conriquez"/>
        <s v="Zion &amp; Lennox"/>
        <s v="5 Seconds of Summer"/>
        <s v="Jack Harlow"/>
        <s v="TWICE"/>
        <s v="Ã‘engo Flow"/>
        <s v="Ava Max"/>
        <s v="ZAYN"/>
        <s v="Michael BublÃ©"/>
        <s v="Macklemore"/>
        <s v="Anne-Marie"/>
        <s v="The Rolling Stones"/>
        <s v="Frank Sinatra"/>
        <s v="Robin Schulz"/>
        <s v="Bryant Myers"/>
        <s v="Gusttavo Lima"/>
        <s v="Eladio Carrion"/>
        <s v="Grupo Firme"/>
        <s v="Amitabh Bhattacharya"/>
        <s v="Alicia Keys"/>
        <s v="Kesha"/>
        <s v="LAUV"/>
        <s v="Madonna"/>
        <s v="Reik"/>
        <s v="John Legend"/>
        <s v="Meghan Trainor"/>
        <s v="Lil Tecca"/>
        <s v="Lorde"/>
        <s v="MC Ryan SP"/>
        <s v="Chris Stapleton"/>
        <s v="French Montana"/>
        <s v="Melanie Martinez"/>
        <s v="Elvis Presley"/>
        <s v="Rick Ross"/>
        <s v="Cris MJ"/>
        <s v="Zedd"/>
        <s v="Paramore"/>
        <s v="Chance the Rapper"/>
        <s v="Ninho"/>
        <s v="blackbear"/>
        <s v="Creedence Clearwater Revival"/>
        <s v="T-Pain"/>
        <s v="Jung Kook"/>
        <s v="Skrillex"/>
        <s v="DJ Khaled"/>
        <s v="Wizkid"/>
        <s v="Oasis"/>
        <s v="Christina Aguilera"/>
        <s v="Slipknot"/>
        <s v="Irshad Kamil"/>
        <s v="Little Mix"/>
        <s v="BeÃ©le"/>
        <s v="The Notorious B.I.G."/>
        <s v="Mitski"/>
        <s v="Tainy"/>
        <s v="ZÃ© Neto &amp; Cristiano"/>
        <s v="Rammstein"/>
        <s v="Labrinth"/>
        <s v="Chencho Corleone"/>
        <s v="Darell"/>
        <s v="Bon Jovi"/>
        <s v="The Killers"/>
        <s v="blink-182"/>
        <s v="Summer Walker"/>
        <s v="JhenÃ© Aiko"/>
        <s v="Kehlani"/>
        <s v="Clean Bandit"/>
        <s v="David Bowie"/>
        <s v="U2"/>
        <s v="Aventura"/>
        <s v="Foo Fighters"/>
        <s v="The 1975"/>
        <s v="Maria Becerra"/>
        <s v="Plan B"/>
        <s v="Steve Lacy"/>
        <s v="De La Ghetto"/>
        <s v="Troye Sivan"/>
        <s v="Conan Gray"/>
        <s v="Ludacris"/>
        <s v="Burna Boy"/>
        <s v="Danny Ocean"/>
        <s v="Meek Mill"/>
        <s v="My Chemical Romance"/>
        <s v="Alessia Cara"/>
        <s v="Vishal-Shekhar"/>
        <s v="Paulo Londra"/>
        <s v="La Arrolladora Banda El LimÃ³n De Rene Camacho"/>
        <s v="Yeat"/>
        <s v="Matheus &amp; Kauan"/>
        <s v="Alok"/>
        <s v="Bring Me The Horizon"/>
        <s v="Central Cee"/>
        <s v="League of Legends"/>
        <s v="Mac DeMarco"/>
        <s v="Benson Boone"/>
        <s v="Dalex"/>
        <s v="Nickelback"/>
        <s v="Marc Anthony"/>
        <s v="ManÃ¡"/>
        <s v="Led Zeppelin"/>
        <s v="MÃ¥neskin"/>
        <s v="Florida Georgia Line"/>
        <s v="Luis Fonsi"/>
        <s v="RAYE"/>
        <s v="Neton Vega"/>
        <s v="Gracie Abrams"/>
        <s v="Timbaland"/>
        <s v="Jeremih"/>
        <s v="The Lumineers"/>
        <s v="Oscar Maydon"/>
        <s v="Anderson .Paak"/>
        <s v="Chase Atlantic"/>
        <s v="JuliÃ³n Ãlvarez y su NorteÃ±o Banda"/>
        <s v="Prince Royce"/>
        <s v="Bastille"/>
        <s v="Sfera Ebbasta"/>
        <s v="Florence + The Machine"/>
        <s v="YG"/>
        <s v="Alejandro Sanz"/>
        <s v="Lil Tjay"/>
        <s v="GIVÄ’ON"/>
        <s v="Billy Joel"/>
        <s v="Luke Bryan"/>
        <s v="Muse"/>
        <s v="Jonas Blue"/>
        <s v="Teddy Swims"/>
        <s v="Juanes"/>
        <s v="Jennifer Lopez"/>
        <s v="Cartel De Santa"/>
        <s v="T.I."/>
        <s v="Gabito Ballesteros"/>
        <s v="El Alfa"/>
        <s v="Alka Yagnik"/>
        <s v="Blessd"/>
        <s v="NATTI NATASHA"/>
        <s v="Bruce Springsteen"/>
        <s v="Alfredo Olivas"/>
        <s v="Jonas Brothers"/>
        <s v="Hans Zimmer"/>
        <s v="Julia Michaels"/>
        <s v="Deftones"/>
        <s v="Clairo"/>
        <s v="Whitney Houston"/>
        <s v="Tove Lo"/>
        <s v="DJ Luian"/>
        <s v="Amy Winehouse"/>
        <s v="TV Girl"/>
        <s v="Tanishk Bagchi"/>
        <s v="Dave"/>
        <s v="Avril Lavigne"/>
        <s v="Lost Frequencies"/>
        <s v="Kings of Leon"/>
        <s v="Joan Sebastian"/>
        <s v="Alejandro FernÃ¡ndez"/>
        <s v="Glass Animals"/>
        <s v="Sachin-Jigar"/>
        <s v="Fetty Wap"/>
        <s v="NAV"/>
        <s v="Jack Johnson"/>
        <s v="SEVENTEEN"/>
        <s v="The Script"/>
        <s v="TINI"/>
        <s v="Backstreet Boys"/>
        <s v="Jimin"/>
        <s v="Mambo Kingz"/>
        <s v="NLE Choppa"/>
        <s v="GIMS"/>
        <s v="Calibre 50"/>
        <s v="Chappell Roan"/>
        <s v="Stevie Wonder"/>
        <s v="Juicy J"/>
        <s v="Mark Ronson"/>
        <s v="Kelly Clarkson"/>
        <s v="The Offspring"/>
        <s v="Bonez MC"/>
        <s v="Bibi Blocksberg"/>
        <s v="Milo j"/>
        <s v="Jay Wheeler"/>
        <s v="felix jaehn"/>
        <s v="Niall Horan"/>
        <s v="6ix9ine"/>
        <s v="Nate Dogg"/>
        <s v="Noriel"/>
        <s v="Vicente FernÃ¡ndez"/>
        <s v="Three Days Grace"/>
        <s v="Aerosmith"/>
        <s v="Bee Gees"/>
        <s v="Udit Narayan"/>
        <s v="Piso 21"/>
        <s v="Rod Wave"/>
        <s v="Vance Joy"/>
        <s v="Bon Iver"/>
        <s v="Eslabon Armado"/>
        <s v="JENNIE"/>
        <s v="Russ"/>
        <s v="Rae Sremmurd"/>
        <s v="Jess Glynne"/>
        <s v="The Smiths"/>
        <s v="Eagles"/>
        <s v="The Police"/>
        <s v="Phil Collins"/>
        <s v="The Strokes"/>
        <s v="Atif Aslam"/>
        <s v="Ovy On The Drums"/>
        <s v="Olivia Dean"/>
        <s v="Dire Straits"/>
        <s v="NewJeans"/>
        <s v="Avenged Sevenfold"/>
        <s v="Ricardo Arjona"/>
        <s v="Los Ãngeles Azules"/>
        <s v="Rex Orange County"/>
        <s v="ScHoolboy Q"/>
        <s v="6LACK"/>
        <s v="Disclosure"/>
        <s v="Brytiago"/>
        <s v="Alesso"/>
        <s v="RAF Camora"/>
        <s v="Nelly"/>
        <s v="Mumford &amp; Sons"/>
        <s v="Kumaar"/>
        <s v="Pearl Jam"/>
        <s v="Zion"/>
        <s v="Ryan Castro"/>
        <s v="Nelly Furtado"/>
        <s v="Wesley SafadÃ£o"/>
        <s v="Disturbed"/>
        <s v="H.E.R."/>
        <s v="Rita Ora"/>
        <s v="Kevin Gates"/>
        <s v="beabadoobee"/>
        <s v="Karan Aujla"/>
        <s v="CÃ©line Dion"/>
        <s v="Bryan Adams"/>
        <s v="ENHYPEN"/>
        <s v="Dominic Fike"/>
        <s v="Ana Castela"/>
        <s v="LANY"/>
        <s v="Johnny Cash"/>
        <s v="B.o.B"/>
        <s v="Jason Aldean"/>
        <s v="Luan Santana"/>
        <s v="KHEA"/>
        <s v="Maiara &amp; Maraisa"/>
        <s v="Mc IG"/>
        <s v="Tiago PZK"/>
        <s v="Tom Odell"/>
        <s v="Macklemore &amp; Ryan Lewis"/>
        <s v="Thomas Rhett"/>
        <s v="MÃ˜"/>
        <s v="Five Finger Death Punch"/>
        <s v="Kane Brown"/>
        <s v="Laufey"/>
        <s v="Grupo Menos Ã‰ Mais"/>
        <s v="Nicki Nicole"/>
        <s v="Moneybagg Yo"/>
        <s v="Magenta"/>
        <s v="Ryan Lewis"/>
        <s v="Morad"/>
        <s v="Calum Scott"/>
        <s v="TOMORROW X TOGETHER"/>
        <s v="Grupo Marca Registrada"/>
        <s v="benny blanco"/>
        <s v="JID"/>
        <s v="YNW Melly"/>
        <s v="Juan Gabriel"/>
        <s v="Los Temerarios"/>
        <s v="Jason Mraz"/>
        <s v="The Cure"/>
        <s v="The MarÃ­as"/>
        <s v="Limp Bizkit"/>
        <s v="Korn"/>
        <s v="Omar Courtz"/>
      </sharedItems>
    </cacheField>
    <cacheField name="Gender" numFmtId="49">
      <sharedItems count="3">
        <s v="Male"/>
        <s v="Female"/>
        <s v="Mixed"/>
      </sharedItems>
    </cacheField>
    <cacheField name="Country of Origin" numFmtId="49">
      <sharedItems count="43">
        <s v="Canada"/>
        <s v="United States"/>
        <s v="United Kingdom"/>
        <s v="Barbados"/>
        <s v="Colombia"/>
        <s v="South Korea"/>
        <s v="Trinidad and Tobago"/>
        <s v="France"/>
        <s v="India"/>
        <s v="Scotland"/>
        <s v="Mexico"/>
        <s v="Australia"/>
        <s v="Germany"/>
        <s v="Cuba"/>
        <s v="Sweden"/>
        <s v="Norway"/>
        <s v="Panama"/>
        <s v="Brazil"/>
        <s v="Netherlands"/>
        <s v="Jamaica"/>
        <s v="Senegal"/>
        <s v="Ireland"/>
        <s v="Argentina"/>
        <s v="Spain"/>
        <s v="Japan"/>
        <s v="New Zealand"/>
        <s v="Morocco"/>
        <s v="Chile"/>
        <s v="Russia"/>
        <s v="Nigeria"/>
        <s v="South Africa"/>
        <s v="Venezuela"/>
        <s v="Italy"/>
        <s v="Dominican Republic"/>
        <s v="Belgium"/>
        <s v="DR Congo"/>
        <s v="Nepal"/>
        <s v="Pakistan"/>
        <s v="Guatemala"/>
        <s v="Austria"/>
        <s v="Philippines"/>
        <s v="Denmark"/>
        <s v="Iceland"/>
      </sharedItems>
    </cacheField>
    <cacheField name="Primary Language" numFmtId="49">
      <sharedItems count="11">
        <s v="English"/>
        <s v="Spanish"/>
        <s v="Korean"/>
        <s v="Hindi"/>
        <s v="German"/>
        <s v="Portuguese"/>
        <s v="Tamil"/>
        <s v="French"/>
        <s v="Italian"/>
        <s v="Urdu"/>
        <s v="Punjabi"/>
      </sharedItems>
    </cacheField>
    <cacheField name="Primary Genre" numFmtId="49">
      <sharedItems count="23">
        <s v="Hip-Hop"/>
        <s v="Pop"/>
        <s v="Reggaeton"/>
        <s v="R&amp;B"/>
        <s v="K-Pop"/>
        <s v="Rock"/>
        <s v="Alternative"/>
        <s v="EDM"/>
        <s v="Filmi"/>
        <s v="Latin"/>
        <s v="Regional Mexican"/>
        <s v="Country"/>
        <s v="Spoken Word"/>
        <s v="Soundtrack"/>
        <s v="Bachata"/>
        <s v="Sertanjeo"/>
        <s v="Reggae"/>
        <s v="Folk"/>
        <s v="Metal"/>
        <s v="Afrobeats"/>
        <s v="Soul"/>
        <s v="Children's Music"/>
        <s v="Nu Metal"/>
      </sharedItems>
    </cacheField>
    <cacheField name=" Artist Type" numFmtId="49">
      <sharedItems count="2">
        <s v="Solo"/>
        <s v="Group"/>
      </sharedItems>
    </cacheField>
    <cacheField name="Debut Year" numFmtId="1">
      <sharedItems containsSemiMixedTypes="0" containsString="0" containsNumber="1" containsInteger="1" minValue="1939" maxValue="2023" count="61">
        <n v="2006"/>
        <n v="2013"/>
        <n v="2009"/>
        <n v="2004"/>
        <n v="2011"/>
        <n v="1996"/>
        <n v="2005"/>
        <n v="2015"/>
        <n v="2010"/>
        <n v="2012"/>
        <n v="1999"/>
        <n v="2007"/>
        <n v="1990"/>
        <n v="1991"/>
        <n v="2014"/>
        <n v="1997"/>
        <n v="2008"/>
        <n v="2017"/>
        <n v="2002"/>
        <n v="2016"/>
        <n v="2003"/>
        <n v="2000"/>
        <n v="2020"/>
        <n v="1973"/>
        <n v="2021"/>
        <n v="2001"/>
        <n v="2018"/>
        <n v="2019"/>
        <n v="1962"/>
        <n v="1995"/>
        <n v="1964"/>
        <n v="1979"/>
        <n v="1949"/>
        <n v="1984"/>
        <n v="1993"/>
        <n v="1969"/>
        <n v="1983"/>
        <n v="1994"/>
        <n v="1982"/>
        <n v="1975"/>
        <n v="1967"/>
        <n v="1992"/>
        <n v="1989"/>
        <n v="1998"/>
        <n v="2023"/>
        <n v="2022"/>
        <n v="1985"/>
        <n v="1972"/>
        <n v="1939"/>
        <n v="1954"/>
        <n v="1968"/>
        <n v="1988"/>
        <n v="1987"/>
        <n v="1971"/>
        <n v="1980"/>
        <n v="1977"/>
        <n v="1966"/>
        <n v="1963"/>
        <n v="1981"/>
        <n v="1978"/>
        <n v="1955"/>
      </sharedItems>
    </cacheField>
    <cacheField name="Debut Year Group" numFmtId="1">
      <sharedItems count="6">
        <s v="2006–2010"/>
        <s v="2011–2015"/>
        <s v="2001–2005"/>
        <s v="1999–2000"/>
        <s v="2016–2020"/>
        <s v="2021–2025"/>
      </sharedItems>
    </cacheField>
    <cacheField name="Total Streams (in millions)" numFmtId="1">
      <sharedItems containsSemiMixedTypes="0" containsString="0" containsNumber="1" minValue="6972" maxValue="137492.1" count="499">
        <n v="137492.1"/>
        <n v="127861"/>
        <n v="125899.8"/>
        <n v="95703.2"/>
        <n v="78104.399999999994"/>
        <n v="68298.899999999994"/>
        <n v="65349.7"/>
        <n v="65142.9"/>
        <n v="64656.9"/>
        <n v="64549"/>
        <n v="60670.7"/>
        <n v="58049.5"/>
        <n v="56727.1"/>
        <n v="56459.5"/>
        <n v="55028.3"/>
        <n v="54649.2"/>
        <n v="53951.5"/>
        <n v="53308.9"/>
        <n v="47649.2"/>
        <n v="46720.4"/>
        <n v="46276.4"/>
        <n v="43963.8"/>
        <n v="43330.3"/>
        <n v="42464.1"/>
        <n v="42059.5"/>
        <n v="41944.1"/>
        <n v="41405.4"/>
        <n v="40738.6"/>
        <n v="40453.300000000003"/>
        <n v="40411.300000000003"/>
        <n v="40279.5"/>
        <n v="40148.199999999997"/>
        <n v="39024.300000000003"/>
        <n v="38879.599999999999"/>
        <n v="37687.800000000003"/>
        <n v="37565.4"/>
        <n v="37549.699999999997"/>
        <n v="35931.9"/>
        <n v="35794.1"/>
        <n v="35727.199999999997"/>
        <n v="34975.199999999997"/>
        <n v="34841"/>
        <n v="34579.1"/>
        <n v="34129.699999999997"/>
        <n v="33620.699999999997"/>
        <n v="33224.699999999997"/>
        <n v="33179.800000000003"/>
        <n v="32200.9"/>
        <n v="32115.9"/>
        <n v="31642.1"/>
        <n v="31214.3"/>
        <n v="31212.400000000001"/>
        <n v="31171.1"/>
        <n v="30933.8"/>
        <n v="29775.3"/>
        <n v="29471.1"/>
        <n v="29449"/>
        <n v="29370"/>
        <n v="29197.200000000001"/>
        <n v="28889.5"/>
        <n v="28848.7"/>
        <n v="28799.7"/>
        <n v="28690.5"/>
        <n v="28543.9"/>
        <n v="28248"/>
        <n v="28195.8"/>
        <n v="28155.4"/>
        <n v="27466.799999999999"/>
        <n v="27406.799999999999"/>
        <n v="27125.8"/>
        <n v="26895.1"/>
        <n v="26465.200000000001"/>
        <n v="26130.5"/>
        <n v="25875.8"/>
        <n v="25875.4"/>
        <n v="25818.400000000001"/>
        <n v="25687.5"/>
        <n v="25289.9"/>
        <n v="25264.400000000001"/>
        <n v="24888.6"/>
        <n v="24807.4"/>
        <n v="24607"/>
        <n v="24440.1"/>
        <n v="24217.200000000001"/>
        <n v="23907.599999999999"/>
        <n v="23845.1"/>
        <n v="23705.9"/>
        <n v="22494.9"/>
        <n v="22475.8"/>
        <n v="22236.1"/>
        <n v="21937.3"/>
        <n v="21873.8"/>
        <n v="21546.2"/>
        <n v="21202.3"/>
        <n v="21182.2"/>
        <n v="21003.5"/>
        <n v="20670.8"/>
        <n v="20644.8"/>
        <n v="20549.2"/>
        <n v="20444.599999999999"/>
        <n v="20300.7"/>
        <n v="20138.099999999999"/>
        <n v="20091.099999999999"/>
        <n v="19977.5"/>
        <n v="19830.5"/>
        <n v="19727.2"/>
        <n v="19707.8"/>
        <n v="19528.3"/>
        <n v="19440.5"/>
        <n v="19383.5"/>
        <n v="19231.7"/>
        <n v="19101.599999999999"/>
        <n v="19090.400000000001"/>
        <n v="18912.7"/>
        <n v="18889.599999999999"/>
        <n v="18707.3"/>
        <n v="18649.5"/>
        <n v="18627"/>
        <n v="18580.599999999999"/>
        <n v="18413.2"/>
        <n v="18309.3"/>
        <n v="18270.8"/>
        <n v="18217.099999999999"/>
        <n v="18203.3"/>
        <n v="18064.3"/>
        <n v="18005.3"/>
        <n v="17738.8"/>
        <n v="17720.2"/>
        <n v="17517.400000000001"/>
        <n v="17516.099999999999"/>
        <n v="17440.2"/>
        <n v="17316.599999999999"/>
        <n v="17314.099999999999"/>
        <n v="17119.5"/>
        <n v="17056"/>
        <n v="17010.5"/>
        <n v="16984.3"/>
        <n v="16969.400000000001"/>
        <n v="16893.400000000001"/>
        <n v="16877.3"/>
        <n v="16577.5"/>
        <n v="16556.5"/>
        <n v="16553.3"/>
        <n v="16454.900000000001"/>
        <n v="16428.900000000001"/>
        <n v="16366.1"/>
        <n v="16271.6"/>
        <n v="16228.7"/>
        <n v="16217.4"/>
        <n v="16148.3"/>
        <n v="16111.6"/>
        <n v="16021.1"/>
        <n v="15952.2"/>
        <n v="15921.1"/>
        <n v="15876.2"/>
        <n v="15775.7"/>
        <n v="15746"/>
        <n v="15723"/>
        <n v="15684.7"/>
        <n v="15638.8"/>
        <n v="15562.1"/>
        <n v="15561.7"/>
        <n v="15528.2"/>
        <n v="15525.6"/>
        <n v="15453.3"/>
        <n v="15329.4"/>
        <n v="15252.2"/>
        <n v="15240.4"/>
        <n v="15133"/>
        <n v="15086.8"/>
        <n v="15041.1"/>
        <n v="14992.7"/>
        <n v="14947.4"/>
        <n v="14897.8"/>
        <n v="14888.6"/>
        <n v="14880.2"/>
        <n v="14558.4"/>
        <n v="14544.4"/>
        <n v="14512.1"/>
        <n v="14507.7"/>
        <n v="14506.3"/>
        <n v="14404.4"/>
        <n v="14402.6"/>
        <n v="14402.3"/>
        <n v="14387.1"/>
        <n v="14345.2"/>
        <n v="14293.7"/>
        <n v="14221.3"/>
        <n v="14166.6"/>
        <n v="14127.8"/>
        <n v="14116.7"/>
        <n v="14104.4"/>
        <n v="14087.8"/>
        <n v="13999.3"/>
        <n v="13994.1"/>
        <n v="13994"/>
        <n v="13978.6"/>
        <n v="13891.9"/>
        <n v="13890.6"/>
        <n v="13734.1"/>
        <n v="13692"/>
        <n v="13683"/>
        <n v="13650.2"/>
        <n v="13543.1"/>
        <n v="13532"/>
        <n v="13503.4"/>
        <n v="13490.4"/>
        <n v="13468.7"/>
        <n v="13433.6"/>
        <n v="13404.2"/>
        <n v="13398.3"/>
        <n v="13323.2"/>
        <n v="13320.3"/>
        <n v="13291"/>
        <n v="13287"/>
        <n v="13281.8"/>
        <n v="13273.4"/>
        <n v="13220.4"/>
        <n v="13208.3"/>
        <n v="13065.7"/>
        <n v="13039.8"/>
        <n v="13009.4"/>
        <n v="12994.4"/>
        <n v="12992.2"/>
        <n v="12985.2"/>
        <n v="12929.7"/>
        <n v="12857.9"/>
        <n v="12823.8"/>
        <n v="12810.9"/>
        <n v="12799.8"/>
        <n v="12788.3"/>
        <n v="12751"/>
        <n v="12716.2"/>
        <n v="12713.2"/>
        <n v="12700.7"/>
        <n v="12650.8"/>
        <n v="12647.5"/>
        <n v="12593.2"/>
        <n v="12593"/>
        <n v="12566.2"/>
        <n v="12421.7"/>
        <n v="12403.3"/>
        <n v="12394.6"/>
        <n v="12324.9"/>
        <n v="12209.5"/>
        <n v="12151.3"/>
        <n v="12136.7"/>
        <n v="12099.6"/>
        <n v="12094.7"/>
        <n v="11966.9"/>
        <n v="11879.6"/>
        <n v="11853.7"/>
        <n v="11821.6"/>
        <n v="11817.1"/>
        <n v="11783.3"/>
        <n v="11721"/>
        <n v="11715.1"/>
        <n v="11678.7"/>
        <n v="11640.6"/>
        <n v="11632.9"/>
        <n v="11588.8"/>
        <n v="11575.2"/>
        <n v="11566.2"/>
        <n v="11481.4"/>
        <n v="11480.4"/>
        <n v="11475.1"/>
        <n v="11459.5"/>
        <n v="11428.5"/>
        <n v="11314.2"/>
        <n v="11238.2"/>
        <n v="11232.6"/>
        <n v="11198.8"/>
        <n v="11196"/>
        <n v="11149"/>
        <n v="11063.6"/>
        <n v="11060.5"/>
        <n v="11051.4"/>
        <n v="11014.9"/>
        <n v="10985.7"/>
        <n v="10974"/>
        <n v="10968.8"/>
        <n v="10939.4"/>
        <n v="10933.4"/>
        <n v="10914.2"/>
        <n v="10902.6"/>
        <n v="10783.2"/>
        <n v="10776.2"/>
        <n v="10772"/>
        <n v="10771.3"/>
        <n v="10767.6"/>
        <n v="10760.4"/>
        <n v="10756.4"/>
        <n v="10731.7"/>
        <n v="10712.8"/>
        <n v="10711.2"/>
        <n v="10696.6"/>
        <n v="10616.1"/>
        <n v="10607"/>
        <n v="10571.1"/>
        <n v="10489.6"/>
        <n v="10476.9"/>
        <n v="10449"/>
        <n v="10368.700000000001"/>
        <n v="10352.799999999999"/>
        <n v="10332.799999999999"/>
        <n v="10313.5"/>
        <n v="10293"/>
        <n v="10290.6"/>
        <n v="10234.299999999999"/>
        <n v="10231.200000000001"/>
        <n v="10180.200000000001"/>
        <n v="10179.299999999999"/>
        <n v="10165"/>
        <n v="10160.5"/>
        <n v="10147.9"/>
        <n v="10141.700000000001"/>
        <n v="10122.5"/>
        <n v="10115.700000000001"/>
        <n v="10108"/>
        <n v="10095.5"/>
        <n v="10048.299999999999"/>
        <n v="9970.2000000000007"/>
        <n v="9949.6"/>
        <n v="9948.7000000000007"/>
        <n v="9933.4"/>
        <n v="9914.5"/>
        <n v="9914.4"/>
        <n v="9909.5"/>
        <n v="9899.4"/>
        <n v="9869.2999999999993"/>
        <n v="9862.6"/>
        <n v="9859.6"/>
        <n v="9854"/>
        <n v="9797.7999999999993"/>
        <n v="9734"/>
        <n v="9713"/>
        <n v="9666.1"/>
        <n v="9609"/>
        <n v="9513.7000000000007"/>
        <n v="9513"/>
        <n v="9503.2999999999993"/>
        <n v="9495.2000000000007"/>
        <n v="9439.9"/>
        <n v="9437.2999999999993"/>
        <n v="9401"/>
        <n v="9362.2999999999993"/>
        <n v="9340.1"/>
        <n v="9314.7999999999993"/>
        <n v="9302.9"/>
        <n v="9290.9"/>
        <n v="9213.5"/>
        <n v="9212.4"/>
        <n v="9206.7000000000007"/>
        <n v="9177.5"/>
        <n v="9121.6"/>
        <n v="9115.7000000000007"/>
        <n v="9107.5"/>
        <n v="9084.9"/>
        <n v="9076.4"/>
        <n v="9056.5"/>
        <n v="8988.2000000000007"/>
        <n v="8965"/>
        <n v="8960.1"/>
        <n v="8927.6"/>
        <n v="8916"/>
        <n v="8909.9"/>
        <n v="8906.9"/>
        <n v="8899.6"/>
        <n v="8848.2999999999993"/>
        <n v="8831"/>
        <n v="8828.7999999999993"/>
        <n v="8809.4"/>
        <n v="8801.6"/>
        <n v="8780.4"/>
        <n v="8779.9"/>
        <n v="8733"/>
        <n v="8715.2000000000007"/>
        <n v="8706.4"/>
        <n v="8699.2000000000007"/>
        <n v="8647.7999999999993"/>
        <n v="8622.1"/>
        <n v="8617.1"/>
        <n v="8591.1"/>
        <n v="8584.2000000000007"/>
        <n v="8564.5"/>
        <n v="8564.4"/>
        <n v="8551.4"/>
        <n v="8531.2999999999993"/>
        <n v="8509.5"/>
        <n v="8507.9"/>
        <n v="8485.9"/>
        <n v="8472.9"/>
        <n v="8457.4"/>
        <n v="8453.7000000000007"/>
        <n v="8439.5"/>
        <n v="8433.7999999999993"/>
        <n v="8382.9"/>
        <n v="8371.5"/>
        <n v="8370.9"/>
        <n v="8366.2999999999993"/>
        <n v="8339.2999999999993"/>
        <n v="8330.4"/>
        <n v="8326.7000000000007"/>
        <n v="8316.5"/>
        <n v="8309.1"/>
        <n v="8282.2999999999993"/>
        <n v="8278.7000000000007"/>
        <n v="8263"/>
        <n v="8240.2000000000007"/>
        <n v="8235.9"/>
        <n v="8216.5"/>
        <n v="8205.4"/>
        <n v="8203"/>
        <n v="8200.1"/>
        <n v="8197.2000000000007"/>
        <n v="8186.9"/>
        <n v="8164.9"/>
        <n v="8148"/>
        <n v="8092.2"/>
        <n v="8065.4"/>
        <n v="8063.4"/>
        <n v="8056.8"/>
        <n v="8043.6"/>
        <n v="8030.3"/>
        <n v="8019.9"/>
        <n v="8014.7"/>
        <n v="7987.3"/>
        <n v="7976.6"/>
        <n v="7940.4"/>
        <n v="7934.8"/>
        <n v="7934.5"/>
        <n v="7921.6"/>
        <n v="7892.9"/>
        <n v="7891.3"/>
        <n v="7886.9"/>
        <n v="7871.9"/>
        <n v="7852.2"/>
        <n v="7838.9"/>
        <n v="7824.1"/>
        <n v="7817.3"/>
        <n v="7810.5"/>
        <n v="7787.8"/>
        <n v="7785.3"/>
        <n v="7765.7"/>
        <n v="7738.2"/>
        <n v="7729.6"/>
        <n v="7713.9"/>
        <n v="7689.5"/>
        <n v="7673.1"/>
        <n v="7661.6"/>
        <n v="7645.2"/>
        <n v="7628.1"/>
        <n v="7618.8"/>
        <n v="7612.3"/>
        <n v="7608.2"/>
        <n v="7596.7"/>
        <n v="7589.1"/>
        <n v="7552.8"/>
        <n v="7550.3"/>
        <n v="7543.1"/>
        <n v="7503.2"/>
        <n v="7486.2"/>
        <n v="7485.1"/>
        <n v="7467.3"/>
        <n v="7453.2"/>
        <n v="7450.6"/>
        <n v="7431.9"/>
        <n v="7423.5"/>
        <n v="7416.8"/>
        <n v="7405.6"/>
        <n v="7388.4"/>
        <n v="7387.8"/>
        <n v="7377.9"/>
        <n v="7352.6"/>
        <n v="7347.9"/>
        <n v="7337.5"/>
        <n v="7335.2"/>
        <n v="7326.6"/>
        <n v="7313.2"/>
        <n v="7286.8"/>
        <n v="7277.6"/>
        <n v="7256.2"/>
        <n v="7252.1"/>
        <n v="7239.7"/>
        <n v="7237.6"/>
        <n v="7209.6"/>
        <n v="7192.6"/>
        <n v="7182.1"/>
        <n v="7123.4"/>
        <n v="7114.1"/>
        <n v="7073.7"/>
        <n v="7061.3"/>
        <n v="7059.2"/>
        <n v="7048.5"/>
        <n v="7034.1"/>
        <n v="7029.1"/>
        <n v="7018.9"/>
        <n v="6976.4"/>
        <n v="6972"/>
      </sharedItems>
    </cacheField>
    <cacheField name="Lead Streams (in millions)" numFmtId="1">
      <sharedItems containsSemiMixedTypes="0" containsString="0" containsNumber="1" minValue="0" maxValue="126177.3"/>
    </cacheField>
    <cacheField name="Feature Streams (in millions)" numFmtId="1">
      <sharedItems containsSemiMixedTypes="0" containsString="0" containsNumber="1" minValue="0" maxValue="43710.5"/>
    </cacheField>
    <cacheField name="Solo Streams (in millions)" numFmtId="1">
      <sharedItems containsSemiMixedTypes="0" containsString="0" containsNumber="1" minValue="0" maxValue="113421.5"/>
    </cacheField>
    <cacheField name="% of Solo Streams2" numFmtId="164">
      <sharedItems containsSemiMixedTypes="0" containsString="0" containsNumber="1" minValue="0" maxValue="1"/>
    </cacheField>
    <cacheField name="Collaborative Streams (in millions)" numFmtId="2">
      <sharedItems containsSemiMixedTypes="0" containsString="0" containsNumber="1" minValue="0" maxValue="84168.2"/>
    </cacheField>
    <cacheField name="% of Collaborative streams2" numFmtId="164">
      <sharedItems containsSemiMixedTypes="0" containsString="0" containsNumber="1" minValue="0" maxValue="1"/>
    </cacheField>
    <cacheField name="Total Stream" numFmtId="1">
      <sharedItems containsSemiMixedTypes="0" containsString="0" containsNumber="1" minValue="6976.3" maxValue="137492" count="497">
        <n v="137492"/>
        <n v="127861.1"/>
        <n v="125899.8"/>
        <n v="95703.2"/>
        <n v="78104.399999999994"/>
        <n v="68298.899999999994"/>
        <n v="65365.7"/>
        <n v="65142.9"/>
        <n v="64671.8"/>
        <n v="64567.5"/>
        <n v="60670.8"/>
        <n v="58049.5"/>
        <n v="56727.1"/>
        <n v="56477.2"/>
        <n v="55041.2"/>
        <n v="54667.3"/>
        <n v="53951.5"/>
        <n v="53308.9"/>
        <n v="47666"/>
        <n v="46738.400000000001"/>
        <n v="46287.199999999997"/>
        <n v="43979.600000000006"/>
        <n v="43344.3"/>
        <n v="42464.100000000006"/>
        <n v="42076.1"/>
        <n v="41957.3"/>
        <n v="41422.1"/>
        <n v="40755.699999999997"/>
        <n v="40474.5"/>
        <n v="40418.800000000003"/>
        <n v="40289.899999999994"/>
        <n v="40150.300000000003"/>
        <n v="39033.599999999999"/>
        <n v="38894.699999999997"/>
        <n v="37715.199999999997"/>
        <n v="37581.699999999997"/>
        <n v="37565.300000000003"/>
        <n v="35945"/>
        <n v="35808.400000000001"/>
        <n v="35734.300000000003"/>
        <n v="34988.1"/>
        <n v="34854.5"/>
        <n v="34499.699999999997"/>
        <n v="34144.300000000003"/>
        <n v="33637.199999999997"/>
        <n v="33224.699999999997"/>
        <n v="33200.300000000003"/>
        <n v="32210.800000000003"/>
        <n v="32124.1"/>
        <n v="31651.4"/>
        <n v="31225.1"/>
        <n v="31212.5"/>
        <n v="31190.300000000003"/>
        <n v="30936.5"/>
        <n v="29785.9"/>
        <n v="29480"/>
        <n v="29462.799999999999"/>
        <n v="29378.399999999998"/>
        <n v="29204.1"/>
        <n v="28898.2"/>
        <n v="28857.1"/>
        <n v="28799.8"/>
        <n v="28699.5"/>
        <n v="28543.9"/>
        <n v="28265.3"/>
        <n v="28206.9"/>
        <n v="28166.2"/>
        <n v="27466.800000000003"/>
        <n v="27425.599999999999"/>
        <n v="27134.600000000002"/>
        <n v="26901.9"/>
        <n v="26468.6"/>
        <n v="26140.9"/>
        <n v="25891.9"/>
        <n v="25847.4"/>
        <n v="25829.1"/>
        <n v="25694.5"/>
        <n v="25298.199999999997"/>
        <n v="25264.400000000001"/>
        <n v="24903.899999999998"/>
        <n v="24816.9"/>
        <n v="24607"/>
        <n v="24451.199999999997"/>
        <n v="24225.599999999999"/>
        <n v="23914.7"/>
        <n v="23851.3"/>
        <n v="23711.9"/>
        <n v="22500.2"/>
        <n v="22484.3"/>
        <n v="22254.399999999998"/>
        <n v="21950.699999999997"/>
        <n v="21884.2"/>
        <n v="21551.599999999999"/>
        <n v="21208.899999999998"/>
        <n v="21189.100000000002"/>
        <n v="21009.7"/>
        <n v="20670.8"/>
        <n v="20652.7"/>
        <n v="20560.8"/>
        <n v="20454.2"/>
        <n v="20309.7"/>
        <n v="20147.5"/>
        <n v="20093.5"/>
        <n v="19982.2"/>
        <n v="19845.900000000001"/>
        <n v="19738.099999999999"/>
        <n v="19713.099999999999"/>
        <n v="19528.3"/>
        <n v="19449.899999999998"/>
        <n v="19383.399999999998"/>
        <n v="19241.900000000001"/>
        <n v="19112.600000000002"/>
        <n v="19097.800000000003"/>
        <n v="18920.3"/>
        <n v="18889.599999999999"/>
        <n v="18717"/>
        <n v="18656.2"/>
        <n v="18634.900000000001"/>
        <n v="18592"/>
        <n v="18421.7"/>
        <n v="18315.599999999999"/>
        <n v="18280.699999999997"/>
        <n v="18222.2"/>
        <n v="18214.3"/>
        <n v="18067.8"/>
        <n v="18013.599999999999"/>
        <n v="17745.2"/>
        <n v="17726.3"/>
        <n v="17523"/>
        <n v="17522.099999999999"/>
        <n v="17445.400000000001"/>
        <n v="17323.599999999999"/>
        <n v="17321.5"/>
        <n v="17124.2"/>
        <n v="17066.900000000001"/>
        <n v="17018"/>
        <n v="16988.699999999997"/>
        <n v="16978.5"/>
        <n v="16898.399999999998"/>
        <n v="16881"/>
        <n v="16577.900000000001"/>
        <n v="16562.2"/>
        <n v="16559.7"/>
        <n v="16464.5"/>
        <n v="16373.9"/>
        <n v="16276.900000000001"/>
        <n v="16250.4"/>
        <n v="16236"/>
        <n v="16219.9"/>
        <n v="16156.4"/>
        <n v="16115.300000000001"/>
        <n v="16026.900000000001"/>
        <n v="15957.900000000001"/>
        <n v="15926.400000000001"/>
        <n v="15887.5"/>
        <n v="15785.1"/>
        <n v="15746"/>
        <n v="15739.199999999999"/>
        <n v="15684.7"/>
        <n v="15643.3"/>
        <n v="15568.1"/>
        <n v="15565.5"/>
        <n v="15527.3"/>
        <n v="15506.5"/>
        <n v="15460.9"/>
        <n v="15329.400000000001"/>
        <n v="15259.6"/>
        <n v="15255"/>
        <n v="15125.1"/>
        <n v="15091.5"/>
        <n v="15041"/>
        <n v="14998.7"/>
        <n v="14955.5"/>
        <n v="14906.5"/>
        <n v="14898.7"/>
        <n v="14885.2"/>
        <n v="14563.1"/>
        <n v="14551.3"/>
        <n v="14517.699999999999"/>
        <n v="14513.7"/>
        <n v="14512.2"/>
        <n v="14415.4"/>
        <n v="14406.1"/>
        <n v="14405.7"/>
        <n v="14398.199999999999"/>
        <n v="14358"/>
        <n v="14304.5"/>
        <n v="14230.8"/>
        <n v="14185"/>
        <n v="14135.5"/>
        <n v="14122.3"/>
        <n v="14110.9"/>
        <n v="14091.2"/>
        <n v="14009.2"/>
        <n v="13994"/>
        <n v="13978.5"/>
        <n v="13895.800000000001"/>
        <n v="13895.1"/>
        <n v="13740.9"/>
        <n v="13695"/>
        <n v="13689.3"/>
        <n v="13655.099999999999"/>
        <n v="13543.1"/>
        <n v="13537"/>
        <n v="13534.8"/>
        <n v="13496.2"/>
        <n v="13472"/>
        <n v="13439.6"/>
        <n v="13414.2"/>
        <n v="13409.8"/>
        <n v="13331.6"/>
        <n v="13324.900000000001"/>
        <n v="13297"/>
        <n v="13294.9"/>
        <n v="13287.300000000001"/>
        <n v="13282.7"/>
        <n v="13223.7"/>
        <n v="13211.199999999999"/>
        <n v="13072.5"/>
        <n v="13042"/>
        <n v="13017.1"/>
        <n v="12999.7"/>
        <n v="12995.8"/>
        <n v="12989"/>
        <n v="12936.3"/>
        <n v="12863.3"/>
        <n v="12823.8"/>
        <n v="12819.099999999999"/>
        <n v="12804.8"/>
        <n v="12791.9"/>
        <n v="12754.1"/>
        <n v="12722.099999999999"/>
        <n v="12720.9"/>
        <n v="12704.300000000001"/>
        <n v="12653.7"/>
        <n v="12649.4"/>
        <n v="12596.7"/>
        <n v="12572.2"/>
        <n v="12564.599999999999"/>
        <n v="12421.6"/>
        <n v="12407"/>
        <n v="12400.9"/>
        <n v="12318.300000000001"/>
        <n v="12219.599999999999"/>
        <n v="12159.4"/>
        <n v="12144.3"/>
        <n v="12105.2"/>
        <n v="12100.5"/>
        <n v="11969.300000000001"/>
        <n v="11890.900000000001"/>
        <n v="11853.7"/>
        <n v="11823.7"/>
        <n v="11819.6"/>
        <n v="11786.9"/>
        <n v="11725"/>
        <n v="11709.300000000001"/>
        <n v="11685.300000000001"/>
        <n v="11644"/>
        <n v="11637.4"/>
        <n v="11592.3"/>
        <n v="11575.199999999999"/>
        <n v="11573.599999999999"/>
        <n v="11486.5"/>
        <n v="11484.7"/>
        <n v="11475"/>
        <n v="11469.3"/>
        <n v="11430.2"/>
        <n v="11319.1"/>
        <n v="11238.2"/>
        <n v="11237.5"/>
        <n v="11201.5"/>
        <n v="11198.6"/>
        <n v="11142.2"/>
        <n v="11073.6"/>
        <n v="11060.5"/>
        <n v="11056.2"/>
        <n v="11030.2"/>
        <n v="11024.9"/>
        <n v="10985.7"/>
        <n v="10983.5"/>
        <n v="10973.699999999999"/>
        <n v="10943.7"/>
        <n v="10925.3"/>
        <n v="10910.3"/>
        <n v="10785.5"/>
        <n v="10776.4"/>
        <n v="10776.2"/>
        <n v="10772.800000000001"/>
        <n v="10772"/>
        <n v="10764.199999999999"/>
        <n v="10756.400000000001"/>
        <n v="10731.7"/>
        <n v="10723.599999999999"/>
        <n v="10714.9"/>
        <n v="10696.6"/>
        <n v="10619.8"/>
        <n v="10613"/>
        <n v="10574.7"/>
        <n v="10493.2"/>
        <n v="10476.900000000001"/>
        <n v="10457.4"/>
        <n v="10380.400000000001"/>
        <n v="10352.800000000001"/>
        <n v="10332.799999999999"/>
        <n v="10317.1"/>
        <n v="10300.5"/>
        <n v="10293"/>
        <n v="10240.799999999999"/>
        <n v="10236.1"/>
        <n v="10185.799999999999"/>
        <n v="10181.5"/>
        <n v="10171.5"/>
        <n v="10163.700000000001"/>
        <n v="10155"/>
        <n v="10152.1"/>
        <n v="10127"/>
        <n v="10117.700000000001"/>
        <n v="10115.700000000001"/>
        <n v="10095.5"/>
        <n v="10048.299999999999"/>
        <n v="9975.2000000000007"/>
        <n v="9956.4"/>
        <n v="9948.7000000000007"/>
        <n v="9939"/>
        <n v="9928.5"/>
        <n v="9927.2000000000007"/>
        <n v="9912.7999999999993"/>
        <n v="9903.1"/>
        <n v="9869.2999999999993"/>
        <n v="9866.2000000000007"/>
        <n v="9865.4"/>
        <n v="9823"/>
        <n v="9739.7000000000007"/>
        <n v="9712.9000000000015"/>
        <n v="9668.6999999999989"/>
        <n v="9634.7000000000007"/>
        <n v="9517.6999999999989"/>
        <n v="9515.0999999999985"/>
        <n v="9513.7000000000007"/>
        <n v="9495.2999999999993"/>
        <n v="9446.7999999999993"/>
        <n v="9442"/>
        <n v="9404.4"/>
        <n v="9362.2999999999993"/>
        <n v="9349.9"/>
        <n v="9314.7999999999993"/>
        <n v="9306.5"/>
        <n v="9295.6"/>
        <n v="9221"/>
        <n v="9213.5"/>
        <n v="9209.2000000000007"/>
        <n v="9185.7000000000007"/>
        <n v="9121.6"/>
        <n v="9118.1999999999989"/>
        <n v="9084.9000000000015"/>
        <n v="9076.2999999999993"/>
        <n v="9056.5"/>
        <n v="9000"/>
        <n v="8975.2999999999993"/>
        <n v="8962.2000000000007"/>
        <n v="8930.9000000000015"/>
        <n v="8924.9"/>
        <n v="8912.0999999999985"/>
        <n v="8906.9"/>
        <n v="8900.7999999999993"/>
        <n v="8855.1"/>
        <n v="8835.4"/>
        <n v="8832.1999999999989"/>
        <n v="8812.2000000000007"/>
        <n v="8801.6"/>
        <n v="8785.9000000000015"/>
        <n v="8783.6999999999989"/>
        <n v="8733"/>
        <n v="8720.4"/>
        <n v="8710.2999999999993"/>
        <n v="8702.4000000000015"/>
        <n v="8652.1"/>
        <n v="8632.1"/>
        <n v="8617.1"/>
        <n v="8594.1"/>
        <n v="8584.3000000000011"/>
        <n v="8567.5"/>
        <n v="8564.5"/>
        <n v="8554.2999999999993"/>
        <n v="8535.7000000000007"/>
        <n v="8513.1"/>
        <n v="8507.9"/>
        <n v="8490"/>
        <n v="8475.9"/>
        <n v="8457.2999999999993"/>
        <n v="8453.7000000000007"/>
        <n v="8452"/>
        <n v="8441.7999999999993"/>
        <n v="8387.7999999999993"/>
        <n v="8371.5"/>
        <n v="8370.9"/>
        <n v="8369.2000000000007"/>
        <n v="8341.7000000000007"/>
        <n v="8334.2000000000007"/>
        <n v="8326.7999999999993"/>
        <n v="8317.7999999999993"/>
        <n v="8316.4"/>
        <n v="8314.4"/>
        <n v="8288.2999999999993"/>
        <n v="8278.7000000000007"/>
        <n v="8240.1999999999989"/>
        <n v="8235.9"/>
        <n v="8216.5"/>
        <n v="8213.5"/>
        <n v="8208"/>
        <n v="8203.4"/>
        <n v="8201.1"/>
        <n v="8198"/>
        <n v="8167.3"/>
        <n v="8148"/>
        <n v="8095.5999999999995"/>
        <n v="8067.5"/>
        <n v="8065.4"/>
        <n v="8063.9000000000005"/>
        <n v="8043.5999999999995"/>
        <n v="8024.5999999999995"/>
        <n v="8019.9000000000005"/>
        <n v="8019.1"/>
        <n v="7990.9"/>
        <n v="7981"/>
        <n v="7942.6"/>
        <n v="7940.9"/>
        <n v="7928.8"/>
        <n v="7908.7"/>
        <n v="7895.6"/>
        <n v="7894.5"/>
        <n v="7885.9000000000005"/>
        <n v="7858.6"/>
        <n v="7858.4"/>
        <n v="7838.9"/>
        <n v="7824.1"/>
        <n v="7817.4"/>
        <n v="7810.4"/>
        <n v="7790.4"/>
        <n v="7785.3"/>
        <n v="7765.7"/>
        <n v="7738.2999999999993"/>
        <n v="7733.3"/>
        <n v="7713.9"/>
        <n v="7705.7000000000007"/>
        <n v="7673.1"/>
        <n v="7661.6"/>
        <n v="7652.1"/>
        <n v="7632.4000000000005"/>
        <n v="7618.8"/>
        <n v="7614.9"/>
        <n v="7608.2"/>
        <n v="7596.7"/>
        <n v="7589.0999999999995"/>
        <n v="7562.2000000000007"/>
        <n v="7547.0999999999995"/>
        <n v="7543.1"/>
        <n v="7526.2999999999993"/>
        <n v="7506.9000000000005"/>
        <n v="7493.4"/>
        <n v="7490.6"/>
        <n v="7467.2999999999993"/>
        <n v="7453.2"/>
        <n v="7450.5999999999995"/>
        <n v="7437.0999999999995"/>
        <n v="7435.1"/>
        <n v="7419.8"/>
        <n v="7405.6"/>
        <n v="7388.5"/>
        <n v="7387.8"/>
        <n v="7377.8"/>
        <n v="7355.5"/>
        <n v="7350.3"/>
        <n v="7337.6"/>
        <n v="7335.2000000000007"/>
        <n v="7326.6"/>
        <n v="7313.2"/>
        <n v="7292.7999999999993"/>
        <n v="7256.2000000000007"/>
        <n v="7252.1"/>
        <n v="7239.7"/>
        <n v="7237.6"/>
        <n v="7209.5"/>
        <n v="7194.5"/>
        <n v="7182.2"/>
        <n v="7123.4"/>
        <n v="7116.3"/>
        <n v="7073.7"/>
        <n v="7067.3"/>
        <n v="7062.9000000000005"/>
        <n v="7054.0999999999995"/>
        <n v="7050.5"/>
        <n v="7038.3"/>
        <n v="7035.7999999999993"/>
        <n v="7023.7999999999993"/>
        <n v="6986.9"/>
        <n v="6976.3"/>
      </sharedItems>
    </cacheField>
    <cacheField name="Ranks" numFmtId="1">
      <sharedItems containsSemiMixedTypes="0" containsString="0" containsNumber="1" containsInteger="1" minValue="1" maxValue="500"/>
    </cacheField>
    <cacheField name="Stream differences" numFmtId="1">
      <sharedItems containsSemiMixedTypes="0" containsString="0" containsNumber="1" minValue="-39.199999999998909" maxValue="89.199999999998909"/>
    </cacheField>
    <cacheField name="Collaborative Rate" numFmtId="9">
      <sharedItems containsSemiMixedTypes="0" containsString="0" containsNumber="1" minValue="0" maxValue="1.0006827923678987"/>
    </cacheField>
    <cacheField name="Artist Performance Caterogy" numFmtId="0">
      <sharedItems count="3">
        <s v="High Performer"/>
        <s v="Medium Performer"/>
        <s v="Low Performer"/>
      </sharedItems>
    </cacheField>
  </cacheFields>
  <extLst>
    <ext xmlns:x14="http://schemas.microsoft.com/office/spreadsheetml/2009/9/main" uri="{725AE2AE-9491-48be-B2B4-4EB974FC3084}">
      <x14:pivotCacheDefinition pivotCacheId="444133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x v="0"/>
    <x v="0"/>
    <n v="94851.1"/>
    <n v="42640.9"/>
    <n v="53323.9"/>
    <n v="0.38783246459999998"/>
    <n v="84168.2"/>
    <n v="0.61216753540000002"/>
    <x v="0"/>
    <n v="1"/>
    <n v="0.10000000000582077"/>
    <n v="0.61216798068251244"/>
    <x v="0"/>
  </r>
  <r>
    <x v="1"/>
    <x v="1"/>
    <x v="1"/>
    <x v="0"/>
    <x v="1"/>
    <x v="0"/>
    <x v="0"/>
    <x v="0"/>
    <x v="1"/>
    <n v="126177.3"/>
    <n v="1683.8"/>
    <n v="113421.5"/>
    <n v="0.88706877000000006"/>
    <n v="14439.5"/>
    <n v="0.11293122999999999"/>
    <x v="1"/>
    <n v="2"/>
    <n v="-0.10000000000582077"/>
    <n v="0.11293114168421826"/>
    <x v="0"/>
  </r>
  <r>
    <x v="2"/>
    <x v="0"/>
    <x v="1"/>
    <x v="1"/>
    <x v="2"/>
    <x v="0"/>
    <x v="1"/>
    <x v="1"/>
    <x v="2"/>
    <n v="82189.3"/>
    <n v="43710.5"/>
    <n v="48887"/>
    <n v="0.38830085510000001"/>
    <n v="77012.800000000003"/>
    <n v="0.61169914489999999"/>
    <x v="2"/>
    <n v="3"/>
    <n v="0"/>
    <n v="0.61169914487552801"/>
    <x v="0"/>
  </r>
  <r>
    <x v="3"/>
    <x v="0"/>
    <x v="0"/>
    <x v="0"/>
    <x v="3"/>
    <x v="0"/>
    <x v="2"/>
    <x v="0"/>
    <x v="3"/>
    <n v="77189.399999999994"/>
    <n v="18513.8"/>
    <n v="51020"/>
    <n v="0.533106521"/>
    <n v="44683.199999999997"/>
    <n v="0.466893479"/>
    <x v="3"/>
    <n v="4"/>
    <n v="0"/>
    <n v="0.46689347900592665"/>
    <x v="0"/>
  </r>
  <r>
    <x v="4"/>
    <x v="0"/>
    <x v="0"/>
    <x v="0"/>
    <x v="1"/>
    <x v="0"/>
    <x v="2"/>
    <x v="0"/>
    <x v="4"/>
    <n v="48316.2"/>
    <n v="29788.2"/>
    <n v="29638.3"/>
    <n v="0.37947029870000004"/>
    <n v="48466.1"/>
    <n v="0.62052970129999996"/>
    <x v="4"/>
    <n v="5"/>
    <n v="0"/>
    <n v="0.62052970127163132"/>
    <x v="0"/>
  </r>
  <r>
    <x v="5"/>
    <x v="1"/>
    <x v="1"/>
    <x v="0"/>
    <x v="1"/>
    <x v="0"/>
    <x v="1"/>
    <x v="1"/>
    <x v="5"/>
    <n v="57097.5"/>
    <n v="11201.4"/>
    <n v="41615.5"/>
    <n v="0.60931435209999996"/>
    <n v="26683.4"/>
    <n v="0.39068564790000004"/>
    <x v="5"/>
    <n v="6"/>
    <n v="0"/>
    <n v="0.39068564793869304"/>
    <x v="0"/>
  </r>
  <r>
    <x v="6"/>
    <x v="0"/>
    <x v="1"/>
    <x v="0"/>
    <x v="0"/>
    <x v="0"/>
    <x v="1"/>
    <x v="1"/>
    <x v="6"/>
    <n v="35338.699999999997"/>
    <n v="30027"/>
    <n v="25309.9"/>
    <n v="0.38729940610000002"/>
    <n v="40039.800000000003"/>
    <n v="0.61270059389999998"/>
    <x v="6"/>
    <n v="7"/>
    <n v="-16"/>
    <n v="0.61255061905555974"/>
    <x v="0"/>
  </r>
  <r>
    <x v="7"/>
    <x v="0"/>
    <x v="1"/>
    <x v="0"/>
    <x v="0"/>
    <x v="0"/>
    <x v="3"/>
    <x v="2"/>
    <x v="7"/>
    <n v="46558.400000000001"/>
    <n v="18584.5"/>
    <n v="28473"/>
    <n v="0.4370852388"/>
    <n v="36669.9"/>
    <n v="0.56291476119999995"/>
    <x v="7"/>
    <n v="8"/>
    <n v="0"/>
    <n v="0.56291476124028872"/>
    <x v="0"/>
  </r>
  <r>
    <x v="8"/>
    <x v="0"/>
    <x v="2"/>
    <x v="0"/>
    <x v="1"/>
    <x v="0"/>
    <x v="4"/>
    <x v="1"/>
    <x v="8"/>
    <n v="57704"/>
    <n v="6967.8"/>
    <n v="46700"/>
    <n v="0.72227403420000003"/>
    <n v="17956.900000000001"/>
    <n v="0.27772596579999997"/>
    <x v="8"/>
    <n v="9"/>
    <n v="-14.900000000001455"/>
    <n v="0.27766197940988191"/>
    <x v="0"/>
  </r>
  <r>
    <x v="9"/>
    <x v="0"/>
    <x v="1"/>
    <x v="0"/>
    <x v="0"/>
    <x v="0"/>
    <x v="5"/>
    <x v="3"/>
    <x v="9"/>
    <n v="54466.8"/>
    <n v="10100.700000000001"/>
    <n v="32940"/>
    <n v="0.51030999710000002"/>
    <n v="31609"/>
    <n v="0.48969000289999998"/>
    <x v="9"/>
    <n v="10"/>
    <n v="-18.5"/>
    <n v="0.48954969605451659"/>
    <x v="0"/>
  </r>
  <r>
    <x v="10"/>
    <x v="1"/>
    <x v="3"/>
    <x v="0"/>
    <x v="1"/>
    <x v="0"/>
    <x v="6"/>
    <x v="2"/>
    <x v="10"/>
    <n v="44824.4"/>
    <n v="15846.4"/>
    <n v="30261.8"/>
    <n v="0.49878771800000005"/>
    <n v="30408.9"/>
    <n v="0.50121228200000001"/>
    <x v="10"/>
    <n v="11"/>
    <n v="-0.10000000000582077"/>
    <n v="0.50121145592278327"/>
    <x v="0"/>
  </r>
  <r>
    <x v="11"/>
    <x v="1"/>
    <x v="1"/>
    <x v="0"/>
    <x v="1"/>
    <x v="0"/>
    <x v="7"/>
    <x v="1"/>
    <x v="11"/>
    <n v="57160.1"/>
    <n v="889.4"/>
    <n v="51567.9"/>
    <n v="0.88834356889999999"/>
    <n v="6481.6"/>
    <n v="0.11165643109999999"/>
    <x v="11"/>
    <n v="12"/>
    <n v="0"/>
    <n v="0.11165643114927777"/>
    <x v="0"/>
  </r>
  <r>
    <x v="12"/>
    <x v="0"/>
    <x v="1"/>
    <x v="0"/>
    <x v="1"/>
    <x v="0"/>
    <x v="8"/>
    <x v="0"/>
    <x v="12"/>
    <n v="40714"/>
    <n v="16013.1"/>
    <n v="33618.1"/>
    <n v="0.59262856730000002"/>
    <n v="23109"/>
    <n v="0.40737143269999998"/>
    <x v="12"/>
    <n v="13"/>
    <n v="0"/>
    <n v="0.4073714327014778"/>
    <x v="0"/>
  </r>
  <r>
    <x v="13"/>
    <x v="0"/>
    <x v="1"/>
    <x v="0"/>
    <x v="0"/>
    <x v="0"/>
    <x v="2"/>
    <x v="0"/>
    <x v="13"/>
    <n v="40752.199999999997"/>
    <n v="15725"/>
    <n v="23403.5"/>
    <n v="0.41451837159999999"/>
    <n v="33056"/>
    <n v="0.58548162840000006"/>
    <x v="13"/>
    <n v="14"/>
    <n v="-17.69999999999709"/>
    <n v="0.58529813800967478"/>
    <x v="0"/>
  </r>
  <r>
    <x v="14"/>
    <x v="0"/>
    <x v="1"/>
    <x v="0"/>
    <x v="1"/>
    <x v="0"/>
    <x v="4"/>
    <x v="1"/>
    <x v="14"/>
    <n v="48805.599999999999"/>
    <n v="6235.6"/>
    <n v="25419.4"/>
    <n v="0.46193322350000005"/>
    <n v="29608.9"/>
    <n v="0.53806677650000001"/>
    <x v="14"/>
    <n v="15"/>
    <n v="-12.899999999994179"/>
    <n v="0.53794066989818545"/>
    <x v="0"/>
  </r>
  <r>
    <x v="15"/>
    <x v="0"/>
    <x v="4"/>
    <x v="1"/>
    <x v="2"/>
    <x v="0"/>
    <x v="3"/>
    <x v="2"/>
    <x v="15"/>
    <n v="25333.3"/>
    <n v="29334"/>
    <n v="7844.5"/>
    <n v="0.14354281490000001"/>
    <n v="46804.7"/>
    <n v="0.85645718509999991"/>
    <x v="15"/>
    <n v="16"/>
    <n v="-18.100000000005821"/>
    <n v="0.85617361750077281"/>
    <x v="0"/>
  </r>
  <r>
    <x v="16"/>
    <x v="0"/>
    <x v="1"/>
    <x v="0"/>
    <x v="0"/>
    <x v="0"/>
    <x v="8"/>
    <x v="0"/>
    <x v="16"/>
    <n v="27879"/>
    <n v="26072.5"/>
    <n v="12647.5"/>
    <n v="0.23442350999999997"/>
    <n v="41304"/>
    <n v="0.76557648999999994"/>
    <x v="16"/>
    <n v="17"/>
    <n v="0"/>
    <n v="0.7655764899956442"/>
    <x v="0"/>
  </r>
  <r>
    <x v="17"/>
    <x v="0"/>
    <x v="5"/>
    <x v="2"/>
    <x v="4"/>
    <x v="1"/>
    <x v="1"/>
    <x v="1"/>
    <x v="17"/>
    <n v="47969.9"/>
    <n v="5339"/>
    <n v="44114.400000000001"/>
    <n v="0.82752410949999999"/>
    <n v="9194.5"/>
    <n v="0.17247589049999998"/>
    <x v="17"/>
    <n v="18"/>
    <n v="0"/>
    <n v="0.17247589051734324"/>
    <x v="0"/>
  </r>
  <r>
    <x v="18"/>
    <x v="0"/>
    <x v="1"/>
    <x v="1"/>
    <x v="2"/>
    <x v="0"/>
    <x v="9"/>
    <x v="1"/>
    <x v="18"/>
    <n v="20247.099999999999"/>
    <n v="27418.9"/>
    <n v="8621.1"/>
    <n v="0.18092853609999998"/>
    <n v="39028.1"/>
    <n v="0.81907146389999996"/>
    <x v="18"/>
    <n v="19"/>
    <n v="-16.80000000000291"/>
    <n v="0.81878278017874373"/>
    <x v="1"/>
  </r>
  <r>
    <x v="19"/>
    <x v="0"/>
    <x v="2"/>
    <x v="0"/>
    <x v="5"/>
    <x v="1"/>
    <x v="10"/>
    <x v="3"/>
    <x v="19"/>
    <n v="42837.1"/>
    <n v="3901.3"/>
    <n v="38535.199999999997"/>
    <n v="0.82480458220000008"/>
    <n v="8185.2"/>
    <n v="0.1751954178"/>
    <x v="19"/>
    <n v="20"/>
    <n v="-18"/>
    <n v="0.17512794618557759"/>
    <x v="1"/>
  </r>
  <r>
    <x v="20"/>
    <x v="0"/>
    <x v="1"/>
    <x v="0"/>
    <x v="0"/>
    <x v="0"/>
    <x v="7"/>
    <x v="1"/>
    <x v="20"/>
    <n v="34132.1"/>
    <n v="12155.1"/>
    <n v="26675.7"/>
    <n v="0.57644285210000001"/>
    <n v="19600.7"/>
    <n v="0.42355714789999999"/>
    <x v="20"/>
    <n v="21"/>
    <n v="-10.799999999995634"/>
    <n v="0.42345832109092801"/>
    <x v="1"/>
  </r>
  <r>
    <x v="21"/>
    <x v="0"/>
    <x v="1"/>
    <x v="0"/>
    <x v="3"/>
    <x v="0"/>
    <x v="6"/>
    <x v="2"/>
    <x v="21"/>
    <n v="24455.7"/>
    <n v="19523.900000000001"/>
    <n v="12219.3"/>
    <n v="0.27794003249999999"/>
    <n v="31744.5"/>
    <n v="0.72205996750000001"/>
    <x v="21"/>
    <n v="22"/>
    <n v="-15.80000000000291"/>
    <n v="0.72180056207878185"/>
    <x v="1"/>
  </r>
  <r>
    <x v="22"/>
    <x v="1"/>
    <x v="6"/>
    <x v="0"/>
    <x v="0"/>
    <x v="0"/>
    <x v="11"/>
    <x v="0"/>
    <x v="22"/>
    <n v="16316.4"/>
    <n v="27027.9"/>
    <n v="9618.2000000000007"/>
    <n v="0.22197399969999998"/>
    <n v="33712.1"/>
    <n v="0.77802600029999991"/>
    <x v="22"/>
    <n v="23"/>
    <n v="-14"/>
    <n v="0.77777470163320195"/>
    <x v="1"/>
  </r>
  <r>
    <x v="23"/>
    <x v="1"/>
    <x v="1"/>
    <x v="0"/>
    <x v="6"/>
    <x v="0"/>
    <x v="8"/>
    <x v="0"/>
    <x v="23"/>
    <n v="38477.300000000003"/>
    <n v="3986.8"/>
    <n v="34578.400000000001"/>
    <n v="0.81429725340000003"/>
    <n v="7885.7"/>
    <n v="0.1857027466"/>
    <x v="23"/>
    <n v="24"/>
    <n v="0"/>
    <n v="0.18570274655532554"/>
    <x v="1"/>
  </r>
  <r>
    <x v="24"/>
    <x v="0"/>
    <x v="7"/>
    <x v="0"/>
    <x v="7"/>
    <x v="0"/>
    <x v="12"/>
    <x v="3"/>
    <x v="24"/>
    <n v="30750.799999999999"/>
    <n v="11325.3"/>
    <n v="406.8"/>
    <n v="9.6720122679999996E-3"/>
    <n v="41652.699999999997"/>
    <n v="0.99032798769999997"/>
    <x v="24"/>
    <n v="25"/>
    <n v="-16.599999999998545"/>
    <n v="0.98993728030877381"/>
    <x v="1"/>
  </r>
  <r>
    <x v="25"/>
    <x v="1"/>
    <x v="2"/>
    <x v="0"/>
    <x v="1"/>
    <x v="0"/>
    <x v="7"/>
    <x v="1"/>
    <x v="25"/>
    <n v="28269.7"/>
    <n v="13687.6"/>
    <n v="23133.7"/>
    <n v="0.55153644970000004"/>
    <n v="18810.400000000001"/>
    <n v="0.44846355029999996"/>
    <x v="25"/>
    <n v="26"/>
    <n v="-13.200000000004366"/>
    <n v="0.44832246116885499"/>
    <x v="1"/>
  </r>
  <r>
    <x v="26"/>
    <x v="0"/>
    <x v="1"/>
    <x v="1"/>
    <x v="2"/>
    <x v="0"/>
    <x v="13"/>
    <x v="3"/>
    <x v="26"/>
    <n v="19772.099999999999"/>
    <n v="21650"/>
    <n v="10692.8"/>
    <n v="0.2582465089"/>
    <n v="30712.6"/>
    <n v="0.7417534911"/>
    <x v="26"/>
    <n v="27"/>
    <n v="-16.69999999999709"/>
    <n v="0.74145444098681623"/>
    <x v="1"/>
  </r>
  <r>
    <x v="27"/>
    <x v="0"/>
    <x v="1"/>
    <x v="1"/>
    <x v="2"/>
    <x v="0"/>
    <x v="14"/>
    <x v="1"/>
    <x v="27"/>
    <n v="24898"/>
    <n v="15857.7"/>
    <n v="10432.5"/>
    <n v="0.25608391059999996"/>
    <n v="30306.1"/>
    <n v="0.74391608939999998"/>
    <x v="27"/>
    <n v="28"/>
    <n v="-17.099999999998545"/>
    <n v="0.74360396214517233"/>
    <x v="1"/>
  </r>
  <r>
    <x v="28"/>
    <x v="0"/>
    <x v="1"/>
    <x v="1"/>
    <x v="2"/>
    <x v="0"/>
    <x v="4"/>
    <x v="1"/>
    <x v="28"/>
    <n v="18355.599999999999"/>
    <n v="22118.9"/>
    <n v="6177"/>
    <n v="0.15269458860000001"/>
    <n v="34276.300000000003"/>
    <n v="0.84730541140000004"/>
    <x v="28"/>
    <n v="29"/>
    <n v="-21.19999999999709"/>
    <n v="0.84686160421994106"/>
    <x v="1"/>
  </r>
  <r>
    <x v="29"/>
    <x v="0"/>
    <x v="1"/>
    <x v="0"/>
    <x v="0"/>
    <x v="0"/>
    <x v="1"/>
    <x v="1"/>
    <x v="29"/>
    <n v="34419.9"/>
    <n v="5998.9"/>
    <n v="28138.400000000001"/>
    <n v="0.6963002922"/>
    <n v="12272.9"/>
    <n v="0.3036997078"/>
    <x v="29"/>
    <n v="30"/>
    <n v="-7.5"/>
    <n v="0.30364335408275356"/>
    <x v="1"/>
  </r>
  <r>
    <x v="30"/>
    <x v="0"/>
    <x v="1"/>
    <x v="0"/>
    <x v="5"/>
    <x v="1"/>
    <x v="9"/>
    <x v="1"/>
    <x v="30"/>
    <n v="38006.699999999997"/>
    <n v="2283.1999999999998"/>
    <n v="33880.400000000001"/>
    <n v="0.84113258610000008"/>
    <n v="6399.1"/>
    <n v="0.1588674139"/>
    <x v="30"/>
    <n v="31"/>
    <n v="-10.399999999994179"/>
    <n v="0.15882640562523118"/>
    <x v="1"/>
  </r>
  <r>
    <x v="31"/>
    <x v="0"/>
    <x v="1"/>
    <x v="0"/>
    <x v="0"/>
    <x v="0"/>
    <x v="15"/>
    <x v="3"/>
    <x v="31"/>
    <n v="15870.4"/>
    <n v="24279.9"/>
    <n v="4050.9"/>
    <n v="0.1008986704"/>
    <n v="36097.300000000003"/>
    <n v="0.8991013296"/>
    <x v="31"/>
    <n v="32"/>
    <n v="-2.1000000000058208"/>
    <n v="0.89905430345476867"/>
    <x v="1"/>
  </r>
  <r>
    <x v="32"/>
    <x v="0"/>
    <x v="2"/>
    <x v="0"/>
    <x v="0"/>
    <x v="0"/>
    <x v="14"/>
    <x v="1"/>
    <x v="32"/>
    <n v="15878"/>
    <n v="23155.599999999999"/>
    <n v="7883.1"/>
    <n v="0.20200490460000001"/>
    <n v="31141.200000000001"/>
    <n v="0.79799509540000002"/>
    <x v="32"/>
    <n v="33"/>
    <n v="-9.2999999999956344"/>
    <n v="0.79780496802754552"/>
    <x v="1"/>
  </r>
  <r>
    <x v="33"/>
    <x v="1"/>
    <x v="1"/>
    <x v="0"/>
    <x v="3"/>
    <x v="0"/>
    <x v="9"/>
    <x v="1"/>
    <x v="33"/>
    <n v="25267.5"/>
    <n v="13627.2"/>
    <n v="19804.599999999999"/>
    <n v="0.50938281259999996"/>
    <n v="19075"/>
    <n v="0.49061718740000004"/>
    <x v="33"/>
    <n v="34"/>
    <n v="-15.099999999998545"/>
    <n v="0.49042671623640244"/>
    <x v="1"/>
  </r>
  <r>
    <x v="34"/>
    <x v="0"/>
    <x v="8"/>
    <x v="3"/>
    <x v="8"/>
    <x v="0"/>
    <x v="4"/>
    <x v="1"/>
    <x v="34"/>
    <n v="13330.4"/>
    <n v="24384.799999999999"/>
    <n v="4537.3999999999996"/>
    <n v="0.1203943982"/>
    <n v="33150.400000000001"/>
    <n v="0.87960560180000003"/>
    <x v="34"/>
    <n v="35"/>
    <n v="-27.399999999994179"/>
    <n v="0.87896657050738169"/>
    <x v="1"/>
  </r>
  <r>
    <x v="35"/>
    <x v="1"/>
    <x v="1"/>
    <x v="0"/>
    <x v="1"/>
    <x v="0"/>
    <x v="16"/>
    <x v="0"/>
    <x v="35"/>
    <n v="37009.699999999997"/>
    <n v="572"/>
    <n v="23546.2"/>
    <n v="0.62680551780000004"/>
    <n v="14019.2"/>
    <n v="0.37319448219999996"/>
    <x v="35"/>
    <n v="36"/>
    <n v="-16.299999999995634"/>
    <n v="0.37303261959943274"/>
    <x v="1"/>
  </r>
  <r>
    <x v="36"/>
    <x v="1"/>
    <x v="4"/>
    <x v="1"/>
    <x v="2"/>
    <x v="0"/>
    <x v="11"/>
    <x v="0"/>
    <x v="36"/>
    <n v="29603.8"/>
    <n v="7961.5"/>
    <n v="14790.4"/>
    <n v="0.39388863290000004"/>
    <n v="22759.3"/>
    <n v="0.60611136710000002"/>
    <x v="36"/>
    <n v="37"/>
    <n v="-15.600000000005821"/>
    <n v="0.60585966304009276"/>
    <x v="1"/>
  </r>
  <r>
    <x v="37"/>
    <x v="0"/>
    <x v="1"/>
    <x v="0"/>
    <x v="0"/>
    <x v="0"/>
    <x v="17"/>
    <x v="4"/>
    <x v="37"/>
    <n v="18773.5"/>
    <n v="17171.5"/>
    <n v="8928.7999999999993"/>
    <n v="0.24849228679999999"/>
    <n v="27003.1"/>
    <n v="0.75150771320000009"/>
    <x v="37"/>
    <n v="38"/>
    <n v="-13.099999999998545"/>
    <n v="0.75123382946167749"/>
    <x v="1"/>
  </r>
  <r>
    <x v="38"/>
    <x v="2"/>
    <x v="1"/>
    <x v="0"/>
    <x v="1"/>
    <x v="1"/>
    <x v="18"/>
    <x v="2"/>
    <x v="38"/>
    <n v="35585.800000000003"/>
    <n v="222.6"/>
    <n v="23312.5"/>
    <n v="0.65129448710000004"/>
    <n v="12481.6"/>
    <n v="0.34870551290000001"/>
    <x v="38"/>
    <n v="39"/>
    <n v="-14.30000000000291"/>
    <n v="0.34856625819640086"/>
    <x v="1"/>
  </r>
  <r>
    <x v="39"/>
    <x v="0"/>
    <x v="1"/>
    <x v="0"/>
    <x v="3"/>
    <x v="0"/>
    <x v="19"/>
    <x v="4"/>
    <x v="39"/>
    <n v="18499.900000000001"/>
    <n v="17234.400000000001"/>
    <n v="12520.6"/>
    <n v="0.3504500773"/>
    <n v="23206.6"/>
    <n v="0.6495499227"/>
    <x v="39"/>
    <n v="40"/>
    <n v="-7.1000000000058208"/>
    <n v="0.64942086454750747"/>
    <x v="1"/>
  </r>
  <r>
    <x v="40"/>
    <x v="1"/>
    <x v="1"/>
    <x v="0"/>
    <x v="1"/>
    <x v="0"/>
    <x v="20"/>
    <x v="2"/>
    <x v="40"/>
    <n v="29662.799999999999"/>
    <n v="5325.3"/>
    <n v="21863.9"/>
    <n v="0.62512580340000001"/>
    <n v="13111.3"/>
    <n v="0.37487419659999999"/>
    <x v="40"/>
    <n v="41"/>
    <n v="-12.900000000001455"/>
    <n v="0.37473598166233663"/>
    <x v="1"/>
  </r>
  <r>
    <x v="41"/>
    <x v="0"/>
    <x v="4"/>
    <x v="1"/>
    <x v="9"/>
    <x v="0"/>
    <x v="8"/>
    <x v="0"/>
    <x v="41"/>
    <n v="19449.8"/>
    <n v="15404.7"/>
    <n v="11616.3"/>
    <n v="0.33340891480000001"/>
    <n v="23224.7"/>
    <n v="0.66659108519999999"/>
    <x v="41"/>
    <n v="42"/>
    <n v="-13.5"/>
    <n v="0.66633289819105135"/>
    <x v="1"/>
  </r>
  <r>
    <x v="42"/>
    <x v="0"/>
    <x v="4"/>
    <x v="1"/>
    <x v="2"/>
    <x v="0"/>
    <x v="7"/>
    <x v="1"/>
    <x v="42"/>
    <n v="18725.599999999999"/>
    <n v="15774.1"/>
    <n v="9877.2999999999993"/>
    <n v="0.28564364019999999"/>
    <n v="24701.8"/>
    <n v="0.71435635980000001"/>
    <x v="42"/>
    <n v="43"/>
    <n v="79.400000000001455"/>
    <n v="0.71600042898923766"/>
    <x v="1"/>
  </r>
  <r>
    <x v="43"/>
    <x v="0"/>
    <x v="9"/>
    <x v="0"/>
    <x v="7"/>
    <x v="0"/>
    <x v="11"/>
    <x v="0"/>
    <x v="43"/>
    <n v="31846"/>
    <n v="2298.3000000000002"/>
    <n v="5998.8"/>
    <n v="0.17576480310000001"/>
    <n v="28130.9"/>
    <n v="0.82423519690000002"/>
    <x v="43"/>
    <n v="44"/>
    <n v="-14.600000000005821"/>
    <n v="0.82388275641908015"/>
    <x v="1"/>
  </r>
  <r>
    <x v="44"/>
    <x v="0"/>
    <x v="1"/>
    <x v="1"/>
    <x v="2"/>
    <x v="0"/>
    <x v="19"/>
    <x v="4"/>
    <x v="44"/>
    <n v="14022.5"/>
    <n v="19614.7"/>
    <n v="9406.6"/>
    <n v="0.27978596519999999"/>
    <n v="24214.1"/>
    <n v="0.72021403480000001"/>
    <x v="44"/>
    <n v="45"/>
    <n v="-16.5"/>
    <n v="0.71986074940839306"/>
    <x v="1"/>
  </r>
  <r>
    <x v="45"/>
    <x v="2"/>
    <x v="1"/>
    <x v="0"/>
    <x v="5"/>
    <x v="1"/>
    <x v="21"/>
    <x v="3"/>
    <x v="45"/>
    <n v="31426.6"/>
    <n v="1798.1"/>
    <n v="30151.200000000001"/>
    <n v="0.90749352139999995"/>
    <n v="3073.5"/>
    <n v="9.2506478609999998E-2"/>
    <x v="45"/>
    <n v="46"/>
    <n v="0"/>
    <n v="9.2506478613802387E-2"/>
    <x v="1"/>
  </r>
  <r>
    <x v="46"/>
    <x v="0"/>
    <x v="10"/>
    <x v="1"/>
    <x v="10"/>
    <x v="0"/>
    <x v="22"/>
    <x v="4"/>
    <x v="46"/>
    <n v="18699.099999999999"/>
    <n v="14501.2"/>
    <n v="3938.3"/>
    <n v="0.11869571249999999"/>
    <n v="29241.5"/>
    <n v="0.88130428749999989"/>
    <x v="46"/>
    <n v="47"/>
    <n v="-20.5"/>
    <n v="0.88076011361343109"/>
    <x v="1"/>
  </r>
  <r>
    <x v="47"/>
    <x v="0"/>
    <x v="1"/>
    <x v="0"/>
    <x v="0"/>
    <x v="0"/>
    <x v="11"/>
    <x v="0"/>
    <x v="47"/>
    <n v="24334.7"/>
    <n v="7876.1"/>
    <n v="18999.5"/>
    <n v="0.59003009230000003"/>
    <n v="13201.4"/>
    <n v="0.40996990769999997"/>
    <x v="47"/>
    <n v="48"/>
    <n v="-9.9000000000014552"/>
    <n v="0.40984390328709619"/>
    <x v="1"/>
  </r>
  <r>
    <x v="48"/>
    <x v="0"/>
    <x v="1"/>
    <x v="0"/>
    <x v="0"/>
    <x v="0"/>
    <x v="14"/>
    <x v="1"/>
    <x v="48"/>
    <n v="21117.5"/>
    <n v="11006.6"/>
    <n v="16803.2"/>
    <n v="0.52320501679999998"/>
    <n v="15312.7"/>
    <n v="0.47679498320000002"/>
    <x v="48"/>
    <n v="49"/>
    <n v="-8.1999999999970896"/>
    <n v="0.47667327644976831"/>
    <x v="1"/>
  </r>
  <r>
    <x v="49"/>
    <x v="1"/>
    <x v="11"/>
    <x v="0"/>
    <x v="1"/>
    <x v="0"/>
    <x v="15"/>
    <x v="3"/>
    <x v="49"/>
    <n v="21063.200000000001"/>
    <n v="10588.2"/>
    <n v="15741.1"/>
    <n v="0.49747330300000003"/>
    <n v="15901"/>
    <n v="0.50252669699999997"/>
    <x v="49"/>
    <n v="50"/>
    <n v="-9.3000000000029104"/>
    <n v="0.50237904168535985"/>
    <x v="1"/>
  </r>
  <r>
    <x v="50"/>
    <x v="1"/>
    <x v="1"/>
    <x v="0"/>
    <x v="1"/>
    <x v="0"/>
    <x v="9"/>
    <x v="1"/>
    <x v="50"/>
    <n v="25574.2"/>
    <n v="5650.9"/>
    <n v="18797.099999999999"/>
    <n v="0.60219514770000004"/>
    <n v="12417.2"/>
    <n v="0.39780485229999996"/>
    <x v="50"/>
    <n v="51"/>
    <n v="-10.799999999999272"/>
    <n v="0.39766726127378299"/>
    <x v="1"/>
  </r>
  <r>
    <x v="51"/>
    <x v="1"/>
    <x v="4"/>
    <x v="1"/>
    <x v="9"/>
    <x v="0"/>
    <x v="13"/>
    <x v="3"/>
    <x v="51"/>
    <n v="24041"/>
    <n v="7171.5"/>
    <n v="11661.1"/>
    <n v="0.37360472119999999"/>
    <n v="19551.3"/>
    <n v="0.62639527880000001"/>
    <x v="51"/>
    <n v="52"/>
    <n v="-9.9999999998544808E-2"/>
    <n v="0.62639327192631156"/>
    <x v="1"/>
  </r>
  <r>
    <x v="52"/>
    <x v="0"/>
    <x v="1"/>
    <x v="0"/>
    <x v="11"/>
    <x v="0"/>
    <x v="14"/>
    <x v="1"/>
    <x v="52"/>
    <n v="26589.9"/>
    <n v="4600.3999999999996"/>
    <n v="23825.8"/>
    <n v="0.76435544460000004"/>
    <n v="7345.3"/>
    <n v="0.23564455540000001"/>
    <x v="52"/>
    <n v="53"/>
    <n v="-19.200000000004366"/>
    <n v="0.23549949824144042"/>
    <x v="1"/>
  </r>
  <r>
    <x v="53"/>
    <x v="0"/>
    <x v="1"/>
    <x v="0"/>
    <x v="0"/>
    <x v="0"/>
    <x v="4"/>
    <x v="1"/>
    <x v="53"/>
    <n v="10464.200000000001"/>
    <n v="20472.3"/>
    <n v="2792.1"/>
    <n v="9.0260491760000006E-2"/>
    <n v="28141.7"/>
    <n v="0.90973950819999994"/>
    <x v="53"/>
    <n v="54"/>
    <n v="-2.7000000000007276"/>
    <n v="0.90966011022578508"/>
    <x v="1"/>
  </r>
  <r>
    <x v="54"/>
    <x v="0"/>
    <x v="1"/>
    <x v="1"/>
    <x v="2"/>
    <x v="0"/>
    <x v="2"/>
    <x v="0"/>
    <x v="54"/>
    <n v="8548.7000000000007"/>
    <n v="21237.200000000001"/>
    <n v="4615.8999999999996"/>
    <n v="0.15502446659999999"/>
    <n v="25159.4"/>
    <n v="0.84497553339999998"/>
    <x v="54"/>
    <n v="55"/>
    <n v="-10.600000000002183"/>
    <n v="0.84467482936557226"/>
    <x v="1"/>
  </r>
  <r>
    <x v="55"/>
    <x v="0"/>
    <x v="0"/>
    <x v="0"/>
    <x v="1"/>
    <x v="0"/>
    <x v="14"/>
    <x v="1"/>
    <x v="55"/>
    <n v="28781"/>
    <n v="699"/>
    <n v="22074.9"/>
    <n v="0.74903549580000006"/>
    <n v="7396.2"/>
    <n v="0.25096450419999999"/>
    <x v="55"/>
    <n v="56"/>
    <n v="-8.9000000000014552"/>
    <n v="0.25088873812754409"/>
    <x v="1"/>
  </r>
  <r>
    <x v="56"/>
    <x v="0"/>
    <x v="2"/>
    <x v="0"/>
    <x v="1"/>
    <x v="0"/>
    <x v="8"/>
    <x v="0"/>
    <x v="56"/>
    <n v="29462.799999999999"/>
    <n v="0"/>
    <n v="29449"/>
    <n v="1"/>
    <n v="0"/>
    <n v="0"/>
    <x v="56"/>
    <n v="57"/>
    <n v="-13.799999999999272"/>
    <n v="0"/>
    <x v="1"/>
  </r>
  <r>
    <x v="57"/>
    <x v="0"/>
    <x v="2"/>
    <x v="0"/>
    <x v="5"/>
    <x v="1"/>
    <x v="23"/>
    <x v="3"/>
    <x v="57"/>
    <n v="29307.599999999999"/>
    <n v="70.8"/>
    <n v="26931.7"/>
    <n v="0.91697991149999991"/>
    <n v="2438.3000000000002"/>
    <n v="8.3020088530000008E-2"/>
    <x v="57"/>
    <n v="58"/>
    <n v="-8.3999999999978172"/>
    <n v="8.2996351060643209E-2"/>
    <x v="1"/>
  </r>
  <r>
    <x v="58"/>
    <x v="0"/>
    <x v="2"/>
    <x v="0"/>
    <x v="1"/>
    <x v="0"/>
    <x v="9"/>
    <x v="1"/>
    <x v="58"/>
    <n v="24125.8"/>
    <n v="5078.3"/>
    <n v="17995.2"/>
    <n v="0.61633307299999995"/>
    <n v="11202"/>
    <n v="0.38366692699999999"/>
    <x v="58"/>
    <n v="59"/>
    <n v="-6.8999999999978172"/>
    <n v="0.38357627867319999"/>
    <x v="1"/>
  </r>
  <r>
    <x v="59"/>
    <x v="2"/>
    <x v="2"/>
    <x v="0"/>
    <x v="1"/>
    <x v="1"/>
    <x v="4"/>
    <x v="1"/>
    <x v="59"/>
    <n v="28898.2"/>
    <n v="0"/>
    <n v="28801.9"/>
    <n v="0.99696775650000002"/>
    <n v="87.6"/>
    <n v="3.032243549E-3"/>
    <x v="59"/>
    <n v="60"/>
    <n v="-8.7000000000007276"/>
    <n v="3.0313306711144635E-3"/>
    <x v="1"/>
  </r>
  <r>
    <x v="60"/>
    <x v="0"/>
    <x v="1"/>
    <x v="0"/>
    <x v="0"/>
    <x v="0"/>
    <x v="1"/>
    <x v="1"/>
    <x v="60"/>
    <n v="13945.2"/>
    <n v="14911.9"/>
    <n v="119.7"/>
    <n v="4.1492337610000004E-3"/>
    <n v="28729"/>
    <n v="0.9958507661999999"/>
    <x v="60"/>
    <n v="61"/>
    <n v="-8.3999999999978172"/>
    <n v="0.99556088449636315"/>
    <x v="1"/>
  </r>
  <r>
    <x v="61"/>
    <x v="1"/>
    <x v="1"/>
    <x v="0"/>
    <x v="1"/>
    <x v="0"/>
    <x v="24"/>
    <x v="5"/>
    <x v="61"/>
    <n v="28797.599999999999"/>
    <n v="2.2000000000000002"/>
    <n v="26750.5"/>
    <n v="0.92884648100000011"/>
    <n v="2049.1999999999998"/>
    <n v="7.1153518959999995E-2"/>
    <x v="61"/>
    <n v="62"/>
    <n v="-9.9999999998544808E-2"/>
    <n v="7.1153271897721512E-2"/>
    <x v="1"/>
  </r>
  <r>
    <x v="62"/>
    <x v="1"/>
    <x v="2"/>
    <x v="0"/>
    <x v="1"/>
    <x v="0"/>
    <x v="16"/>
    <x v="0"/>
    <x v="62"/>
    <n v="28699.5"/>
    <n v="0"/>
    <n v="28537.7"/>
    <n v="0.99467419530000001"/>
    <n v="152.80000000000001"/>
    <n v="5.3258047090000002E-3"/>
    <x v="62"/>
    <n v="63"/>
    <n v="-9"/>
    <n v="5.3241345668043E-3"/>
    <x v="1"/>
  </r>
  <r>
    <x v="63"/>
    <x v="0"/>
    <x v="8"/>
    <x v="3"/>
    <x v="1"/>
    <x v="0"/>
    <x v="25"/>
    <x v="2"/>
    <x v="63"/>
    <n v="25181.4"/>
    <n v="3362.5"/>
    <n v="11.7"/>
    <n v="4.098949338E-4"/>
    <n v="28532.2"/>
    <n v="0.99959010510000001"/>
    <x v="63"/>
    <n v="64"/>
    <n v="0"/>
    <n v="0.99959010506623125"/>
    <x v="1"/>
  </r>
  <r>
    <x v="64"/>
    <x v="1"/>
    <x v="1"/>
    <x v="0"/>
    <x v="1"/>
    <x v="0"/>
    <x v="25"/>
    <x v="2"/>
    <x v="64"/>
    <n v="25287.5"/>
    <n v="2977.8"/>
    <n v="19629.7"/>
    <n v="0.69490583400000006"/>
    <n v="8618.2999999999993"/>
    <n v="0.305094166"/>
    <x v="64"/>
    <n v="65"/>
    <n v="-17.299999999999272"/>
    <n v="0.30490743066586945"/>
    <x v="1"/>
  </r>
  <r>
    <x v="65"/>
    <x v="0"/>
    <x v="1"/>
    <x v="0"/>
    <x v="0"/>
    <x v="0"/>
    <x v="1"/>
    <x v="1"/>
    <x v="65"/>
    <n v="12491.3"/>
    <n v="15715.6"/>
    <n v="7949.8"/>
    <n v="0.28194979390000002"/>
    <n v="20246"/>
    <n v="0.71805020610000003"/>
    <x v="65"/>
    <n v="66"/>
    <n v="-11.100000000002183"/>
    <n v="0.71776763841471414"/>
    <x v="1"/>
  </r>
  <r>
    <x v="66"/>
    <x v="0"/>
    <x v="2"/>
    <x v="0"/>
    <x v="5"/>
    <x v="1"/>
    <x v="6"/>
    <x v="2"/>
    <x v="66"/>
    <n v="28166.2"/>
    <n v="0"/>
    <n v="28130.400000000001"/>
    <n v="0.99911207090000009"/>
    <n v="25"/>
    <n v="8.8792913619999993E-4"/>
    <x v="66"/>
    <n v="67"/>
    <n v="-10.799999999999272"/>
    <n v="8.8758867010814381E-4"/>
    <x v="1"/>
  </r>
  <r>
    <x v="67"/>
    <x v="0"/>
    <x v="1"/>
    <x v="1"/>
    <x v="9"/>
    <x v="1"/>
    <x v="26"/>
    <x v="4"/>
    <x v="67"/>
    <n v="19814.7"/>
    <n v="7652.1"/>
    <n v="11576.2"/>
    <n v="0.42146154629999999"/>
    <n v="15890.6"/>
    <n v="0.57853845370000001"/>
    <x v="67"/>
    <n v="68"/>
    <n v="0"/>
    <n v="0.57853845369682666"/>
    <x v="1"/>
  </r>
  <r>
    <x v="68"/>
    <x v="0"/>
    <x v="10"/>
    <x v="1"/>
    <x v="10"/>
    <x v="0"/>
    <x v="27"/>
    <x v="4"/>
    <x v="68"/>
    <n v="18341.2"/>
    <n v="9084.4"/>
    <n v="13658.7"/>
    <n v="0.49836901789999999"/>
    <n v="13748.1"/>
    <n v="0.50163098210000001"/>
    <x v="68"/>
    <n v="69"/>
    <n v="-18.799999999999272"/>
    <n v="0.50128711860451558"/>
    <x v="1"/>
  </r>
  <r>
    <x v="69"/>
    <x v="0"/>
    <x v="1"/>
    <x v="0"/>
    <x v="0"/>
    <x v="0"/>
    <x v="2"/>
    <x v="0"/>
    <x v="69"/>
    <n v="23925.9"/>
    <n v="3208.7"/>
    <n v="11656.5"/>
    <n v="0.4297200451"/>
    <n v="15469.3"/>
    <n v="0.57027995490000005"/>
    <x v="69"/>
    <n v="70"/>
    <n v="-8.8000000000029104"/>
    <n v="0.57009500784975631"/>
    <x v="1"/>
  </r>
  <r>
    <x v="70"/>
    <x v="1"/>
    <x v="1"/>
    <x v="0"/>
    <x v="1"/>
    <x v="0"/>
    <x v="16"/>
    <x v="0"/>
    <x v="70"/>
    <n v="16017.5"/>
    <n v="10884.4"/>
    <n v="10921.5"/>
    <n v="0.40607768700000002"/>
    <n v="15973.6"/>
    <n v="0.59392231299999998"/>
    <x v="70"/>
    <n v="71"/>
    <n v="-6.8000000000029104"/>
    <n v="0.59377218709459179"/>
    <x v="1"/>
  </r>
  <r>
    <x v="71"/>
    <x v="0"/>
    <x v="1"/>
    <x v="0"/>
    <x v="3"/>
    <x v="0"/>
    <x v="4"/>
    <x v="1"/>
    <x v="71"/>
    <n v="5073.8"/>
    <n v="21394.799999999999"/>
    <n v="318.39999999999998"/>
    <n v="1.2030893399999999E-2"/>
    <n v="26146.799999999999"/>
    <n v="0.98796910659999992"/>
    <x v="71"/>
    <n v="72"/>
    <n v="-3.3999999999978172"/>
    <n v="0.98784219792508865"/>
    <x v="1"/>
  </r>
  <r>
    <x v="72"/>
    <x v="0"/>
    <x v="2"/>
    <x v="0"/>
    <x v="5"/>
    <x v="1"/>
    <x v="28"/>
    <x v="3"/>
    <x v="72"/>
    <n v="26138.7"/>
    <n v="2.2000000000000002"/>
    <n v="26123"/>
    <n v="0.99971297910000001"/>
    <n v="7.5"/>
    <n v="2.8702091429999999E-4"/>
    <x v="72"/>
    <n v="73"/>
    <n v="-10.400000000001455"/>
    <n v="2.8690672471108489E-4"/>
    <x v="1"/>
  </r>
  <r>
    <x v="73"/>
    <x v="0"/>
    <x v="1"/>
    <x v="0"/>
    <x v="1"/>
    <x v="0"/>
    <x v="3"/>
    <x v="2"/>
    <x v="73"/>
    <n v="18250.900000000001"/>
    <n v="7641"/>
    <n v="2321.6999999999998"/>
    <n v="8.9724762129999996E-2"/>
    <n v="23554.1"/>
    <n v="0.91027523790000009"/>
    <x v="73"/>
    <n v="74"/>
    <n v="-16.100000000002183"/>
    <n v="0.90970921407853411"/>
    <x v="1"/>
  </r>
  <r>
    <x v="74"/>
    <x v="0"/>
    <x v="1"/>
    <x v="1"/>
    <x v="2"/>
    <x v="0"/>
    <x v="29"/>
    <x v="3"/>
    <x v="74"/>
    <n v="11175.4"/>
    <n v="14672"/>
    <n v="2972.5"/>
    <n v="0.11487745119999999"/>
    <n v="22902.9"/>
    <n v="0.88512254879999996"/>
    <x v="74"/>
    <n v="75"/>
    <n v="28"/>
    <n v="0.88608138536177716"/>
    <x v="1"/>
  </r>
  <r>
    <x v="75"/>
    <x v="0"/>
    <x v="1"/>
    <x v="0"/>
    <x v="0"/>
    <x v="0"/>
    <x v="4"/>
    <x v="1"/>
    <x v="75"/>
    <n v="15382.2"/>
    <n v="10446.9"/>
    <n v="10109.799999999999"/>
    <n v="0.3915734515"/>
    <n v="15708.6"/>
    <n v="0.6084265485"/>
    <x v="75"/>
    <n v="76"/>
    <n v="-10.69999999999709"/>
    <n v="0.60817450085368829"/>
    <x v="1"/>
  </r>
  <r>
    <x v="76"/>
    <x v="1"/>
    <x v="1"/>
    <x v="0"/>
    <x v="1"/>
    <x v="0"/>
    <x v="14"/>
    <x v="1"/>
    <x v="76"/>
    <n v="13902.2"/>
    <n v="11792.3"/>
    <n v="12376.1"/>
    <n v="0.48179464719999998"/>
    <n v="13311.4"/>
    <n v="0.51820535280000002"/>
    <x v="76"/>
    <n v="77"/>
    <n v="-7"/>
    <n v="0.51806417715853581"/>
    <x v="1"/>
  </r>
  <r>
    <x v="77"/>
    <x v="0"/>
    <x v="1"/>
    <x v="0"/>
    <x v="0"/>
    <x v="0"/>
    <x v="0"/>
    <x v="0"/>
    <x v="77"/>
    <n v="11748.9"/>
    <n v="13549.3"/>
    <n v="4844.5"/>
    <n v="0.19155868550000002"/>
    <n v="20445.400000000001"/>
    <n v="0.80844131450000001"/>
    <x v="77"/>
    <n v="78"/>
    <n v="-8.2999999999956344"/>
    <n v="0.80817607576823658"/>
    <x v="1"/>
  </r>
  <r>
    <x v="78"/>
    <x v="0"/>
    <x v="1"/>
    <x v="0"/>
    <x v="1"/>
    <x v="0"/>
    <x v="30"/>
    <x v="3"/>
    <x v="78"/>
    <n v="24355.5"/>
    <n v="908.9"/>
    <n v="22915.3"/>
    <n v="0.90701936319999998"/>
    <n v="2349.1"/>
    <n v="9.2980636790000001E-2"/>
    <x v="78"/>
    <n v="79"/>
    <n v="0"/>
    <n v="9.2980636785358048E-2"/>
    <x v="1"/>
  </r>
  <r>
    <x v="79"/>
    <x v="1"/>
    <x v="1"/>
    <x v="0"/>
    <x v="1"/>
    <x v="0"/>
    <x v="14"/>
    <x v="1"/>
    <x v="79"/>
    <n v="22789.599999999999"/>
    <n v="2114.3000000000002"/>
    <n v="22549.4"/>
    <n v="0.90601319479999998"/>
    <n v="2339.1999999999998"/>
    <n v="9.3986805199999995E-2"/>
    <x v="79"/>
    <n v="80"/>
    <n v="-15.299999999999272"/>
    <n v="9.3929063319399778E-2"/>
    <x v="1"/>
  </r>
  <r>
    <x v="80"/>
    <x v="0"/>
    <x v="1"/>
    <x v="0"/>
    <x v="3"/>
    <x v="0"/>
    <x v="4"/>
    <x v="1"/>
    <x v="80"/>
    <n v="20425.400000000001"/>
    <n v="4391.5"/>
    <n v="18809.3"/>
    <n v="0.75821327510000003"/>
    <n v="5998.1"/>
    <n v="0.2417867249"/>
    <x v="80"/>
    <n v="81"/>
    <n v="-9.5"/>
    <n v="0.2416941680870697"/>
    <x v="1"/>
  </r>
  <r>
    <x v="81"/>
    <x v="0"/>
    <x v="12"/>
    <x v="4"/>
    <x v="12"/>
    <x v="1"/>
    <x v="31"/>
    <x v="3"/>
    <x v="81"/>
    <n v="24525.4"/>
    <n v="81.599999999999994"/>
    <n v="24410.799999999999"/>
    <n v="0.99202665909999999"/>
    <n v="196.2"/>
    <n v="7.973340919E-3"/>
    <x v="81"/>
    <n v="82"/>
    <n v="0"/>
    <n v="7.973340919250619E-3"/>
    <x v="1"/>
  </r>
  <r>
    <x v="82"/>
    <x v="0"/>
    <x v="1"/>
    <x v="0"/>
    <x v="0"/>
    <x v="0"/>
    <x v="5"/>
    <x v="3"/>
    <x v="82"/>
    <n v="13311.3"/>
    <n v="11139.9"/>
    <n v="2764.3"/>
    <n v="0.1131051019"/>
    <n v="21675.8"/>
    <n v="0.8868948981"/>
    <x v="82"/>
    <n v="83"/>
    <n v="-11.099999999998545"/>
    <n v="0.88649227849757894"/>
    <x v="1"/>
  </r>
  <r>
    <x v="83"/>
    <x v="0"/>
    <x v="1"/>
    <x v="0"/>
    <x v="0"/>
    <x v="0"/>
    <x v="4"/>
    <x v="1"/>
    <x v="83"/>
    <n v="14721.3"/>
    <n v="9504.2999999999993"/>
    <n v="6253.7"/>
    <n v="0.2582338173"/>
    <n v="17963.5"/>
    <n v="0.74176618270000005"/>
    <x v="83"/>
    <n v="84"/>
    <n v="-8.3999999999978172"/>
    <n v="0.74150898223367023"/>
    <x v="1"/>
  </r>
  <r>
    <x v="84"/>
    <x v="1"/>
    <x v="1"/>
    <x v="0"/>
    <x v="1"/>
    <x v="0"/>
    <x v="0"/>
    <x v="0"/>
    <x v="84"/>
    <n v="20739"/>
    <n v="3175.7"/>
    <n v="18453.900000000001"/>
    <n v="0.77188425440000008"/>
    <n v="5453.7"/>
    <n v="0.2281157456"/>
    <x v="84"/>
    <n v="85"/>
    <n v="-7.1000000000021828"/>
    <n v="0.22804802067347696"/>
    <x v="1"/>
  </r>
  <r>
    <x v="85"/>
    <x v="0"/>
    <x v="1"/>
    <x v="0"/>
    <x v="7"/>
    <x v="1"/>
    <x v="9"/>
    <x v="1"/>
    <x v="85"/>
    <n v="22661.5"/>
    <n v="1189.8"/>
    <n v="3830.9"/>
    <n v="0.16065774520000001"/>
    <n v="20014.2"/>
    <n v="0.83934225479999991"/>
    <x v="85"/>
    <n v="86"/>
    <n v="-6.2000000000007276"/>
    <n v="0.83912407290168678"/>
    <x v="1"/>
  </r>
  <r>
    <x v="86"/>
    <x v="0"/>
    <x v="1"/>
    <x v="0"/>
    <x v="7"/>
    <x v="0"/>
    <x v="7"/>
    <x v="1"/>
    <x v="86"/>
    <n v="17589.400000000001"/>
    <n v="6122.5"/>
    <n v="1704.1"/>
    <n v="7.188505815E-2"/>
    <n v="22001.8"/>
    <n v="0.92811494179999998"/>
    <x v="86"/>
    <n v="87"/>
    <n v="-6"/>
    <n v="0.92788009396125992"/>
    <x v="1"/>
  </r>
  <r>
    <x v="87"/>
    <x v="1"/>
    <x v="1"/>
    <x v="0"/>
    <x v="0"/>
    <x v="0"/>
    <x v="7"/>
    <x v="1"/>
    <x v="87"/>
    <n v="10833.6"/>
    <n v="11666.6"/>
    <n v="4407.8"/>
    <n v="0.19594663679999999"/>
    <n v="18087.099999999999"/>
    <n v="0.80405336319999998"/>
    <x v="87"/>
    <n v="88"/>
    <n v="-5.2999999999992724"/>
    <n v="0.80386396565363849"/>
    <x v="1"/>
  </r>
  <r>
    <x v="88"/>
    <x v="0"/>
    <x v="1"/>
    <x v="0"/>
    <x v="6"/>
    <x v="1"/>
    <x v="2"/>
    <x v="0"/>
    <x v="88"/>
    <n v="22215.200000000001"/>
    <n v="269.10000000000002"/>
    <n v="22142.6"/>
    <n v="0.9851751661999999"/>
    <n v="333.2"/>
    <n v="1.4824833820000001E-2"/>
    <x v="88"/>
    <n v="89"/>
    <n v="-8.5"/>
    <n v="1.4819229417860463E-2"/>
    <x v="1"/>
  </r>
  <r>
    <x v="89"/>
    <x v="2"/>
    <x v="1"/>
    <x v="0"/>
    <x v="13"/>
    <x v="1"/>
    <x v="32"/>
    <x v="3"/>
    <x v="89"/>
    <n v="287.8"/>
    <n v="21966.6"/>
    <n v="0"/>
    <n v="0"/>
    <n v="22236.1"/>
    <n v="1"/>
    <x v="89"/>
    <n v="90"/>
    <n v="-18.299999999999272"/>
    <n v="0.99917769070386087"/>
    <x v="1"/>
  </r>
  <r>
    <x v="90"/>
    <x v="0"/>
    <x v="1"/>
    <x v="1"/>
    <x v="2"/>
    <x v="0"/>
    <x v="3"/>
    <x v="2"/>
    <x v="90"/>
    <n v="8927.4"/>
    <n v="13023.3"/>
    <n v="3007"/>
    <n v="0.1370724747"/>
    <n v="18930.3"/>
    <n v="0.86292752530000005"/>
    <x v="90"/>
    <n v="91"/>
    <n v="-13.399999999997817"/>
    <n v="0.86240074348426254"/>
    <x v="1"/>
  </r>
  <r>
    <x v="91"/>
    <x v="2"/>
    <x v="1"/>
    <x v="0"/>
    <x v="5"/>
    <x v="1"/>
    <x v="33"/>
    <x v="3"/>
    <x v="91"/>
    <n v="21884.2"/>
    <n v="0"/>
    <n v="21872.400000000001"/>
    <n v="0.99993599649999998"/>
    <n v="1.4"/>
    <n v="6.4003511049999997E-5"/>
    <x v="91"/>
    <n v="92"/>
    <n v="-10.400000000001455"/>
    <n v="6.3973094744153311E-5"/>
    <x v="1"/>
  </r>
  <r>
    <x v="92"/>
    <x v="1"/>
    <x v="13"/>
    <x v="0"/>
    <x v="1"/>
    <x v="0"/>
    <x v="9"/>
    <x v="1"/>
    <x v="92"/>
    <n v="12365.6"/>
    <n v="9186"/>
    <n v="6409.3"/>
    <n v="0.29746776689999999"/>
    <n v="15136.9"/>
    <n v="0.7025322330999999"/>
    <x v="92"/>
    <n v="93"/>
    <n v="-5.3999999999978172"/>
    <n v="0.70235620557174416"/>
    <x v="1"/>
  </r>
  <r>
    <x v="93"/>
    <x v="0"/>
    <x v="1"/>
    <x v="0"/>
    <x v="0"/>
    <x v="1"/>
    <x v="14"/>
    <x v="1"/>
    <x v="93"/>
    <n v="20357.3"/>
    <n v="851.6"/>
    <n v="16646.900000000001"/>
    <n v="0.78514595110000007"/>
    <n v="4555.3999999999996"/>
    <n v="0.21485404890000001"/>
    <x v="93"/>
    <n v="94"/>
    <n v="-6.5999999999985448"/>
    <n v="0.21478718839732377"/>
    <x v="1"/>
  </r>
  <r>
    <x v="94"/>
    <x v="2"/>
    <x v="1"/>
    <x v="0"/>
    <x v="1"/>
    <x v="1"/>
    <x v="11"/>
    <x v="0"/>
    <x v="94"/>
    <n v="19519.400000000001"/>
    <n v="1669.7"/>
    <n v="17506.599999999999"/>
    <n v="0.8264769475999999"/>
    <n v="3675.6"/>
    <n v="0.17352305239999999"/>
    <x v="94"/>
    <n v="95"/>
    <n v="-6.9000000000014552"/>
    <n v="0.17346654647908594"/>
    <x v="1"/>
  </r>
  <r>
    <x v="95"/>
    <x v="0"/>
    <x v="14"/>
    <x v="0"/>
    <x v="7"/>
    <x v="0"/>
    <x v="0"/>
    <x v="0"/>
    <x v="95"/>
    <n v="20142.3"/>
    <n v="867.4"/>
    <n v="14179.7"/>
    <n v="0.675111291"/>
    <n v="6823.8"/>
    <n v="0.324888709"/>
    <x v="95"/>
    <n v="96"/>
    <n v="-6.2000000000007276"/>
    <n v="0.3247928337862987"/>
    <x v="1"/>
  </r>
  <r>
    <x v="96"/>
    <x v="0"/>
    <x v="1"/>
    <x v="0"/>
    <x v="7"/>
    <x v="0"/>
    <x v="18"/>
    <x v="2"/>
    <x v="96"/>
    <n v="5352.4"/>
    <n v="15318.4"/>
    <n v="32.5"/>
    <n v="1.572266192E-3"/>
    <n v="20638.3"/>
    <n v="0.99842773379999994"/>
    <x v="96"/>
    <n v="97"/>
    <n v="0"/>
    <n v="0.99842773380807714"/>
    <x v="1"/>
  </r>
  <r>
    <x v="97"/>
    <x v="0"/>
    <x v="1"/>
    <x v="0"/>
    <x v="0"/>
    <x v="0"/>
    <x v="34"/>
    <x v="3"/>
    <x v="97"/>
    <n v="7762"/>
    <n v="12890.7"/>
    <n v="1744.2"/>
    <n v="8.4486166009999988E-2"/>
    <n v="18900.599999999999"/>
    <n v="0.91551383400000008"/>
    <x v="97"/>
    <n v="98"/>
    <n v="-7.9000000000014552"/>
    <n v="0.91516363477898766"/>
    <x v="1"/>
  </r>
  <r>
    <x v="98"/>
    <x v="0"/>
    <x v="1"/>
    <x v="1"/>
    <x v="14"/>
    <x v="0"/>
    <x v="4"/>
    <x v="1"/>
    <x v="98"/>
    <n v="14249.8"/>
    <n v="6311"/>
    <n v="8225.7000000000007"/>
    <n v="0.40029295539999998"/>
    <n v="12323.5"/>
    <n v="0.59970704460000002"/>
    <x v="98"/>
    <n v="99"/>
    <n v="-11.599999999998545"/>
    <n v="0.59936870160694133"/>
    <x v="1"/>
  </r>
  <r>
    <x v="99"/>
    <x v="0"/>
    <x v="1"/>
    <x v="0"/>
    <x v="0"/>
    <x v="0"/>
    <x v="20"/>
    <x v="2"/>
    <x v="99"/>
    <n v="14112.2"/>
    <n v="6342"/>
    <n v="8484.4"/>
    <n v="0.4149946685"/>
    <n v="11960.2"/>
    <n v="0.5850053315"/>
    <x v="99"/>
    <n v="100"/>
    <n v="-9.6000000000021828"/>
    <n v="0.58473076434179783"/>
    <x v="1"/>
  </r>
  <r>
    <x v="100"/>
    <x v="0"/>
    <x v="10"/>
    <x v="1"/>
    <x v="10"/>
    <x v="0"/>
    <x v="26"/>
    <x v="4"/>
    <x v="100"/>
    <n v="13993.4"/>
    <n v="6316.3"/>
    <n v="7574.2"/>
    <n v="0.37310043500000001"/>
    <n v="12726.5"/>
    <n v="0.62689956499999999"/>
    <x v="100"/>
    <n v="101"/>
    <n v="-9"/>
    <n v="0.62662176201519471"/>
    <x v="1"/>
  </r>
  <r>
    <x v="101"/>
    <x v="0"/>
    <x v="1"/>
    <x v="0"/>
    <x v="0"/>
    <x v="0"/>
    <x v="7"/>
    <x v="1"/>
    <x v="101"/>
    <n v="15305.8"/>
    <n v="4841.7"/>
    <n v="13558.6"/>
    <n v="0.67328099470000002"/>
    <n v="6579.5"/>
    <n v="0.32671900530000003"/>
    <x v="101"/>
    <n v="102"/>
    <n v="-9.4000000000014552"/>
    <n v="0.32656657153492991"/>
    <x v="1"/>
  </r>
  <r>
    <x v="102"/>
    <x v="0"/>
    <x v="1"/>
    <x v="0"/>
    <x v="0"/>
    <x v="0"/>
    <x v="11"/>
    <x v="0"/>
    <x v="102"/>
    <n v="18765.5"/>
    <n v="1328"/>
    <n v="12865.2"/>
    <n v="0.64034323660000003"/>
    <n v="7225.9"/>
    <n v="0.35965676340000002"/>
    <x v="102"/>
    <n v="103"/>
    <n v="-2.4000000000014552"/>
    <n v="0.35961380545947691"/>
    <x v="1"/>
  </r>
  <r>
    <x v="103"/>
    <x v="0"/>
    <x v="1"/>
    <x v="0"/>
    <x v="0"/>
    <x v="0"/>
    <x v="7"/>
    <x v="1"/>
    <x v="103"/>
    <n v="9365.1"/>
    <n v="10617.1"/>
    <n v="5320.2"/>
    <n v="0.26630959830000001"/>
    <n v="14657.3"/>
    <n v="0.73369040170000011"/>
    <x v="103"/>
    <n v="104"/>
    <n v="-4.7000000000007276"/>
    <n v="0.73351783086947375"/>
    <x v="2"/>
  </r>
  <r>
    <x v="104"/>
    <x v="0"/>
    <x v="1"/>
    <x v="0"/>
    <x v="0"/>
    <x v="0"/>
    <x v="17"/>
    <x v="4"/>
    <x v="104"/>
    <n v="12351.9"/>
    <n v="7494"/>
    <n v="8302.6"/>
    <n v="0.4186782986"/>
    <n v="11527.9"/>
    <n v="0.58132170139999995"/>
    <x v="104"/>
    <n v="105"/>
    <n v="-15.400000000001455"/>
    <n v="0.58087060803490886"/>
    <x v="2"/>
  </r>
  <r>
    <x v="105"/>
    <x v="0"/>
    <x v="1"/>
    <x v="0"/>
    <x v="11"/>
    <x v="0"/>
    <x v="27"/>
    <x v="4"/>
    <x v="105"/>
    <n v="19690.8"/>
    <n v="47.3"/>
    <n v="15838.7"/>
    <n v="0.80288637009999997"/>
    <n v="3888.5"/>
    <n v="0.1971136299"/>
    <x v="105"/>
    <n v="106"/>
    <n v="-10.899999999997817"/>
    <n v="0.19700477756217671"/>
    <x v="2"/>
  </r>
  <r>
    <x v="106"/>
    <x v="0"/>
    <x v="15"/>
    <x v="0"/>
    <x v="7"/>
    <x v="0"/>
    <x v="1"/>
    <x v="1"/>
    <x v="106"/>
    <n v="17829.8"/>
    <n v="1883.3"/>
    <n v="250.7"/>
    <n v="1.2720851639999999E-2"/>
    <n v="19457.099999999999"/>
    <n v="0.98727914839999997"/>
    <x v="106"/>
    <n v="107"/>
    <n v="-5.2999999999992724"/>
    <n v="0.98701371169425411"/>
    <x v="2"/>
  </r>
  <r>
    <x v="107"/>
    <x v="0"/>
    <x v="16"/>
    <x v="1"/>
    <x v="2"/>
    <x v="0"/>
    <x v="14"/>
    <x v="1"/>
    <x v="107"/>
    <n v="7512.9"/>
    <n v="12015.4"/>
    <n v="2397.8000000000002"/>
    <n v="0.12278590559999999"/>
    <n v="17130.5"/>
    <n v="0.87721409439999998"/>
    <x v="107"/>
    <n v="108"/>
    <n v="0"/>
    <n v="0.87721409441682074"/>
    <x v="2"/>
  </r>
  <r>
    <x v="108"/>
    <x v="0"/>
    <x v="1"/>
    <x v="0"/>
    <x v="6"/>
    <x v="1"/>
    <x v="4"/>
    <x v="1"/>
    <x v="108"/>
    <n v="19435.599999999999"/>
    <n v="14.3"/>
    <n v="18793.5"/>
    <n v="0.96671896300000004"/>
    <n v="647"/>
    <n v="3.328103701E-2"/>
    <x v="108"/>
    <n v="109"/>
    <n v="-9.3999999999978172"/>
    <n v="3.3264952519036092E-2"/>
    <x v="2"/>
  </r>
  <r>
    <x v="109"/>
    <x v="0"/>
    <x v="1"/>
    <x v="0"/>
    <x v="0"/>
    <x v="0"/>
    <x v="16"/>
    <x v="0"/>
    <x v="109"/>
    <n v="2977.3"/>
    <n v="16406.099999999999"/>
    <n v="809.7"/>
    <n v="4.177264168E-2"/>
    <n v="18573.8"/>
    <n v="0.95822735829999994"/>
    <x v="109"/>
    <n v="110"/>
    <n v="0.10000000000218279"/>
    <n v="0.95823230186654562"/>
    <x v="2"/>
  </r>
  <r>
    <x v="110"/>
    <x v="0"/>
    <x v="17"/>
    <x v="5"/>
    <x v="15"/>
    <x v="1"/>
    <x v="16"/>
    <x v="0"/>
    <x v="110"/>
    <n v="15881.4"/>
    <n v="3360.5"/>
    <n v="15399.4"/>
    <n v="0.80073004469999998"/>
    <n v="3832.3"/>
    <n v="0.1992699553"/>
    <x v="110"/>
    <n v="111"/>
    <n v="-10.200000000000728"/>
    <n v="0.19916432368944853"/>
    <x v="2"/>
  </r>
  <r>
    <x v="111"/>
    <x v="0"/>
    <x v="1"/>
    <x v="0"/>
    <x v="11"/>
    <x v="0"/>
    <x v="14"/>
    <x v="1"/>
    <x v="111"/>
    <n v="17465.400000000001"/>
    <n v="1647.2"/>
    <n v="16648"/>
    <n v="0.87155002719999997"/>
    <n v="2453.6"/>
    <n v="0.12844997280000001"/>
    <x v="111"/>
    <n v="112"/>
    <n v="-11.000000000003638"/>
    <n v="0.12837604512206605"/>
    <x v="2"/>
  </r>
  <r>
    <x v="112"/>
    <x v="0"/>
    <x v="2"/>
    <x v="0"/>
    <x v="5"/>
    <x v="0"/>
    <x v="35"/>
    <x v="3"/>
    <x v="112"/>
    <n v="17435.400000000001"/>
    <n v="1662.4"/>
    <n v="12211.1"/>
    <n v="0.63964610479999995"/>
    <n v="6879.3"/>
    <n v="0.36035389520000005"/>
    <x v="112"/>
    <n v="113"/>
    <n v="-7.4000000000014552"/>
    <n v="0.36021426551749414"/>
    <x v="2"/>
  </r>
  <r>
    <x v="113"/>
    <x v="0"/>
    <x v="4"/>
    <x v="1"/>
    <x v="9"/>
    <x v="0"/>
    <x v="19"/>
    <x v="4"/>
    <x v="113"/>
    <n v="8490.9"/>
    <n v="10429.4"/>
    <n v="5716.7"/>
    <n v="0.30226778830000001"/>
    <n v="13196"/>
    <n v="0.69773221169999999"/>
    <x v="113"/>
    <n v="114"/>
    <n v="-7.5999999999985448"/>
    <n v="0.69745194315100711"/>
    <x v="2"/>
  </r>
  <r>
    <x v="114"/>
    <x v="0"/>
    <x v="1"/>
    <x v="0"/>
    <x v="0"/>
    <x v="0"/>
    <x v="19"/>
    <x v="4"/>
    <x v="114"/>
    <n v="11762.8"/>
    <n v="7126.8"/>
    <n v="5822.1"/>
    <n v="0.30821722009999997"/>
    <n v="13067.5"/>
    <n v="0.69178277990000003"/>
    <x v="114"/>
    <n v="115"/>
    <n v="0"/>
    <n v="0.69178277994240223"/>
    <x v="2"/>
  </r>
  <r>
    <x v="115"/>
    <x v="1"/>
    <x v="0"/>
    <x v="0"/>
    <x v="1"/>
    <x v="0"/>
    <x v="17"/>
    <x v="4"/>
    <x v="115"/>
    <n v="16893.7"/>
    <n v="1823.3"/>
    <n v="15280.9"/>
    <n v="0.81684155380000012"/>
    <n v="3426.4"/>
    <n v="0.18315844619999999"/>
    <x v="115"/>
    <n v="116"/>
    <n v="-9.7000000000007276"/>
    <n v="0.18306352513757548"/>
    <x v="2"/>
  </r>
  <r>
    <x v="116"/>
    <x v="0"/>
    <x v="1"/>
    <x v="0"/>
    <x v="0"/>
    <x v="0"/>
    <x v="14"/>
    <x v="1"/>
    <x v="116"/>
    <n v="17855.2"/>
    <n v="801"/>
    <n v="9452.7000000000007"/>
    <n v="0.50686077370000004"/>
    <n v="9196.7999999999993"/>
    <n v="0.49313922630000001"/>
    <x v="116"/>
    <n v="117"/>
    <n v="-6.7000000000007276"/>
    <n v="0.49296212519162524"/>
    <x v="2"/>
  </r>
  <r>
    <x v="117"/>
    <x v="0"/>
    <x v="1"/>
    <x v="0"/>
    <x v="5"/>
    <x v="1"/>
    <x v="36"/>
    <x v="3"/>
    <x v="117"/>
    <n v="18557"/>
    <n v="77.900000000000006"/>
    <n v="18283.099999999999"/>
    <n v="0.98153755300000001"/>
    <n v="343.9"/>
    <n v="1.8462446990000003E-2"/>
    <x v="117"/>
    <n v="118"/>
    <n v="-7.9000000000014552"/>
    <n v="1.8454620094553766E-2"/>
    <x v="2"/>
  </r>
  <r>
    <x v="118"/>
    <x v="0"/>
    <x v="1"/>
    <x v="1"/>
    <x v="2"/>
    <x v="0"/>
    <x v="20"/>
    <x v="2"/>
    <x v="118"/>
    <n v="14990.8"/>
    <n v="3601.2"/>
    <n v="8321.9"/>
    <n v="0.44788112329999996"/>
    <n v="10258.700000000001"/>
    <n v="0.55211887670000004"/>
    <x v="118"/>
    <n v="119"/>
    <n v="-11.400000000001455"/>
    <n v="0.55178033562822726"/>
    <x v="2"/>
  </r>
  <r>
    <x v="119"/>
    <x v="0"/>
    <x v="1"/>
    <x v="0"/>
    <x v="3"/>
    <x v="0"/>
    <x v="37"/>
    <x v="3"/>
    <x v="119"/>
    <n v="12525.4"/>
    <n v="5896.3"/>
    <n v="5222.1000000000004"/>
    <n v="0.28360632590000001"/>
    <n v="13191.1"/>
    <n v="0.7163936741000001"/>
    <x v="119"/>
    <n v="120"/>
    <n v="-8.5"/>
    <n v="0.71606312121031179"/>
    <x v="2"/>
  </r>
  <r>
    <x v="120"/>
    <x v="0"/>
    <x v="1"/>
    <x v="0"/>
    <x v="1"/>
    <x v="0"/>
    <x v="7"/>
    <x v="1"/>
    <x v="120"/>
    <n v="14642.3"/>
    <n v="3673.3"/>
    <n v="8613.7000000000007"/>
    <n v="0.47045490540000001"/>
    <n v="9695.6"/>
    <n v="0.52954509459999999"/>
    <x v="120"/>
    <n v="121"/>
    <n v="-6.2999999999992724"/>
    <n v="0.52936294743278955"/>
    <x v="2"/>
  </r>
  <r>
    <x v="121"/>
    <x v="0"/>
    <x v="1"/>
    <x v="0"/>
    <x v="1"/>
    <x v="0"/>
    <x v="18"/>
    <x v="2"/>
    <x v="121"/>
    <n v="13165.8"/>
    <n v="5114.8999999999996"/>
    <n v="8899.2000000000007"/>
    <n v="0.48707226830000006"/>
    <n v="9371.6"/>
    <n v="0.51292773169999994"/>
    <x v="121"/>
    <n v="122"/>
    <n v="-9.8999999999978172"/>
    <n v="0.51264995322936224"/>
    <x v="2"/>
  </r>
  <r>
    <x v="122"/>
    <x v="0"/>
    <x v="18"/>
    <x v="0"/>
    <x v="7"/>
    <x v="0"/>
    <x v="37"/>
    <x v="3"/>
    <x v="122"/>
    <n v="13653.1"/>
    <n v="4569.1000000000004"/>
    <n v="3490.5"/>
    <n v="0.19160568919999998"/>
    <n v="14726.6"/>
    <n v="0.80839431080000002"/>
    <x v="122"/>
    <n v="123"/>
    <n v="-5.1000000000021828"/>
    <n v="0.80816805874153508"/>
    <x v="2"/>
  </r>
  <r>
    <x v="123"/>
    <x v="0"/>
    <x v="19"/>
    <x v="0"/>
    <x v="16"/>
    <x v="0"/>
    <x v="5"/>
    <x v="3"/>
    <x v="123"/>
    <n v="9674.9"/>
    <n v="8539.4"/>
    <n v="4460.6000000000004"/>
    <n v="0.24504348109999999"/>
    <n v="13742.7"/>
    <n v="0.75495651890000004"/>
    <x v="123"/>
    <n v="124"/>
    <n v="-11"/>
    <n v="0.7545005847054238"/>
    <x v="2"/>
  </r>
  <r>
    <x v="124"/>
    <x v="0"/>
    <x v="1"/>
    <x v="0"/>
    <x v="0"/>
    <x v="0"/>
    <x v="16"/>
    <x v="0"/>
    <x v="124"/>
    <n v="7403"/>
    <n v="10664.8"/>
    <n v="2757.4"/>
    <n v="0.15264361199999998"/>
    <n v="15306.9"/>
    <n v="0.84735638800000002"/>
    <x v="124"/>
    <n v="125"/>
    <n v="-3.5"/>
    <n v="0.84719224255305015"/>
    <x v="2"/>
  </r>
  <r>
    <x v="125"/>
    <x v="1"/>
    <x v="4"/>
    <x v="0"/>
    <x v="3"/>
    <x v="0"/>
    <x v="9"/>
    <x v="1"/>
    <x v="125"/>
    <n v="10367"/>
    <n v="7646.6"/>
    <n v="7259.1"/>
    <n v="0.40316462370000006"/>
    <n v="10746.2"/>
    <n v="0.59683537629999994"/>
    <x v="125"/>
    <n v="126"/>
    <n v="-8.2999999999992724"/>
    <n v="0.59656037660434347"/>
    <x v="2"/>
  </r>
  <r>
    <x v="126"/>
    <x v="0"/>
    <x v="1"/>
    <x v="0"/>
    <x v="0"/>
    <x v="0"/>
    <x v="2"/>
    <x v="0"/>
    <x v="126"/>
    <n v="11748.1"/>
    <n v="5997.1"/>
    <n v="7693.4"/>
    <n v="0.43370464740000003"/>
    <n v="10045.4"/>
    <n v="0.56629535259999997"/>
    <x v="126"/>
    <n v="127"/>
    <n v="-6.4000000000014552"/>
    <n v="0.56609111196267159"/>
    <x v="2"/>
  </r>
  <r>
    <x v="127"/>
    <x v="0"/>
    <x v="1"/>
    <x v="0"/>
    <x v="1"/>
    <x v="0"/>
    <x v="2"/>
    <x v="0"/>
    <x v="127"/>
    <n v="13610.1"/>
    <n v="4116.2"/>
    <n v="8342.7000000000007"/>
    <n v="0.470801684"/>
    <n v="9377.5"/>
    <n v="0.529198316"/>
    <x v="127"/>
    <n v="128"/>
    <n v="-6.0999999999985448"/>
    <n v="0.52901620755600443"/>
    <x v="2"/>
  </r>
  <r>
    <x v="128"/>
    <x v="1"/>
    <x v="5"/>
    <x v="2"/>
    <x v="4"/>
    <x v="1"/>
    <x v="19"/>
    <x v="4"/>
    <x v="128"/>
    <n v="7595.2"/>
    <n v="9927.7999999999993"/>
    <n v="15415.4"/>
    <n v="0.88000502359999999"/>
    <n v="2102"/>
    <n v="0.11999497639999999"/>
    <x v="128"/>
    <n v="129"/>
    <n v="-5.5999999999985448"/>
    <n v="0.11995662843120471"/>
    <x v="2"/>
  </r>
  <r>
    <x v="129"/>
    <x v="0"/>
    <x v="1"/>
    <x v="1"/>
    <x v="2"/>
    <x v="0"/>
    <x v="17"/>
    <x v="4"/>
    <x v="129"/>
    <n v="16311.4"/>
    <n v="1210.7"/>
    <n v="2137.8000000000002"/>
    <n v="0.12204771609999999"/>
    <n v="15378.3"/>
    <n v="0.87795228390000002"/>
    <x v="129"/>
    <n v="130"/>
    <n v="-6"/>
    <n v="0.87765165134316092"/>
    <x v="2"/>
  </r>
  <r>
    <x v="130"/>
    <x v="1"/>
    <x v="1"/>
    <x v="0"/>
    <x v="1"/>
    <x v="0"/>
    <x v="14"/>
    <x v="1"/>
    <x v="130"/>
    <n v="5933.3"/>
    <n v="11512.1"/>
    <n v="2784"/>
    <n v="0.15963119689999999"/>
    <n v="14656.2"/>
    <n v="0.84036880310000006"/>
    <x v="130"/>
    <n v="131"/>
    <n v="-5.2000000000007276"/>
    <n v="0.84011831199055331"/>
    <x v="2"/>
  </r>
  <r>
    <x v="131"/>
    <x v="0"/>
    <x v="7"/>
    <x v="0"/>
    <x v="7"/>
    <x v="1"/>
    <x v="37"/>
    <x v="3"/>
    <x v="131"/>
    <n v="10309.700000000001"/>
    <n v="7013.9"/>
    <n v="6283"/>
    <n v="0.3628310407"/>
    <n v="11033.6"/>
    <n v="0.63716895929999995"/>
    <x v="131"/>
    <n v="132"/>
    <n v="-7"/>
    <n v="0.63691149645570211"/>
    <x v="2"/>
  </r>
  <r>
    <x v="132"/>
    <x v="0"/>
    <x v="10"/>
    <x v="1"/>
    <x v="9"/>
    <x v="0"/>
    <x v="38"/>
    <x v="3"/>
    <x v="132"/>
    <n v="17301.5"/>
    <n v="20"/>
    <n v="17281"/>
    <n v="0.9980882633"/>
    <n v="33.1"/>
    <n v="1.9117366769999999E-3"/>
    <x v="132"/>
    <n v="133"/>
    <n v="-7.4000000000014552"/>
    <n v="1.910919954969258E-3"/>
    <x v="2"/>
  </r>
  <r>
    <x v="133"/>
    <x v="1"/>
    <x v="1"/>
    <x v="0"/>
    <x v="1"/>
    <x v="0"/>
    <x v="16"/>
    <x v="0"/>
    <x v="133"/>
    <n v="11625.6"/>
    <n v="5498.6"/>
    <n v="10006"/>
    <n v="0.58447968690000007"/>
    <n v="7113.5"/>
    <n v="0.41552031309999998"/>
    <x v="133"/>
    <n v="134"/>
    <n v="-4.7000000000007276"/>
    <n v="0.41540626715408602"/>
    <x v="2"/>
  </r>
  <r>
    <x v="134"/>
    <x v="0"/>
    <x v="20"/>
    <x v="0"/>
    <x v="3"/>
    <x v="0"/>
    <x v="3"/>
    <x v="2"/>
    <x v="134"/>
    <n v="8007.4"/>
    <n v="9059.5"/>
    <n v="4403.1000000000004"/>
    <n v="0.25815548780000003"/>
    <n v="12652.9"/>
    <n v="0.74184451220000003"/>
    <x v="134"/>
    <n v="135"/>
    <n v="-10.900000000001455"/>
    <n v="0.74137072344714028"/>
    <x v="2"/>
  </r>
  <r>
    <x v="135"/>
    <x v="0"/>
    <x v="11"/>
    <x v="0"/>
    <x v="5"/>
    <x v="1"/>
    <x v="39"/>
    <x v="3"/>
    <x v="135"/>
    <n v="17018"/>
    <n v="0"/>
    <n v="17010.5"/>
    <n v="1"/>
    <n v="0"/>
    <n v="0"/>
    <x v="135"/>
    <n v="136"/>
    <n v="-7.5"/>
    <n v="0"/>
    <x v="2"/>
  </r>
  <r>
    <x v="136"/>
    <x v="0"/>
    <x v="4"/>
    <x v="1"/>
    <x v="9"/>
    <x v="0"/>
    <x v="1"/>
    <x v="1"/>
    <x v="136"/>
    <n v="10969.8"/>
    <n v="6018.9"/>
    <n v="4419.3"/>
    <n v="0.26019912509999998"/>
    <n v="12565"/>
    <n v="0.73980087490000002"/>
    <x v="136"/>
    <n v="137"/>
    <n v="-4.3999999999978172"/>
    <n v="0.73960926969103002"/>
    <x v="2"/>
  </r>
  <r>
    <x v="137"/>
    <x v="0"/>
    <x v="10"/>
    <x v="1"/>
    <x v="10"/>
    <x v="0"/>
    <x v="8"/>
    <x v="0"/>
    <x v="137"/>
    <n v="10480.799999999999"/>
    <n v="6497.7"/>
    <n v="7429.1"/>
    <n v="0.43779391140000001"/>
    <n v="9540.2999999999993"/>
    <n v="0.56220608859999999"/>
    <x v="137"/>
    <n v="138"/>
    <n v="-9.0999999999985448"/>
    <n v="0.56190476190476191"/>
    <x v="2"/>
  </r>
  <r>
    <x v="138"/>
    <x v="0"/>
    <x v="15"/>
    <x v="0"/>
    <x v="7"/>
    <x v="0"/>
    <x v="14"/>
    <x v="1"/>
    <x v="138"/>
    <n v="13879.3"/>
    <n v="3019.1"/>
    <n v="5321.5"/>
    <n v="0.31500467640000002"/>
    <n v="11571.9"/>
    <n v="0.68499532360000004"/>
    <x v="138"/>
    <n v="139"/>
    <n v="-4.999999999996362"/>
    <n v="0.68479264309047017"/>
    <x v="2"/>
  </r>
  <r>
    <x v="139"/>
    <x v="0"/>
    <x v="1"/>
    <x v="0"/>
    <x v="0"/>
    <x v="0"/>
    <x v="19"/>
    <x v="4"/>
    <x v="139"/>
    <n v="11425.9"/>
    <n v="5455.1"/>
    <n v="6395.3"/>
    <n v="0.37892909410000003"/>
    <n v="10482"/>
    <n v="0.62107090590000003"/>
    <x v="139"/>
    <n v="140"/>
    <n v="-3.7000000000007276"/>
    <n v="0.62093477874533498"/>
    <x v="2"/>
  </r>
  <r>
    <x v="140"/>
    <x v="2"/>
    <x v="2"/>
    <x v="0"/>
    <x v="5"/>
    <x v="1"/>
    <x v="40"/>
    <x v="3"/>
    <x v="140"/>
    <n v="16577.5"/>
    <n v="0.4"/>
    <n v="16567.400000000001"/>
    <n v="0.99939074049999999"/>
    <n v="10.1"/>
    <n v="6.0925953850000003E-4"/>
    <x v="140"/>
    <n v="141"/>
    <n v="-0.40000000000145519"/>
    <n v="6.0924483800722643E-4"/>
    <x v="2"/>
  </r>
  <r>
    <x v="141"/>
    <x v="0"/>
    <x v="21"/>
    <x v="0"/>
    <x v="5"/>
    <x v="0"/>
    <x v="1"/>
    <x v="1"/>
    <x v="141"/>
    <n v="15920.4"/>
    <n v="641.79999999999995"/>
    <n v="15519.5"/>
    <n v="0.93736598920000003"/>
    <n v="1037"/>
    <n v="6.2634010810000001E-2"/>
    <x v="141"/>
    <n v="142"/>
    <n v="-5.7000000000007276"/>
    <n v="6.2612454867107023E-2"/>
    <x v="2"/>
  </r>
  <r>
    <x v="142"/>
    <x v="1"/>
    <x v="2"/>
    <x v="0"/>
    <x v="1"/>
    <x v="0"/>
    <x v="2"/>
    <x v="0"/>
    <x v="142"/>
    <n v="11362.1"/>
    <n v="5197.6000000000004"/>
    <n v="8685.9"/>
    <n v="0.52472316699999999"/>
    <n v="7867.4"/>
    <n v="0.47527683300000001"/>
    <x v="142"/>
    <n v="143"/>
    <n v="-6.4000000000014552"/>
    <n v="0.47509314782272621"/>
    <x v="2"/>
  </r>
  <r>
    <x v="143"/>
    <x v="0"/>
    <x v="2"/>
    <x v="0"/>
    <x v="5"/>
    <x v="1"/>
    <x v="41"/>
    <x v="3"/>
    <x v="143"/>
    <n v="16461.5"/>
    <n v="3"/>
    <n v="16382.5"/>
    <n v="0.9956000948"/>
    <n v="72.400000000000006"/>
    <n v="4.3999051950000005E-3"/>
    <x v="143"/>
    <n v="144"/>
    <n v="-9.5999999999985448"/>
    <n v="4.3973397309362569E-3"/>
    <x v="2"/>
  </r>
  <r>
    <x v="144"/>
    <x v="0"/>
    <x v="1"/>
    <x v="0"/>
    <x v="0"/>
    <x v="0"/>
    <x v="11"/>
    <x v="0"/>
    <x v="144"/>
    <n v="12009.4"/>
    <n v="4364.5"/>
    <n v="2139"/>
    <n v="0.1301973961"/>
    <n v="14289.9"/>
    <n v="0.86980260389999997"/>
    <x v="144"/>
    <n v="145"/>
    <n v="55.000000000001819"/>
    <n v="0.87272427460775992"/>
    <x v="2"/>
  </r>
  <r>
    <x v="145"/>
    <x v="0"/>
    <x v="1"/>
    <x v="0"/>
    <x v="0"/>
    <x v="0"/>
    <x v="11"/>
    <x v="0"/>
    <x v="145"/>
    <n v="14784.2"/>
    <n v="1492.7"/>
    <n v="4359.8"/>
    <n v="0.26639211540000002"/>
    <n v="12006.3"/>
    <n v="0.73360788459999993"/>
    <x v="145"/>
    <n v="146"/>
    <n v="89.199999999998909"/>
    <n v="0.737628172440698"/>
    <x v="2"/>
  </r>
  <r>
    <x v="146"/>
    <x v="1"/>
    <x v="1"/>
    <x v="0"/>
    <x v="1"/>
    <x v="0"/>
    <x v="21"/>
    <x v="3"/>
    <x v="146"/>
    <n v="7125.4"/>
    <n v="9125"/>
    <n v="11023"/>
    <n v="0.67743799010000005"/>
    <n v="5248.6"/>
    <n v="0.32256200990000006"/>
    <x v="146"/>
    <n v="147"/>
    <n v="21.200000000000728"/>
    <n v="0.32298281888445823"/>
    <x v="2"/>
  </r>
  <r>
    <x v="147"/>
    <x v="0"/>
    <x v="1"/>
    <x v="0"/>
    <x v="5"/>
    <x v="1"/>
    <x v="42"/>
    <x v="3"/>
    <x v="147"/>
    <n v="16236"/>
    <n v="0"/>
    <n v="16228.7"/>
    <n v="1"/>
    <n v="0"/>
    <n v="0"/>
    <x v="147"/>
    <n v="148"/>
    <n v="-7.2999999999992724"/>
    <n v="0"/>
    <x v="2"/>
  </r>
  <r>
    <x v="148"/>
    <x v="0"/>
    <x v="1"/>
    <x v="0"/>
    <x v="0"/>
    <x v="0"/>
    <x v="26"/>
    <x v="4"/>
    <x v="148"/>
    <n v="14631.5"/>
    <n v="1588.4"/>
    <n v="7841.6"/>
    <n v="0.48353003559999996"/>
    <n v="8375.7999999999993"/>
    <n v="0.51646996440000004"/>
    <x v="148"/>
    <n v="149"/>
    <n v="-2.5"/>
    <n v="0.51639035998988891"/>
    <x v="2"/>
  </r>
  <r>
    <x v="149"/>
    <x v="1"/>
    <x v="1"/>
    <x v="0"/>
    <x v="1"/>
    <x v="0"/>
    <x v="43"/>
    <x v="3"/>
    <x v="149"/>
    <n v="14108.3"/>
    <n v="2048.1"/>
    <n v="13480.8"/>
    <n v="0.83481233320000003"/>
    <n v="2667.5"/>
    <n v="0.16518766679999999"/>
    <x v="149"/>
    <n v="150"/>
    <n v="-8.1000000000003638"/>
    <n v="0.16510485009036666"/>
    <x v="2"/>
  </r>
  <r>
    <x v="150"/>
    <x v="0"/>
    <x v="2"/>
    <x v="0"/>
    <x v="1"/>
    <x v="0"/>
    <x v="9"/>
    <x v="1"/>
    <x v="150"/>
    <n v="14817.7"/>
    <n v="1297.5999999999999"/>
    <n v="12881.3"/>
    <n v="0.79950470470000001"/>
    <n v="3230.3"/>
    <n v="0.20049529530000001"/>
    <x v="150"/>
    <n v="151"/>
    <n v="-3.7000000000007276"/>
    <n v="0.20044926250209427"/>
    <x v="2"/>
  </r>
  <r>
    <x v="151"/>
    <x v="0"/>
    <x v="0"/>
    <x v="0"/>
    <x v="0"/>
    <x v="0"/>
    <x v="2"/>
    <x v="0"/>
    <x v="151"/>
    <n v="11602.1"/>
    <n v="4424.8"/>
    <n v="8229.4"/>
    <n v="0.51366011069999995"/>
    <n v="7791.7"/>
    <n v="0.48633988929999999"/>
    <x v="151"/>
    <n v="152"/>
    <n v="-5.8000000000010914"/>
    <n v="0.48616388696503998"/>
    <x v="2"/>
  </r>
  <r>
    <x v="152"/>
    <x v="0"/>
    <x v="1"/>
    <x v="0"/>
    <x v="0"/>
    <x v="0"/>
    <x v="0"/>
    <x v="0"/>
    <x v="152"/>
    <n v="4000.7"/>
    <n v="11957.2"/>
    <n v="2951.3"/>
    <n v="0.18500896430000002"/>
    <n v="13000.9"/>
    <n v="0.81499103569999998"/>
    <x v="152"/>
    <n v="153"/>
    <n v="-5.7000000000007276"/>
    <n v="0.81469992918867762"/>
    <x v="2"/>
  </r>
  <r>
    <x v="153"/>
    <x v="0"/>
    <x v="7"/>
    <x v="0"/>
    <x v="7"/>
    <x v="0"/>
    <x v="1"/>
    <x v="1"/>
    <x v="153"/>
    <n v="12030.1"/>
    <n v="3896.3"/>
    <n v="527.5"/>
    <n v="3.3132132830000001E-2"/>
    <n v="15393.6"/>
    <n v="0.96686786719999995"/>
    <x v="153"/>
    <n v="154"/>
    <n v="-5.3000000000010914"/>
    <n v="0.96654611211573227"/>
    <x v="2"/>
  </r>
  <r>
    <x v="154"/>
    <x v="0"/>
    <x v="0"/>
    <x v="0"/>
    <x v="3"/>
    <x v="0"/>
    <x v="14"/>
    <x v="1"/>
    <x v="154"/>
    <n v="12905.1"/>
    <n v="2982.4"/>
    <n v="7353.2"/>
    <n v="0.46315869040000002"/>
    <n v="8523"/>
    <n v="0.53684130959999998"/>
    <x v="154"/>
    <n v="155"/>
    <n v="-11.299999999999272"/>
    <n v="0.53645948072383953"/>
    <x v="2"/>
  </r>
  <r>
    <x v="155"/>
    <x v="2"/>
    <x v="1"/>
    <x v="0"/>
    <x v="0"/>
    <x v="1"/>
    <x v="43"/>
    <x v="3"/>
    <x v="155"/>
    <n v="15257.4"/>
    <n v="527.70000000000005"/>
    <n v="11623"/>
    <n v="0.73676603889999992"/>
    <n v="4152.7"/>
    <n v="0.26323396110000002"/>
    <x v="155"/>
    <n v="156"/>
    <n v="-9.3999999999996362"/>
    <n v="0.26307720571931759"/>
    <x v="2"/>
  </r>
  <r>
    <x v="156"/>
    <x v="0"/>
    <x v="1"/>
    <x v="0"/>
    <x v="0"/>
    <x v="0"/>
    <x v="8"/>
    <x v="0"/>
    <x v="156"/>
    <n v="502.4"/>
    <n v="15243.6"/>
    <n v="142.80000000000001"/>
    <n v="9.068969897E-3"/>
    <n v="15603.2"/>
    <n v="0.99093103009999994"/>
    <x v="156"/>
    <n v="157"/>
    <n v="0"/>
    <n v="0.9909310301028833"/>
    <x v="2"/>
  </r>
  <r>
    <x v="157"/>
    <x v="1"/>
    <x v="8"/>
    <x v="3"/>
    <x v="8"/>
    <x v="0"/>
    <x v="18"/>
    <x v="2"/>
    <x v="157"/>
    <n v="2035.3"/>
    <n v="13703.9"/>
    <n v="690.5"/>
    <n v="4.3916555359999998E-2"/>
    <n v="15032.5"/>
    <n v="0.95608344459999994"/>
    <x v="157"/>
    <n v="158"/>
    <n v="-16.199999999998909"/>
    <n v="0.95509936972654275"/>
    <x v="2"/>
  </r>
  <r>
    <x v="158"/>
    <x v="0"/>
    <x v="22"/>
    <x v="1"/>
    <x v="0"/>
    <x v="0"/>
    <x v="19"/>
    <x v="4"/>
    <x v="158"/>
    <n v="7885.7"/>
    <n v="7799"/>
    <n v="3430.6"/>
    <n v="0.21872270430000001"/>
    <n v="12254.1"/>
    <n v="0.78127729570000004"/>
    <x v="158"/>
    <n v="159"/>
    <n v="0"/>
    <n v="0.78127729570855675"/>
    <x v="2"/>
  </r>
  <r>
    <x v="159"/>
    <x v="0"/>
    <x v="22"/>
    <x v="1"/>
    <x v="9"/>
    <x v="0"/>
    <x v="17"/>
    <x v="4"/>
    <x v="159"/>
    <n v="13216.1"/>
    <n v="2427.1999999999998"/>
    <n v="84.5"/>
    <n v="5.4032278690000005E-3"/>
    <n v="15554.3"/>
    <n v="0.99459677209999997"/>
    <x v="159"/>
    <n v="160"/>
    <n v="-4.5"/>
    <n v="0.9943106633510832"/>
    <x v="2"/>
  </r>
  <r>
    <x v="160"/>
    <x v="0"/>
    <x v="1"/>
    <x v="0"/>
    <x v="0"/>
    <x v="1"/>
    <x v="1"/>
    <x v="1"/>
    <x v="160"/>
    <n v="13694"/>
    <n v="1874.1"/>
    <n v="4814.8999999999996"/>
    <n v="0.30939911710000001"/>
    <n v="10747.2"/>
    <n v="0.69060088289999999"/>
    <x v="160"/>
    <n v="161"/>
    <n v="-6"/>
    <n v="0.69033472292701104"/>
    <x v="2"/>
  </r>
  <r>
    <x v="161"/>
    <x v="0"/>
    <x v="11"/>
    <x v="0"/>
    <x v="0"/>
    <x v="0"/>
    <x v="26"/>
    <x v="4"/>
    <x v="161"/>
    <n v="10487.9"/>
    <n v="5077.6000000000004"/>
    <n v="6776.1"/>
    <n v="0.43543443199999998"/>
    <n v="8785.6"/>
    <n v="0.56456556800000002"/>
    <x v="161"/>
    <n v="162"/>
    <n v="-3.7999999999992724"/>
    <n v="0.56442774083710778"/>
    <x v="2"/>
  </r>
  <r>
    <x v="162"/>
    <x v="1"/>
    <x v="17"/>
    <x v="5"/>
    <x v="15"/>
    <x v="0"/>
    <x v="4"/>
    <x v="1"/>
    <x v="162"/>
    <n v="7743.7"/>
    <n v="7783.6"/>
    <n v="7736.5"/>
    <n v="0.49822258859999996"/>
    <n v="7791.7"/>
    <n v="0.50177741139999998"/>
    <x v="162"/>
    <n v="163"/>
    <n v="0.90000000000145519"/>
    <n v="0.50180649565603808"/>
    <x v="2"/>
  </r>
  <r>
    <x v="163"/>
    <x v="1"/>
    <x v="17"/>
    <x v="5"/>
    <x v="1"/>
    <x v="0"/>
    <x v="9"/>
    <x v="1"/>
    <x v="163"/>
    <n v="11131.7"/>
    <n v="4374.8"/>
    <n v="3212"/>
    <n v="0.20688411400000001"/>
    <n v="12313.6"/>
    <n v="0.79311588599999994"/>
    <x v="163"/>
    <n v="164"/>
    <n v="19.100000000000364"/>
    <n v="0.7940927997936349"/>
    <x v="2"/>
  </r>
  <r>
    <x v="164"/>
    <x v="0"/>
    <x v="1"/>
    <x v="0"/>
    <x v="5"/>
    <x v="1"/>
    <x v="12"/>
    <x v="3"/>
    <x v="164"/>
    <n v="15342.6"/>
    <n v="118.3"/>
    <n v="15333.7"/>
    <n v="0.99226055279999992"/>
    <n v="119.6"/>
    <n v="7.7394472379999999E-3"/>
    <x v="164"/>
    <n v="165"/>
    <n v="-7.6000000000003638"/>
    <n v="7.7356428151013198E-3"/>
    <x v="2"/>
  </r>
  <r>
    <x v="165"/>
    <x v="0"/>
    <x v="1"/>
    <x v="0"/>
    <x v="0"/>
    <x v="0"/>
    <x v="4"/>
    <x v="1"/>
    <x v="165"/>
    <n v="6848.7"/>
    <n v="8480.7000000000007"/>
    <n v="2898.8"/>
    <n v="0.18910068229999999"/>
    <n v="12430.6"/>
    <n v="0.81089931770000012"/>
    <x v="165"/>
    <n v="166"/>
    <n v="0"/>
    <n v="0.81089931765104961"/>
    <x v="2"/>
  </r>
  <r>
    <x v="166"/>
    <x v="0"/>
    <x v="1"/>
    <x v="0"/>
    <x v="0"/>
    <x v="0"/>
    <x v="17"/>
    <x v="4"/>
    <x v="166"/>
    <n v="13192.5"/>
    <n v="2067.1"/>
    <n v="7139.4"/>
    <n v="0.46808984930000003"/>
    <n v="8112.8"/>
    <n v="0.53191015070000003"/>
    <x v="166"/>
    <n v="167"/>
    <n v="-7.3999999999996362"/>
    <n v="0.5316522058245301"/>
    <x v="2"/>
  </r>
  <r>
    <x v="167"/>
    <x v="0"/>
    <x v="8"/>
    <x v="6"/>
    <x v="8"/>
    <x v="0"/>
    <x v="41"/>
    <x v="3"/>
    <x v="167"/>
    <n v="10857.5"/>
    <n v="4397.5"/>
    <n v="594.9"/>
    <n v="3.9034408549999997E-2"/>
    <n v="14645.5"/>
    <n v="0.96096559150000005"/>
    <x v="167"/>
    <n v="168"/>
    <n v="-14.600000000000364"/>
    <n v="0.96004588659455914"/>
    <x v="2"/>
  </r>
  <r>
    <x v="168"/>
    <x v="0"/>
    <x v="1"/>
    <x v="0"/>
    <x v="0"/>
    <x v="0"/>
    <x v="0"/>
    <x v="0"/>
    <x v="168"/>
    <n v="11606.5"/>
    <n v="3518.6"/>
    <n v="1928.5"/>
    <n v="0.1274367277"/>
    <n v="13204.5"/>
    <n v="0.87256327229999997"/>
    <x v="168"/>
    <n v="169"/>
    <n v="7.8999999999996362"/>
    <n v="0.87301902136184217"/>
    <x v="2"/>
  </r>
  <r>
    <x v="169"/>
    <x v="0"/>
    <x v="1"/>
    <x v="0"/>
    <x v="0"/>
    <x v="0"/>
    <x v="16"/>
    <x v="0"/>
    <x v="169"/>
    <n v="10607.6"/>
    <n v="4483.8999999999996"/>
    <n v="5835.1"/>
    <n v="0.38676856589999997"/>
    <n v="9251.7000000000007"/>
    <n v="0.61323143410000003"/>
    <x v="169"/>
    <n v="170"/>
    <n v="-4.7000000000007276"/>
    <n v="0.6130404532352649"/>
    <x v="2"/>
  </r>
  <r>
    <x v="170"/>
    <x v="0"/>
    <x v="1"/>
    <x v="1"/>
    <x v="2"/>
    <x v="0"/>
    <x v="8"/>
    <x v="0"/>
    <x v="170"/>
    <n v="4978.8999999999996"/>
    <n v="10062.1"/>
    <n v="2069.9"/>
    <n v="0.1376162648"/>
    <n v="12971.2"/>
    <n v="0.8623837352"/>
    <x v="170"/>
    <n v="171"/>
    <n v="0.1000000000003638"/>
    <n v="0.86238946878532019"/>
    <x v="2"/>
  </r>
  <r>
    <x v="171"/>
    <x v="0"/>
    <x v="19"/>
    <x v="0"/>
    <x v="16"/>
    <x v="1"/>
    <x v="28"/>
    <x v="3"/>
    <x v="171"/>
    <n v="14837.1"/>
    <n v="161.6"/>
    <n v="13836"/>
    <n v="0.92284911989999996"/>
    <n v="1156.7"/>
    <n v="7.7150880089999999E-2"/>
    <x v="171"/>
    <n v="172"/>
    <n v="-6"/>
    <n v="7.7120017068145905E-2"/>
    <x v="2"/>
  </r>
  <r>
    <x v="172"/>
    <x v="0"/>
    <x v="5"/>
    <x v="2"/>
    <x v="4"/>
    <x v="1"/>
    <x v="26"/>
    <x v="4"/>
    <x v="172"/>
    <n v="14819"/>
    <n v="136.5"/>
    <n v="13482.3"/>
    <n v="0.90198295360000003"/>
    <n v="1465.1"/>
    <n v="9.8017046440000005E-2"/>
    <x v="172"/>
    <n v="173"/>
    <n v="-8.1000000000003638"/>
    <n v="9.7963959747250168E-2"/>
    <x v="2"/>
  </r>
  <r>
    <x v="173"/>
    <x v="0"/>
    <x v="8"/>
    <x v="6"/>
    <x v="8"/>
    <x v="0"/>
    <x v="9"/>
    <x v="1"/>
    <x v="173"/>
    <n v="12456.5"/>
    <n v="2450"/>
    <n v="1543.3"/>
    <n v="0.10359247670000001"/>
    <n v="13354.5"/>
    <n v="0.89640752329999995"/>
    <x v="173"/>
    <n v="174"/>
    <n v="-8.7000000000007276"/>
    <n v="0.89588434575520748"/>
    <x v="2"/>
  </r>
  <r>
    <x v="174"/>
    <x v="0"/>
    <x v="1"/>
    <x v="0"/>
    <x v="3"/>
    <x v="0"/>
    <x v="0"/>
    <x v="0"/>
    <x v="174"/>
    <n v="8808.5"/>
    <n v="6090.2"/>
    <n v="8012"/>
    <n v="0.53812984429999999"/>
    <n v="6876.6"/>
    <n v="0.46187015570000001"/>
    <x v="174"/>
    <n v="175"/>
    <n v="-10.100000000000364"/>
    <n v="0.46155704860155583"/>
    <x v="2"/>
  </r>
  <r>
    <x v="175"/>
    <x v="0"/>
    <x v="1"/>
    <x v="0"/>
    <x v="0"/>
    <x v="0"/>
    <x v="6"/>
    <x v="2"/>
    <x v="175"/>
    <n v="7106.1"/>
    <n v="7779.1"/>
    <n v="1618.8"/>
    <n v="0.10878886039999999"/>
    <n v="13261.4"/>
    <n v="0.89121113959999998"/>
    <x v="175"/>
    <n v="176"/>
    <n v="-5"/>
    <n v="0.89091177814204703"/>
    <x v="2"/>
  </r>
  <r>
    <x v="176"/>
    <x v="1"/>
    <x v="23"/>
    <x v="1"/>
    <x v="1"/>
    <x v="0"/>
    <x v="19"/>
    <x v="4"/>
    <x v="176"/>
    <n v="10084"/>
    <n v="4479.1000000000004"/>
    <n v="5316.8"/>
    <n v="0.36520496759999999"/>
    <n v="9241.6"/>
    <n v="0.63479503240000001"/>
    <x v="176"/>
    <n v="177"/>
    <n v="-4.7000000000007276"/>
    <n v="0.6345901628087427"/>
    <x v="2"/>
  </r>
  <r>
    <x v="177"/>
    <x v="1"/>
    <x v="2"/>
    <x v="0"/>
    <x v="1"/>
    <x v="0"/>
    <x v="16"/>
    <x v="0"/>
    <x v="177"/>
    <n v="10175.299999999999"/>
    <n v="4376"/>
    <n v="6747.8"/>
    <n v="0.463944886"/>
    <n v="7796.6"/>
    <n v="0.53605511399999994"/>
    <x v="177"/>
    <n v="178"/>
    <n v="-6.8999999999996362"/>
    <n v="0.53580092500326437"/>
    <x v="2"/>
  </r>
  <r>
    <x v="178"/>
    <x v="0"/>
    <x v="24"/>
    <x v="0"/>
    <x v="3"/>
    <x v="0"/>
    <x v="17"/>
    <x v="4"/>
    <x v="178"/>
    <n v="13579.3"/>
    <n v="938.4"/>
    <n v="12111.7"/>
    <n v="0.83459320149999994"/>
    <n v="2400.4"/>
    <n v="0.16540679850000001"/>
    <x v="178"/>
    <n v="179"/>
    <n v="-5.5999999999985448"/>
    <n v="0.16534299510253003"/>
    <x v="2"/>
  </r>
  <r>
    <x v="179"/>
    <x v="0"/>
    <x v="1"/>
    <x v="0"/>
    <x v="5"/>
    <x v="1"/>
    <x v="20"/>
    <x v="2"/>
    <x v="179"/>
    <n v="10717.2"/>
    <n v="3796.5"/>
    <n v="12380.2"/>
    <n v="0.85335373630000011"/>
    <n v="2127.5"/>
    <n v="0.1466462637"/>
    <x v="179"/>
    <n v="180"/>
    <n v="-6"/>
    <n v="0.14658563977483344"/>
    <x v="2"/>
  </r>
  <r>
    <x v="180"/>
    <x v="0"/>
    <x v="0"/>
    <x v="0"/>
    <x v="3"/>
    <x v="0"/>
    <x v="1"/>
    <x v="1"/>
    <x v="180"/>
    <n v="13237.2"/>
    <n v="1275"/>
    <n v="7177.2"/>
    <n v="0.49476434380000001"/>
    <n v="7329.1"/>
    <n v="0.50523565619999999"/>
    <x v="180"/>
    <n v="181"/>
    <n v="-5.9000000000014552"/>
    <n v="0.50503025040999983"/>
    <x v="2"/>
  </r>
  <r>
    <x v="181"/>
    <x v="0"/>
    <x v="17"/>
    <x v="5"/>
    <x v="15"/>
    <x v="1"/>
    <x v="11"/>
    <x v="0"/>
    <x v="181"/>
    <n v="11024"/>
    <n v="3391.4"/>
    <n v="10484.4"/>
    <n v="0.72786093140000008"/>
    <n v="3920"/>
    <n v="0.27213906860000003"/>
    <x v="181"/>
    <n v="182"/>
    <n v="-11"/>
    <n v="0.2719314066900676"/>
    <x v="2"/>
  </r>
  <r>
    <x v="182"/>
    <x v="0"/>
    <x v="1"/>
    <x v="0"/>
    <x v="0"/>
    <x v="0"/>
    <x v="7"/>
    <x v="1"/>
    <x v="182"/>
    <n v="13416.1"/>
    <n v="990"/>
    <n v="791.1"/>
    <n v="5.4927582519999997E-2"/>
    <n v="13611.5"/>
    <n v="0.94507241750000004"/>
    <x v="182"/>
    <n v="183"/>
    <n v="-3.5"/>
    <n v="0.94484280964313727"/>
    <x v="2"/>
  </r>
  <r>
    <x v="183"/>
    <x v="0"/>
    <x v="1"/>
    <x v="0"/>
    <x v="5"/>
    <x v="1"/>
    <x v="6"/>
    <x v="2"/>
    <x v="183"/>
    <n v="4417.2"/>
    <n v="9988.5"/>
    <n v="13038"/>
    <n v="0.90527207460000003"/>
    <n v="1364.3"/>
    <n v="9.472792540000001E-2"/>
    <x v="183"/>
    <n v="184"/>
    <n v="-3.4000000000014552"/>
    <n v="9.470556793491465E-2"/>
    <x v="2"/>
  </r>
  <r>
    <x v="184"/>
    <x v="0"/>
    <x v="11"/>
    <x v="0"/>
    <x v="5"/>
    <x v="0"/>
    <x v="16"/>
    <x v="0"/>
    <x v="184"/>
    <n v="13232.8"/>
    <n v="1165.4000000000001"/>
    <n v="12678.8"/>
    <n v="0.88126168579999997"/>
    <n v="1708.3"/>
    <n v="0.1187383142"/>
    <x v="184"/>
    <n v="185"/>
    <n v="-11.099999999998545"/>
    <n v="0.11864677529135587"/>
    <x v="2"/>
  </r>
  <r>
    <x v="185"/>
    <x v="0"/>
    <x v="23"/>
    <x v="1"/>
    <x v="2"/>
    <x v="0"/>
    <x v="22"/>
    <x v="4"/>
    <x v="185"/>
    <n v="7659.9"/>
    <n v="6698.1"/>
    <n v="4914.8999999999996"/>
    <n v="0.34261634549999997"/>
    <n v="9430.2999999999993"/>
    <n v="0.65738365450000003"/>
    <x v="185"/>
    <n v="186"/>
    <n v="-12.799999999999272"/>
    <n v="0.65679760412313692"/>
    <x v="2"/>
  </r>
  <r>
    <x v="186"/>
    <x v="0"/>
    <x v="4"/>
    <x v="1"/>
    <x v="9"/>
    <x v="1"/>
    <x v="7"/>
    <x v="1"/>
    <x v="186"/>
    <n v="11695.5"/>
    <n v="2609"/>
    <n v="8588.9"/>
    <n v="0.60088710410000001"/>
    <n v="5704.8"/>
    <n v="0.39911289590000004"/>
    <x v="186"/>
    <n v="187"/>
    <n v="-10.799999999999272"/>
    <n v="0.39881156279492469"/>
    <x v="2"/>
  </r>
  <r>
    <x v="187"/>
    <x v="1"/>
    <x v="14"/>
    <x v="0"/>
    <x v="1"/>
    <x v="0"/>
    <x v="16"/>
    <x v="0"/>
    <x v="187"/>
    <n v="9372.1"/>
    <n v="4858.7"/>
    <n v="7138.3"/>
    <n v="0.50194426670000003"/>
    <n v="7083"/>
    <n v="0.49805573330000003"/>
    <x v="187"/>
    <n v="188"/>
    <n v="-9.5"/>
    <n v="0.49772324816594993"/>
    <x v="2"/>
  </r>
  <r>
    <x v="188"/>
    <x v="0"/>
    <x v="10"/>
    <x v="1"/>
    <x v="10"/>
    <x v="0"/>
    <x v="44"/>
    <x v="5"/>
    <x v="188"/>
    <n v="7969.4"/>
    <n v="6215.6"/>
    <n v="3646.4"/>
    <n v="0.25739415240000002"/>
    <n v="10520.2"/>
    <n v="0.74260584760000004"/>
    <x v="188"/>
    <n v="189"/>
    <n v="-18.399999999999636"/>
    <n v="0.74164258019034202"/>
    <x v="2"/>
  </r>
  <r>
    <x v="189"/>
    <x v="0"/>
    <x v="7"/>
    <x v="7"/>
    <x v="0"/>
    <x v="0"/>
    <x v="1"/>
    <x v="1"/>
    <x v="189"/>
    <n v="11142.3"/>
    <n v="2993.2"/>
    <n v="8903.2000000000007"/>
    <n v="0.63019012159999999"/>
    <n v="5224.6000000000004"/>
    <n v="0.36980987839999996"/>
    <x v="189"/>
    <n v="190"/>
    <n v="-7.7000000000007276"/>
    <n v="0.36960843266952004"/>
    <x v="2"/>
  </r>
  <r>
    <x v="190"/>
    <x v="0"/>
    <x v="1"/>
    <x v="0"/>
    <x v="0"/>
    <x v="0"/>
    <x v="13"/>
    <x v="3"/>
    <x v="190"/>
    <n v="13659.9"/>
    <n v="462.4"/>
    <n v="5423.2"/>
    <n v="0.38416910469999999"/>
    <n v="8693.5"/>
    <n v="0.61583089530000001"/>
    <x v="190"/>
    <n v="191"/>
    <n v="-5.5999999999985448"/>
    <n v="0.61558669621803819"/>
    <x v="2"/>
  </r>
  <r>
    <x v="191"/>
    <x v="0"/>
    <x v="2"/>
    <x v="0"/>
    <x v="6"/>
    <x v="1"/>
    <x v="25"/>
    <x v="2"/>
    <x v="191"/>
    <n v="14087.5"/>
    <n v="23.4"/>
    <n v="3963.9"/>
    <n v="0.28103995919999997"/>
    <n v="10140.5"/>
    <n v="0.71896004079999998"/>
    <x v="191"/>
    <n v="192"/>
    <n v="-6.5"/>
    <n v="0.71862886137666626"/>
    <x v="2"/>
  </r>
  <r>
    <x v="192"/>
    <x v="0"/>
    <x v="9"/>
    <x v="0"/>
    <x v="1"/>
    <x v="0"/>
    <x v="17"/>
    <x v="4"/>
    <x v="192"/>
    <n v="14091.2"/>
    <n v="0"/>
    <n v="13608.5"/>
    <n v="0.96597765440000005"/>
    <n v="479.3"/>
    <n v="3.4022345580000002E-2"/>
    <x v="192"/>
    <n v="193"/>
    <n v="-3.4000000000014552"/>
    <n v="3.4014136482343589E-2"/>
    <x v="2"/>
  </r>
  <r>
    <x v="193"/>
    <x v="0"/>
    <x v="1"/>
    <x v="1"/>
    <x v="10"/>
    <x v="1"/>
    <x v="45"/>
    <x v="5"/>
    <x v="193"/>
    <n v="8094.6"/>
    <n v="5914.6"/>
    <n v="2001.5"/>
    <n v="0.14297143430000001"/>
    <n v="11997.8"/>
    <n v="0.85702856569999997"/>
    <x v="193"/>
    <n v="194"/>
    <n v="-9.9000000000014552"/>
    <n v="0.85642292207977611"/>
    <x v="2"/>
  </r>
  <r>
    <x v="194"/>
    <x v="0"/>
    <x v="4"/>
    <x v="1"/>
    <x v="1"/>
    <x v="0"/>
    <x v="11"/>
    <x v="0"/>
    <x v="194"/>
    <n v="8290.1"/>
    <n v="5703.9"/>
    <n v="3475.3"/>
    <n v="0.248340372"/>
    <n v="10518.8"/>
    <n v="0.75165962800000008"/>
    <x v="194"/>
    <n v="195"/>
    <n v="0.1000000000003638"/>
    <n v="0.75166499928540798"/>
    <x v="2"/>
  </r>
  <r>
    <x v="195"/>
    <x v="0"/>
    <x v="1"/>
    <x v="1"/>
    <x v="2"/>
    <x v="0"/>
    <x v="2"/>
    <x v="0"/>
    <x v="195"/>
    <n v="944.9"/>
    <n v="13049.1"/>
    <n v="136"/>
    <n v="9.7184507649999991E-3"/>
    <n v="13858"/>
    <n v="0.99028154920000011"/>
    <x v="194"/>
    <n v="195"/>
    <n v="0"/>
    <n v="0.99028154923538658"/>
    <x v="2"/>
  </r>
  <r>
    <x v="196"/>
    <x v="0"/>
    <x v="1"/>
    <x v="0"/>
    <x v="0"/>
    <x v="0"/>
    <x v="11"/>
    <x v="0"/>
    <x v="196"/>
    <n v="4090.4"/>
    <n v="9888.1"/>
    <n v="895.7"/>
    <n v="6.4076516959999996E-2"/>
    <n v="13082.9"/>
    <n v="0.93592348299999994"/>
    <x v="195"/>
    <n v="197"/>
    <n v="0.1000000000003638"/>
    <n v="0.93593017848839288"/>
    <x v="2"/>
  </r>
  <r>
    <x v="197"/>
    <x v="0"/>
    <x v="1"/>
    <x v="0"/>
    <x v="0"/>
    <x v="0"/>
    <x v="8"/>
    <x v="0"/>
    <x v="197"/>
    <n v="9309.2000000000007"/>
    <n v="4586.6000000000004"/>
    <n v="12293.1"/>
    <n v="0.88491135119999997"/>
    <n v="1598.8"/>
    <n v="0.11508864880000001"/>
    <x v="196"/>
    <n v="198"/>
    <n v="-3.9000000000014552"/>
    <n v="0.11505634796125447"/>
    <x v="2"/>
  </r>
  <r>
    <x v="198"/>
    <x v="0"/>
    <x v="1"/>
    <x v="0"/>
    <x v="3"/>
    <x v="0"/>
    <x v="4"/>
    <x v="1"/>
    <x v="198"/>
    <n v="13739.5"/>
    <n v="155.6"/>
    <n v="8915.5"/>
    <n v="0.64183692570000006"/>
    <n v="4975.1000000000004"/>
    <n v="0.3581630743"/>
    <x v="197"/>
    <n v="199"/>
    <n v="-4.5"/>
    <n v="0.35804708134522245"/>
    <x v="2"/>
  </r>
  <r>
    <x v="199"/>
    <x v="0"/>
    <x v="23"/>
    <x v="1"/>
    <x v="0"/>
    <x v="0"/>
    <x v="14"/>
    <x v="1"/>
    <x v="199"/>
    <n v="11278.9"/>
    <n v="2462"/>
    <n v="8953.7000000000007"/>
    <n v="0.65193205230000006"/>
    <n v="4780.3999999999996"/>
    <n v="0.34806794770000005"/>
    <x v="198"/>
    <n v="200"/>
    <n v="-6.7999999999992724"/>
    <n v="0.34789569824392869"/>
    <x v="2"/>
  </r>
  <r>
    <x v="200"/>
    <x v="0"/>
    <x v="1"/>
    <x v="0"/>
    <x v="0"/>
    <x v="0"/>
    <x v="17"/>
    <x v="4"/>
    <x v="200"/>
    <n v="6665"/>
    <n v="7030"/>
    <n v="4971.3"/>
    <n v="0.36308063099999999"/>
    <n v="8720.7000000000007"/>
    <n v="0.63691936900000001"/>
    <x v="199"/>
    <n v="201"/>
    <n v="-3"/>
    <n v="0.63677984665936482"/>
    <x v="2"/>
  </r>
  <r>
    <x v="201"/>
    <x v="0"/>
    <x v="1"/>
    <x v="0"/>
    <x v="5"/>
    <x v="1"/>
    <x v="46"/>
    <x v="3"/>
    <x v="201"/>
    <n v="13689.3"/>
    <n v="0"/>
    <n v="13682.2"/>
    <n v="0.99994153330000002"/>
    <n v="0.8"/>
    <n v="5.8466710519999999E-5"/>
    <x v="200"/>
    <n v="202"/>
    <n v="-6.2999999999992724"/>
    <n v="5.8439803350061733E-5"/>
    <x v="2"/>
  </r>
  <r>
    <x v="202"/>
    <x v="1"/>
    <x v="1"/>
    <x v="0"/>
    <x v="1"/>
    <x v="0"/>
    <x v="12"/>
    <x v="3"/>
    <x v="202"/>
    <n v="12396.8"/>
    <n v="1258.3"/>
    <n v="10348.700000000001"/>
    <n v="0.7581354119"/>
    <n v="3301.5"/>
    <n v="0.2418645881"/>
    <x v="201"/>
    <n v="203"/>
    <n v="-4.8999999999978172"/>
    <n v="0.2417777973065009"/>
    <x v="2"/>
  </r>
  <r>
    <x v="203"/>
    <x v="0"/>
    <x v="1"/>
    <x v="0"/>
    <x v="17"/>
    <x v="0"/>
    <x v="17"/>
    <x v="4"/>
    <x v="203"/>
    <n v="12815.1"/>
    <n v="728"/>
    <n v="10726.1"/>
    <n v="0.79199740090000004"/>
    <n v="2817"/>
    <n v="0.20800259910000002"/>
    <x v="202"/>
    <n v="204"/>
    <n v="0"/>
    <n v="0.20800259910950963"/>
    <x v="2"/>
  </r>
  <r>
    <x v="204"/>
    <x v="1"/>
    <x v="1"/>
    <x v="0"/>
    <x v="0"/>
    <x v="0"/>
    <x v="19"/>
    <x v="4"/>
    <x v="204"/>
    <n v="7853.3"/>
    <n v="5683.7"/>
    <n v="4660.7"/>
    <n v="0.3444206326"/>
    <n v="8871.2999999999993"/>
    <n v="0.6555793674"/>
    <x v="203"/>
    <n v="205"/>
    <n v="-5"/>
    <n v="0.65533722390485327"/>
    <x v="2"/>
  </r>
  <r>
    <x v="205"/>
    <x v="0"/>
    <x v="10"/>
    <x v="1"/>
    <x v="10"/>
    <x v="0"/>
    <x v="19"/>
    <x v="4"/>
    <x v="205"/>
    <n v="9602.2999999999993"/>
    <n v="3932.5"/>
    <n v="8044.7"/>
    <n v="0.59575366200000002"/>
    <n v="5458.7"/>
    <n v="0.40424633800000004"/>
    <x v="204"/>
    <n v="206"/>
    <n v="-31.399999999999636"/>
    <n v="0.40330850843750926"/>
    <x v="2"/>
  </r>
  <r>
    <x v="206"/>
    <x v="0"/>
    <x v="1"/>
    <x v="0"/>
    <x v="3"/>
    <x v="0"/>
    <x v="1"/>
    <x v="1"/>
    <x v="206"/>
    <n v="9955.4"/>
    <n v="3540.8"/>
    <n v="8582.9"/>
    <n v="0.63622279550000005"/>
    <n v="4907.5"/>
    <n v="0.36377720450000001"/>
    <x v="205"/>
    <n v="207"/>
    <n v="-5.8000000000010914"/>
    <n v="0.36362087106000207"/>
    <x v="2"/>
  </r>
  <r>
    <x v="207"/>
    <x v="0"/>
    <x v="18"/>
    <x v="0"/>
    <x v="7"/>
    <x v="0"/>
    <x v="9"/>
    <x v="1"/>
    <x v="207"/>
    <n v="12222.3"/>
    <n v="1249.7"/>
    <n v="1202.8"/>
    <n v="8.9303347759999999E-2"/>
    <n v="12265.9"/>
    <n v="0.91069665220000007"/>
    <x v="206"/>
    <n v="208"/>
    <n v="-3.2999999999992724"/>
    <n v="0.91047357482185265"/>
    <x v="2"/>
  </r>
  <r>
    <x v="208"/>
    <x v="0"/>
    <x v="10"/>
    <x v="1"/>
    <x v="10"/>
    <x v="1"/>
    <x v="20"/>
    <x v="2"/>
    <x v="208"/>
    <n v="12366.7"/>
    <n v="1072.9000000000001"/>
    <n v="11154.7"/>
    <n v="0.83035820630000001"/>
    <n v="2278.9"/>
    <n v="0.16964179369999999"/>
    <x v="207"/>
    <n v="209"/>
    <n v="-6"/>
    <n v="0.16956605851364623"/>
    <x v="2"/>
  </r>
  <r>
    <x v="209"/>
    <x v="0"/>
    <x v="2"/>
    <x v="0"/>
    <x v="5"/>
    <x v="1"/>
    <x v="40"/>
    <x v="3"/>
    <x v="209"/>
    <n v="11623.7"/>
    <n v="1790.5"/>
    <n v="13400.7"/>
    <n v="0.99973888779999998"/>
    <n v="3.5"/>
    <n v="2.6111218869999999E-4"/>
    <x v="208"/>
    <n v="210"/>
    <n v="-10"/>
    <n v="2.6091753514931939E-4"/>
    <x v="2"/>
  </r>
  <r>
    <x v="210"/>
    <x v="0"/>
    <x v="1"/>
    <x v="0"/>
    <x v="0"/>
    <x v="0"/>
    <x v="0"/>
    <x v="0"/>
    <x v="210"/>
    <n v="13409.8"/>
    <n v="0"/>
    <n v="4665.5"/>
    <n v="0.34821581839999999"/>
    <n v="8732.7999999999993"/>
    <n v="0.65178418160000007"/>
    <x v="209"/>
    <n v="211"/>
    <n v="-11.5"/>
    <n v="0.65122522334412147"/>
    <x v="2"/>
  </r>
  <r>
    <x v="211"/>
    <x v="0"/>
    <x v="1"/>
    <x v="1"/>
    <x v="2"/>
    <x v="1"/>
    <x v="43"/>
    <x v="3"/>
    <x v="211"/>
    <n v="8971.1"/>
    <n v="4360.5"/>
    <n v="5734.4"/>
    <n v="0.43040710939999999"/>
    <n v="7588.8"/>
    <n v="0.56959289060000007"/>
    <x v="210"/>
    <n v="212"/>
    <n v="-8.3999999999996362"/>
    <n v="0.56923400042005456"/>
    <x v="2"/>
  </r>
  <r>
    <x v="212"/>
    <x v="0"/>
    <x v="1"/>
    <x v="0"/>
    <x v="0"/>
    <x v="0"/>
    <x v="33"/>
    <x v="3"/>
    <x v="212"/>
    <n v="8568.7000000000007"/>
    <n v="4756.2"/>
    <n v="464.4"/>
    <n v="3.4864079640000004E-2"/>
    <n v="12855.9"/>
    <n v="0.96513592040000007"/>
    <x v="211"/>
    <n v="213"/>
    <n v="-4.6000000000021828"/>
    <n v="0.96480273773161507"/>
    <x v="2"/>
  </r>
  <r>
    <x v="213"/>
    <x v="0"/>
    <x v="1"/>
    <x v="1"/>
    <x v="2"/>
    <x v="0"/>
    <x v="17"/>
    <x v="4"/>
    <x v="213"/>
    <n v="10113.700000000001"/>
    <n v="3183.3"/>
    <n v="4068.1"/>
    <n v="0.30607930179999998"/>
    <n v="9222.9"/>
    <n v="0.69392069820000002"/>
    <x v="212"/>
    <n v="214"/>
    <n v="-6"/>
    <n v="0.69360758065729111"/>
    <x v="2"/>
  </r>
  <r>
    <x v="214"/>
    <x v="2"/>
    <x v="1"/>
    <x v="0"/>
    <x v="6"/>
    <x v="1"/>
    <x v="16"/>
    <x v="0"/>
    <x v="214"/>
    <n v="13294.9"/>
    <n v="0"/>
    <n v="13287"/>
    <n v="1"/>
    <n v="0"/>
    <n v="0"/>
    <x v="213"/>
    <n v="215"/>
    <n v="-7.8999999999996362"/>
    <n v="0"/>
    <x v="2"/>
  </r>
  <r>
    <x v="215"/>
    <x v="0"/>
    <x v="1"/>
    <x v="0"/>
    <x v="0"/>
    <x v="0"/>
    <x v="16"/>
    <x v="0"/>
    <x v="215"/>
    <n v="12309.2"/>
    <n v="978.1"/>
    <n v="11171.3"/>
    <n v="0.84109834510000003"/>
    <n v="2110.5"/>
    <n v="0.15890165489999999"/>
    <x v="214"/>
    <n v="216"/>
    <n v="-5.500000000001819"/>
    <n v="0.15883588087873382"/>
    <x v="2"/>
  </r>
  <r>
    <x v="216"/>
    <x v="0"/>
    <x v="1"/>
    <x v="1"/>
    <x v="2"/>
    <x v="0"/>
    <x v="21"/>
    <x v="3"/>
    <x v="216"/>
    <n v="4702.2"/>
    <n v="8580.5"/>
    <n v="575.4"/>
    <n v="4.3349857610000007E-2"/>
    <n v="12698"/>
    <n v="0.95665014240000001"/>
    <x v="215"/>
    <n v="217"/>
    <n v="-9.3000000000010914"/>
    <n v="0.95598033532339055"/>
    <x v="2"/>
  </r>
  <r>
    <x v="217"/>
    <x v="2"/>
    <x v="1"/>
    <x v="0"/>
    <x v="7"/>
    <x v="1"/>
    <x v="2"/>
    <x v="0"/>
    <x v="217"/>
    <n v="11619.7"/>
    <n v="1604"/>
    <n v="45.4"/>
    <n v="3.4340867139999996E-3"/>
    <n v="13175"/>
    <n v="0.99656591329999999"/>
    <x v="216"/>
    <n v="218"/>
    <n v="-3.3000000000010914"/>
    <n v="0.99631721832769948"/>
    <x v="2"/>
  </r>
  <r>
    <x v="218"/>
    <x v="0"/>
    <x v="1"/>
    <x v="0"/>
    <x v="1"/>
    <x v="0"/>
    <x v="10"/>
    <x v="3"/>
    <x v="218"/>
    <n v="12134.4"/>
    <n v="1076.8"/>
    <n v="11821.4"/>
    <n v="0.89499784230000001"/>
    <n v="1386.9"/>
    <n v="0.1050021577"/>
    <x v="217"/>
    <n v="219"/>
    <n v="-2.8999999999996362"/>
    <n v="0.1049791086350975"/>
    <x v="2"/>
  </r>
  <r>
    <x v="219"/>
    <x v="0"/>
    <x v="1"/>
    <x v="0"/>
    <x v="3"/>
    <x v="0"/>
    <x v="8"/>
    <x v="0"/>
    <x v="219"/>
    <n v="7612.4"/>
    <n v="5460.1"/>
    <n v="5541.7"/>
    <n v="0.42414107170000004"/>
    <n v="7524"/>
    <n v="0.57585892829999996"/>
    <x v="218"/>
    <n v="220"/>
    <n v="-6.7999999999992724"/>
    <n v="0.5755593803786575"/>
    <x v="2"/>
  </r>
  <r>
    <x v="220"/>
    <x v="0"/>
    <x v="1"/>
    <x v="0"/>
    <x v="0"/>
    <x v="0"/>
    <x v="26"/>
    <x v="4"/>
    <x v="220"/>
    <n v="12982.3"/>
    <n v="59.7"/>
    <n v="7413.1"/>
    <n v="0.56849798309999999"/>
    <n v="5626.7"/>
    <n v="0.43150201690000001"/>
    <x v="219"/>
    <n v="221"/>
    <n v="-2.2000000000007276"/>
    <n v="0.43142922864591321"/>
    <x v="2"/>
  </r>
  <r>
    <x v="221"/>
    <x v="0"/>
    <x v="1"/>
    <x v="0"/>
    <x v="18"/>
    <x v="1"/>
    <x v="43"/>
    <x v="3"/>
    <x v="221"/>
    <n v="13017.1"/>
    <n v="0"/>
    <n v="12963.5"/>
    <n v="0.99647178190000008"/>
    <n v="45.9"/>
    <n v="3.5282180579999998E-3"/>
    <x v="220"/>
    <n v="222"/>
    <n v="-7.7000000000007276"/>
    <n v="3.526131012283842E-3"/>
    <x v="2"/>
  </r>
  <r>
    <x v="222"/>
    <x v="0"/>
    <x v="1"/>
    <x v="0"/>
    <x v="0"/>
    <x v="0"/>
    <x v="2"/>
    <x v="0"/>
    <x v="222"/>
    <n v="12999.7"/>
    <n v="0"/>
    <n v="5593.4"/>
    <n v="0.43044696180000003"/>
    <n v="7401"/>
    <n v="0.56955303820000003"/>
    <x v="221"/>
    <n v="223"/>
    <n v="-5.3000000000010914"/>
    <n v="0.56932083048070337"/>
    <x v="2"/>
  </r>
  <r>
    <x v="223"/>
    <x v="2"/>
    <x v="14"/>
    <x v="0"/>
    <x v="1"/>
    <x v="1"/>
    <x v="47"/>
    <x v="3"/>
    <x v="223"/>
    <n v="10479.5"/>
    <n v="2516.3000000000002"/>
    <n v="12992.2"/>
    <n v="1"/>
    <n v="0"/>
    <n v="0"/>
    <x v="222"/>
    <n v="224"/>
    <n v="-3.5999999999985448"/>
    <n v="0"/>
    <x v="2"/>
  </r>
  <r>
    <x v="224"/>
    <x v="1"/>
    <x v="1"/>
    <x v="1"/>
    <x v="9"/>
    <x v="0"/>
    <x v="1"/>
    <x v="1"/>
    <x v="224"/>
    <n v="8772.2000000000007"/>
    <n v="4216.8"/>
    <n v="2160.8000000000002"/>
    <n v="0.16640483010000001"/>
    <n v="10824.4"/>
    <n v="0.83359516990000004"/>
    <x v="223"/>
    <n v="225"/>
    <n v="-3.7999999999992724"/>
    <n v="0.83335129725152046"/>
    <x v="2"/>
  </r>
  <r>
    <x v="225"/>
    <x v="0"/>
    <x v="1"/>
    <x v="1"/>
    <x v="2"/>
    <x v="0"/>
    <x v="20"/>
    <x v="2"/>
    <x v="225"/>
    <n v="5938.5"/>
    <n v="6997.8"/>
    <n v="1490.1"/>
    <n v="0.1152462934"/>
    <n v="11439.6"/>
    <n v="0.88475370659999997"/>
    <x v="224"/>
    <n v="226"/>
    <n v="-6.5999999999985448"/>
    <n v="0.88430231209851351"/>
    <x v="2"/>
  </r>
  <r>
    <x v="226"/>
    <x v="0"/>
    <x v="23"/>
    <x v="1"/>
    <x v="9"/>
    <x v="0"/>
    <x v="29"/>
    <x v="3"/>
    <x v="226"/>
    <n v="11010.3"/>
    <n v="1853"/>
    <n v="3301"/>
    <n v="0.25672932589999997"/>
    <n v="9556.9"/>
    <n v="0.74327067410000003"/>
    <x v="225"/>
    <n v="227"/>
    <n v="-5.3999999999996362"/>
    <n v="0.74295864980215032"/>
    <x v="2"/>
  </r>
  <r>
    <x v="227"/>
    <x v="0"/>
    <x v="1"/>
    <x v="0"/>
    <x v="0"/>
    <x v="0"/>
    <x v="7"/>
    <x v="1"/>
    <x v="227"/>
    <n v="5535"/>
    <n v="7288.8"/>
    <n v="2109.1999999999998"/>
    <n v="0.16447542850000002"/>
    <n v="10714.6"/>
    <n v="0.83552457149999992"/>
    <x v="226"/>
    <n v="228"/>
    <n v="0"/>
    <n v="0.83552457149986747"/>
    <x v="2"/>
  </r>
  <r>
    <x v="228"/>
    <x v="0"/>
    <x v="10"/>
    <x v="1"/>
    <x v="10"/>
    <x v="0"/>
    <x v="26"/>
    <x v="4"/>
    <x v="228"/>
    <n v="6582.9"/>
    <n v="6236.2"/>
    <n v="1707.5"/>
    <n v="0.13328493699999999"/>
    <n v="11103.4"/>
    <n v="0.86671506300000001"/>
    <x v="227"/>
    <n v="229"/>
    <n v="-8.1999999999989086"/>
    <n v="0.86616065090372962"/>
    <x v="2"/>
  </r>
  <r>
    <x v="229"/>
    <x v="0"/>
    <x v="1"/>
    <x v="1"/>
    <x v="2"/>
    <x v="1"/>
    <x v="21"/>
    <x v="3"/>
    <x v="229"/>
    <n v="5018.3999999999996"/>
    <n v="7786.4"/>
    <n v="1713.9"/>
    <n v="0.13390052969999999"/>
    <n v="11085.9"/>
    <n v="0.86609947030000001"/>
    <x v="228"/>
    <n v="230"/>
    <n v="-5"/>
    <n v="0.86576127702111705"/>
    <x v="2"/>
  </r>
  <r>
    <x v="230"/>
    <x v="0"/>
    <x v="11"/>
    <x v="0"/>
    <x v="5"/>
    <x v="1"/>
    <x v="4"/>
    <x v="1"/>
    <x v="230"/>
    <n v="12025.6"/>
    <n v="766.3"/>
    <n v="11526.4"/>
    <n v="0.90132386629999994"/>
    <n v="1261.9000000000001"/>
    <n v="9.8676133649999997E-2"/>
    <x v="229"/>
    <n v="231"/>
    <n v="-3.6000000000003638"/>
    <n v="9.8648363417475127E-2"/>
    <x v="2"/>
  </r>
  <r>
    <x v="231"/>
    <x v="0"/>
    <x v="1"/>
    <x v="0"/>
    <x v="0"/>
    <x v="0"/>
    <x v="7"/>
    <x v="1"/>
    <x v="231"/>
    <n v="8481.6"/>
    <n v="4272.5"/>
    <n v="5659.8"/>
    <n v="0.4438710689"/>
    <n v="7091.2"/>
    <n v="0.55612893110000006"/>
    <x v="230"/>
    <n v="232"/>
    <n v="-3.1000000000003638"/>
    <n v="0.55599375886969682"/>
    <x v="2"/>
  </r>
  <r>
    <x v="232"/>
    <x v="1"/>
    <x v="5"/>
    <x v="2"/>
    <x v="4"/>
    <x v="1"/>
    <x v="7"/>
    <x v="1"/>
    <x v="232"/>
    <n v="2648.7"/>
    <n v="10073.4"/>
    <n v="12242.6"/>
    <n v="0.96275616929999996"/>
    <n v="473.6"/>
    <n v="3.7243830700000001E-2"/>
    <x v="231"/>
    <n v="233"/>
    <n v="-5.8999999999978172"/>
    <n v="3.722655850842236E-2"/>
    <x v="2"/>
  </r>
  <r>
    <x v="233"/>
    <x v="0"/>
    <x v="1"/>
    <x v="1"/>
    <x v="2"/>
    <x v="0"/>
    <x v="3"/>
    <x v="2"/>
    <x v="233"/>
    <n v="12596.1"/>
    <n v="124.8"/>
    <n v="1284.7"/>
    <n v="0.10105244940000001"/>
    <n v="11428.5"/>
    <n v="0.89894755059999998"/>
    <x v="232"/>
    <n v="234"/>
    <n v="-7.6999999999989086"/>
    <n v="0.89840341485272268"/>
    <x v="2"/>
  </r>
  <r>
    <x v="234"/>
    <x v="1"/>
    <x v="1"/>
    <x v="0"/>
    <x v="1"/>
    <x v="0"/>
    <x v="16"/>
    <x v="0"/>
    <x v="234"/>
    <n v="8281.2000000000007"/>
    <n v="4423.1000000000004"/>
    <n v="7763.9"/>
    <n v="0.61129701510000001"/>
    <n v="4936.8"/>
    <n v="0.38870298490000005"/>
    <x v="233"/>
    <n v="235"/>
    <n v="-3.6000000000003638"/>
    <n v="0.38859283864518313"/>
    <x v="2"/>
  </r>
  <r>
    <x v="235"/>
    <x v="0"/>
    <x v="2"/>
    <x v="0"/>
    <x v="1"/>
    <x v="0"/>
    <x v="8"/>
    <x v="0"/>
    <x v="235"/>
    <n v="11398.2"/>
    <n v="1255.5"/>
    <n v="5777.3"/>
    <n v="0.4566746767"/>
    <n v="6873.5"/>
    <n v="0.54332532329999994"/>
    <x v="234"/>
    <n v="236"/>
    <n v="-2.9000000000014552"/>
    <n v="0.54320080292720707"/>
    <x v="2"/>
  </r>
  <r>
    <x v="236"/>
    <x v="0"/>
    <x v="0"/>
    <x v="0"/>
    <x v="1"/>
    <x v="0"/>
    <x v="25"/>
    <x v="2"/>
    <x v="236"/>
    <n v="11934"/>
    <n v="715.4"/>
    <n v="10362.700000000001"/>
    <n v="0.8193476972"/>
    <n v="2284.8000000000002"/>
    <n v="0.18065230280000003"/>
    <x v="235"/>
    <n v="237"/>
    <n v="-1.8999999999996362"/>
    <n v="0.18062516799215775"/>
    <x v="2"/>
  </r>
  <r>
    <x v="237"/>
    <x v="0"/>
    <x v="1"/>
    <x v="0"/>
    <x v="0"/>
    <x v="0"/>
    <x v="21"/>
    <x v="3"/>
    <x v="237"/>
    <n v="6266"/>
    <n v="6330.7"/>
    <n v="351.5"/>
    <n v="2.7911888959999999E-2"/>
    <n v="12241.7"/>
    <n v="0.97208811100000003"/>
    <x v="236"/>
    <n v="238"/>
    <n v="-3.5"/>
    <n v="0.97181801582954264"/>
    <x v="2"/>
  </r>
  <r>
    <x v="238"/>
    <x v="1"/>
    <x v="2"/>
    <x v="0"/>
    <x v="1"/>
    <x v="0"/>
    <x v="1"/>
    <x v="1"/>
    <x v="238"/>
    <n v="12542.7"/>
    <n v="29.5"/>
    <n v="3706.6"/>
    <n v="0.29433812440000001"/>
    <n v="8886.4"/>
    <n v="0.70566187560000004"/>
    <x v="237"/>
    <n v="239"/>
    <n v="20.799999999999272"/>
    <n v="0.70682935365329846"/>
    <x v="2"/>
  </r>
  <r>
    <x v="239"/>
    <x v="0"/>
    <x v="2"/>
    <x v="0"/>
    <x v="5"/>
    <x v="1"/>
    <x v="30"/>
    <x v="3"/>
    <x v="239"/>
    <n v="4905.7"/>
    <n v="7658.9"/>
    <n v="12335.7"/>
    <n v="0.98165714380000002"/>
    <n v="230.5"/>
    <n v="1.8342856229999999E-2"/>
    <x v="238"/>
    <n v="240"/>
    <n v="1.6000000000021828"/>
    <n v="1.8345192047498529E-2"/>
    <x v="2"/>
  </r>
  <r>
    <x v="240"/>
    <x v="0"/>
    <x v="1"/>
    <x v="0"/>
    <x v="1"/>
    <x v="0"/>
    <x v="48"/>
    <x v="3"/>
    <x v="240"/>
    <n v="11999.7"/>
    <n v="421.9"/>
    <n v="9162.6"/>
    <n v="0.73762850499999999"/>
    <n v="3259.1"/>
    <n v="0.26237149500000001"/>
    <x v="239"/>
    <n v="241"/>
    <n v="0.1000000000003638"/>
    <n v="0.26237360726476461"/>
    <x v="2"/>
  </r>
  <r>
    <x v="241"/>
    <x v="0"/>
    <x v="12"/>
    <x v="4"/>
    <x v="7"/>
    <x v="0"/>
    <x v="14"/>
    <x v="1"/>
    <x v="241"/>
    <n v="7261.2"/>
    <n v="5145.8"/>
    <n v="376.4"/>
    <n v="3.0346762560000001E-2"/>
    <n v="12026.9"/>
    <n v="0.96965323739999998"/>
    <x v="240"/>
    <n v="242"/>
    <n v="-3.7000000000007276"/>
    <n v="0.96936406867091152"/>
    <x v="2"/>
  </r>
  <r>
    <x v="242"/>
    <x v="0"/>
    <x v="1"/>
    <x v="1"/>
    <x v="2"/>
    <x v="0"/>
    <x v="7"/>
    <x v="1"/>
    <x v="242"/>
    <n v="4419.3999999999996"/>
    <n v="7981.5"/>
    <n v="1528.1"/>
    <n v="0.12328756070000001"/>
    <n v="10866.5"/>
    <n v="0.87671243929999998"/>
    <x v="241"/>
    <n v="243"/>
    <n v="-6.2999999999992724"/>
    <n v="0.87626704513382092"/>
    <x v="2"/>
  </r>
  <r>
    <x v="243"/>
    <x v="0"/>
    <x v="17"/>
    <x v="5"/>
    <x v="15"/>
    <x v="0"/>
    <x v="2"/>
    <x v="0"/>
    <x v="243"/>
    <n v="10393.6"/>
    <n v="1924.7"/>
    <n v="8841.9"/>
    <n v="0.71740135820000006"/>
    <n v="3483"/>
    <n v="0.28259864179999999"/>
    <x v="242"/>
    <n v="244"/>
    <n v="6.5999999999985448"/>
    <n v="0.28275005479652221"/>
    <x v="2"/>
  </r>
  <r>
    <x v="244"/>
    <x v="0"/>
    <x v="1"/>
    <x v="1"/>
    <x v="0"/>
    <x v="0"/>
    <x v="17"/>
    <x v="4"/>
    <x v="244"/>
    <n v="8937.9"/>
    <n v="3281.7"/>
    <n v="3226.5"/>
    <n v="0.2642614358"/>
    <n v="8983"/>
    <n v="0.73573856419999994"/>
    <x v="243"/>
    <n v="245"/>
    <n v="-10.099999999998545"/>
    <n v="0.7351304461684508"/>
    <x v="2"/>
  </r>
  <r>
    <x v="245"/>
    <x v="0"/>
    <x v="10"/>
    <x v="1"/>
    <x v="10"/>
    <x v="1"/>
    <x v="14"/>
    <x v="1"/>
    <x v="245"/>
    <n v="8589.7999999999993"/>
    <n v="3569.6"/>
    <n v="2705.2"/>
    <n v="0.22262638570000001"/>
    <n v="9446.1"/>
    <n v="0.77737361430000007"/>
    <x v="244"/>
    <n v="246"/>
    <n v="-8.1000000000003638"/>
    <n v="0.77685576590950212"/>
    <x v="2"/>
  </r>
  <r>
    <x v="246"/>
    <x v="0"/>
    <x v="8"/>
    <x v="3"/>
    <x v="8"/>
    <x v="0"/>
    <x v="16"/>
    <x v="0"/>
    <x v="246"/>
    <n v="8.4"/>
    <n v="12135.9"/>
    <n v="0"/>
    <n v="0"/>
    <n v="12136.7"/>
    <n v="1"/>
    <x v="245"/>
    <n v="247"/>
    <n v="-7.5999999999985448"/>
    <n v="0.99937419200777333"/>
    <x v="2"/>
  </r>
  <r>
    <x v="247"/>
    <x v="1"/>
    <x v="1"/>
    <x v="0"/>
    <x v="3"/>
    <x v="0"/>
    <x v="25"/>
    <x v="2"/>
    <x v="247"/>
    <n v="8350.5"/>
    <n v="3754.7"/>
    <n v="7341.3"/>
    <n v="0.60673906580000003"/>
    <n v="4758.3"/>
    <n v="0.39326093419999997"/>
    <x v="246"/>
    <n v="248"/>
    <n v="-5.6000000000003638"/>
    <n v="0.39307900736873408"/>
    <x v="2"/>
  </r>
  <r>
    <x v="248"/>
    <x v="1"/>
    <x v="1"/>
    <x v="0"/>
    <x v="1"/>
    <x v="0"/>
    <x v="2"/>
    <x v="0"/>
    <x v="248"/>
    <n v="7821.4"/>
    <n v="4279.1000000000004"/>
    <n v="7189.4"/>
    <n v="0.59442565749999998"/>
    <n v="4905.3"/>
    <n v="0.40557434250000002"/>
    <x v="247"/>
    <n v="249"/>
    <n v="-5.7999999999992724"/>
    <n v="0.40537994297756291"/>
    <x v="2"/>
  </r>
  <r>
    <x v="249"/>
    <x v="0"/>
    <x v="1"/>
    <x v="0"/>
    <x v="1"/>
    <x v="0"/>
    <x v="7"/>
    <x v="1"/>
    <x v="249"/>
    <n v="10802.2"/>
    <n v="1167.0999999999999"/>
    <n v="7423"/>
    <n v="0.62029431180000005"/>
    <n v="4543.8999999999996"/>
    <n v="0.37970568819999995"/>
    <x v="248"/>
    <n v="250"/>
    <n v="-2.4000000000014552"/>
    <n v="0.37962955227122713"/>
    <x v="2"/>
  </r>
  <r>
    <x v="250"/>
    <x v="1"/>
    <x v="1"/>
    <x v="0"/>
    <x v="1"/>
    <x v="0"/>
    <x v="38"/>
    <x v="3"/>
    <x v="250"/>
    <n v="10122.700000000001"/>
    <n v="1768.2"/>
    <n v="8527.5"/>
    <n v="0.71782719959999997"/>
    <n v="3352.1"/>
    <n v="0.28217280039999998"/>
    <x v="249"/>
    <n v="251"/>
    <n v="-11.300000000001091"/>
    <n v="0.28190464977419705"/>
    <x v="2"/>
  </r>
  <r>
    <x v="251"/>
    <x v="0"/>
    <x v="10"/>
    <x v="1"/>
    <x v="9"/>
    <x v="1"/>
    <x v="6"/>
    <x v="2"/>
    <x v="251"/>
    <n v="9900.6"/>
    <n v="1953.1"/>
    <n v="5248.7"/>
    <n v="0.44279001489999997"/>
    <n v="6605"/>
    <n v="0.55720998509999997"/>
    <x v="250"/>
    <n v="252"/>
    <n v="0"/>
    <n v="0.55720998506795338"/>
    <x v="2"/>
  </r>
  <r>
    <x v="252"/>
    <x v="0"/>
    <x v="1"/>
    <x v="0"/>
    <x v="3"/>
    <x v="0"/>
    <x v="3"/>
    <x v="2"/>
    <x v="252"/>
    <n v="7454.6"/>
    <n v="4369.1000000000004"/>
    <n v="5783.2"/>
    <n v="0.48920619879999999"/>
    <n v="6038.4"/>
    <n v="0.51079380120000006"/>
    <x v="251"/>
    <n v="253"/>
    <n v="-2.1000000000003638"/>
    <n v="0.51070307940830695"/>
    <x v="2"/>
  </r>
  <r>
    <x v="253"/>
    <x v="1"/>
    <x v="1"/>
    <x v="0"/>
    <x v="1"/>
    <x v="0"/>
    <x v="2"/>
    <x v="0"/>
    <x v="253"/>
    <n v="9731.6"/>
    <n v="2088"/>
    <n v="7684.3"/>
    <n v="0.65026952469999999"/>
    <n v="4132.8"/>
    <n v="0.34973047530000001"/>
    <x v="252"/>
    <n v="254"/>
    <n v="-2.5"/>
    <n v="0.34965650275813059"/>
    <x v="2"/>
  </r>
  <r>
    <x v="254"/>
    <x v="0"/>
    <x v="1"/>
    <x v="0"/>
    <x v="0"/>
    <x v="0"/>
    <x v="17"/>
    <x v="4"/>
    <x v="254"/>
    <n v="10687.5"/>
    <n v="1099.4000000000001"/>
    <n v="8809.7999999999993"/>
    <n v="0.74765133709999998"/>
    <n v="2973.5"/>
    <n v="0.25234866290000002"/>
    <x v="253"/>
    <n v="255"/>
    <n v="-3.6000000000003638"/>
    <n v="0.25227158964613255"/>
    <x v="2"/>
  </r>
  <r>
    <x v="255"/>
    <x v="1"/>
    <x v="25"/>
    <x v="0"/>
    <x v="1"/>
    <x v="0"/>
    <x v="9"/>
    <x v="1"/>
    <x v="255"/>
    <n v="11036"/>
    <n v="689"/>
    <n v="10605.6"/>
    <n v="0.90483747120000002"/>
    <n v="1115.4000000000001"/>
    <n v="9.5162528789999992E-2"/>
    <x v="254"/>
    <n v="256"/>
    <n v="-4"/>
    <n v="9.5130063965884873E-2"/>
    <x v="2"/>
  </r>
  <r>
    <x v="256"/>
    <x v="0"/>
    <x v="17"/>
    <x v="5"/>
    <x v="0"/>
    <x v="0"/>
    <x v="27"/>
    <x v="4"/>
    <x v="256"/>
    <n v="1404.1"/>
    <n v="10305.200000000001"/>
    <n v="7.7"/>
    <n v="6.5727138479999999E-4"/>
    <n v="11707.4"/>
    <n v="0.99934272859999995"/>
    <x v="255"/>
    <n v="257"/>
    <n v="5.7999999999992724"/>
    <n v="0.99983773581682922"/>
    <x v="2"/>
  </r>
  <r>
    <x v="257"/>
    <x v="0"/>
    <x v="1"/>
    <x v="0"/>
    <x v="11"/>
    <x v="0"/>
    <x v="7"/>
    <x v="1"/>
    <x v="257"/>
    <n v="9802.2000000000007"/>
    <n v="1883.1"/>
    <n v="9721.7999999999993"/>
    <n v="0.832438542"/>
    <n v="1956.9"/>
    <n v="0.167561458"/>
    <x v="256"/>
    <n v="258"/>
    <n v="-6.6000000000003638"/>
    <n v="0.1674668172832533"/>
    <x v="2"/>
  </r>
  <r>
    <x v="258"/>
    <x v="0"/>
    <x v="26"/>
    <x v="0"/>
    <x v="0"/>
    <x v="0"/>
    <x v="18"/>
    <x v="2"/>
    <x v="258"/>
    <n v="6067.8"/>
    <n v="5576.2"/>
    <n v="325.2"/>
    <n v="2.7936704289999999E-2"/>
    <n v="11315.4"/>
    <n v="0.97206329569999994"/>
    <x v="257"/>
    <n v="259"/>
    <n v="-3.3999999999996362"/>
    <n v="0.97177945723119197"/>
    <x v="2"/>
  </r>
  <r>
    <x v="259"/>
    <x v="1"/>
    <x v="1"/>
    <x v="0"/>
    <x v="1"/>
    <x v="0"/>
    <x v="14"/>
    <x v="1"/>
    <x v="259"/>
    <n v="11637.4"/>
    <n v="0"/>
    <n v="11489.7"/>
    <n v="0.98769008589999996"/>
    <n v="143.19999999999999"/>
    <n v="1.2309914120000001E-2"/>
    <x v="258"/>
    <n v="260"/>
    <n v="-4.5"/>
    <n v="1.2305154072215442E-2"/>
    <x v="2"/>
  </r>
  <r>
    <x v="260"/>
    <x v="0"/>
    <x v="1"/>
    <x v="0"/>
    <x v="5"/>
    <x v="0"/>
    <x v="49"/>
    <x v="3"/>
    <x v="260"/>
    <n v="11545"/>
    <n v="47.3"/>
    <n v="10653.5"/>
    <n v="0.91929276540000004"/>
    <n v="935.3"/>
    <n v="8.0707234569999994E-2"/>
    <x v="259"/>
    <n v="261"/>
    <n v="-3.5"/>
    <n v="8.0682867075558773E-2"/>
    <x v="2"/>
  </r>
  <r>
    <x v="261"/>
    <x v="0"/>
    <x v="1"/>
    <x v="0"/>
    <x v="0"/>
    <x v="0"/>
    <x v="0"/>
    <x v="0"/>
    <x v="261"/>
    <n v="3209.4"/>
    <n v="8365.7999999999993"/>
    <n v="747.3"/>
    <n v="6.4560439560000002E-2"/>
    <n v="10827.9"/>
    <n v="0.93543956039999998"/>
    <x v="260"/>
    <n v="262"/>
    <n v="0"/>
    <n v="0.93543956043956045"/>
    <x v="2"/>
  </r>
  <r>
    <x v="262"/>
    <x v="0"/>
    <x v="27"/>
    <x v="1"/>
    <x v="2"/>
    <x v="0"/>
    <x v="27"/>
    <x v="4"/>
    <x v="262"/>
    <n v="7224.2"/>
    <n v="4349.3999999999996"/>
    <n v="4663"/>
    <n v="0.40315747610000002"/>
    <n v="6903.2"/>
    <n v="0.59684252389999992"/>
    <x v="261"/>
    <n v="263"/>
    <n v="-7.3999999999978172"/>
    <n v="0.59646091103891619"/>
    <x v="2"/>
  </r>
  <r>
    <x v="263"/>
    <x v="0"/>
    <x v="28"/>
    <x v="0"/>
    <x v="7"/>
    <x v="0"/>
    <x v="8"/>
    <x v="0"/>
    <x v="263"/>
    <n v="11486.5"/>
    <n v="0"/>
    <n v="235.7"/>
    <n v="2.0528855369999998E-2"/>
    <n v="11245.7"/>
    <n v="0.97947114459999995"/>
    <x v="262"/>
    <n v="264"/>
    <n v="-5.1000000000003638"/>
    <n v="0.97903625995734134"/>
    <x v="2"/>
  </r>
  <r>
    <x v="264"/>
    <x v="2"/>
    <x v="1"/>
    <x v="0"/>
    <x v="5"/>
    <x v="1"/>
    <x v="6"/>
    <x v="2"/>
    <x v="264"/>
    <n v="8241.1"/>
    <n v="3243.6"/>
    <n v="11420.3"/>
    <n v="0.99476499079999992"/>
    <n v="60.1"/>
    <n v="5.235009233E-3"/>
    <x v="263"/>
    <n v="265"/>
    <n v="-4.3000000000010914"/>
    <n v="5.2330491871794647E-3"/>
    <x v="2"/>
  </r>
  <r>
    <x v="265"/>
    <x v="0"/>
    <x v="1"/>
    <x v="0"/>
    <x v="0"/>
    <x v="0"/>
    <x v="9"/>
    <x v="1"/>
    <x v="265"/>
    <n v="3956.3"/>
    <n v="7518.7"/>
    <n v="545.70000000000005"/>
    <n v="4.7555141130000006E-2"/>
    <n v="10929.4"/>
    <n v="0.95244485890000008"/>
    <x v="264"/>
    <n v="266"/>
    <n v="0.1000000000003638"/>
    <n v="0.95245315904139427"/>
    <x v="2"/>
  </r>
  <r>
    <x v="266"/>
    <x v="0"/>
    <x v="7"/>
    <x v="7"/>
    <x v="0"/>
    <x v="0"/>
    <x v="17"/>
    <x v="4"/>
    <x v="266"/>
    <n v="7069.7"/>
    <n v="4399.6000000000004"/>
    <n v="5201.3999999999996"/>
    <n v="0.45389414899999997"/>
    <n v="6258.1"/>
    <n v="0.54610585099999998"/>
    <x v="265"/>
    <n v="267"/>
    <n v="-9.7999999999992724"/>
    <n v="0.54563922820050048"/>
    <x v="2"/>
  </r>
  <r>
    <x v="267"/>
    <x v="0"/>
    <x v="1"/>
    <x v="0"/>
    <x v="3"/>
    <x v="0"/>
    <x v="0"/>
    <x v="0"/>
    <x v="267"/>
    <n v="7562.2"/>
    <n v="3868"/>
    <n v="6108.9"/>
    <n v="0.53453209079999997"/>
    <n v="5319.6"/>
    <n v="0.46546790919999997"/>
    <x v="266"/>
    <n v="268"/>
    <n v="-1.7000000000007276"/>
    <n v="0.46539868068800194"/>
    <x v="2"/>
  </r>
  <r>
    <x v="268"/>
    <x v="0"/>
    <x v="1"/>
    <x v="0"/>
    <x v="5"/>
    <x v="1"/>
    <x v="50"/>
    <x v="3"/>
    <x v="268"/>
    <n v="11274.4"/>
    <n v="44.7"/>
    <n v="11264.9"/>
    <n v="0.9956426438"/>
    <n v="49.3"/>
    <n v="4.3573562430000001E-3"/>
    <x v="267"/>
    <n v="269"/>
    <n v="-4.8999999999996362"/>
    <n v="4.3554699578588398E-3"/>
    <x v="2"/>
  </r>
  <r>
    <x v="269"/>
    <x v="0"/>
    <x v="1"/>
    <x v="0"/>
    <x v="3"/>
    <x v="0"/>
    <x v="6"/>
    <x v="2"/>
    <x v="269"/>
    <n v="4609.5"/>
    <n v="6628.7"/>
    <n v="839.9"/>
    <n v="7.4736167709999995E-2"/>
    <n v="10398.299999999999"/>
    <n v="0.92526383229999998"/>
    <x v="268"/>
    <n v="270"/>
    <n v="0"/>
    <n v="0.92526383228630904"/>
    <x v="2"/>
  </r>
  <r>
    <x v="270"/>
    <x v="0"/>
    <x v="5"/>
    <x v="2"/>
    <x v="4"/>
    <x v="0"/>
    <x v="1"/>
    <x v="1"/>
    <x v="270"/>
    <n v="9653.7999999999993"/>
    <n v="1583.7"/>
    <n v="4076.4"/>
    <n v="0.3629079643"/>
    <n v="7156.2"/>
    <n v="0.63709203569999995"/>
    <x v="269"/>
    <n v="271"/>
    <n v="-4.8999999999996362"/>
    <n v="0.63681423804226922"/>
    <x v="2"/>
  </r>
  <r>
    <x v="271"/>
    <x v="0"/>
    <x v="1"/>
    <x v="0"/>
    <x v="7"/>
    <x v="0"/>
    <x v="8"/>
    <x v="0"/>
    <x v="271"/>
    <n v="5328.3"/>
    <n v="5873.2"/>
    <n v="961.9"/>
    <n v="8.5893131410000004E-2"/>
    <n v="10236.9"/>
    <n v="0.91410686860000001"/>
    <x v="270"/>
    <n v="272"/>
    <n v="-2.7000000000007276"/>
    <n v="0.9138865330536089"/>
    <x v="2"/>
  </r>
  <r>
    <x v="272"/>
    <x v="0"/>
    <x v="1"/>
    <x v="0"/>
    <x v="0"/>
    <x v="0"/>
    <x v="0"/>
    <x v="0"/>
    <x v="272"/>
    <n v="10287.700000000001"/>
    <n v="910.9"/>
    <n v="656.6"/>
    <n v="5.8645944979999996E-2"/>
    <n v="10539.4"/>
    <n v="0.94135405500000002"/>
    <x v="271"/>
    <n v="273"/>
    <n v="-2.6000000000003638"/>
    <n v="0.94113549908024208"/>
    <x v="2"/>
  </r>
  <r>
    <x v="273"/>
    <x v="0"/>
    <x v="29"/>
    <x v="0"/>
    <x v="19"/>
    <x v="0"/>
    <x v="4"/>
    <x v="1"/>
    <x v="273"/>
    <n v="3260"/>
    <n v="7882.2"/>
    <n v="1292"/>
    <n v="0.1158848327"/>
    <n v="9857"/>
    <n v="0.88411516730000006"/>
    <x v="272"/>
    <n v="274"/>
    <n v="6.7999999999992724"/>
    <n v="0.88465473604853617"/>
    <x v="2"/>
  </r>
  <r>
    <x v="274"/>
    <x v="0"/>
    <x v="2"/>
    <x v="0"/>
    <x v="5"/>
    <x v="1"/>
    <x v="37"/>
    <x v="3"/>
    <x v="274"/>
    <n v="11073.6"/>
    <n v="0"/>
    <n v="11061.4"/>
    <n v="0.9998011497"/>
    <n v="2.2000000000000002"/>
    <n v="1.988502838E-4"/>
    <x v="273"/>
    <n v="275"/>
    <n v="-10"/>
    <n v="1.9867071232480856E-4"/>
    <x v="2"/>
  </r>
  <r>
    <x v="275"/>
    <x v="1"/>
    <x v="1"/>
    <x v="0"/>
    <x v="1"/>
    <x v="0"/>
    <x v="10"/>
    <x v="3"/>
    <x v="275"/>
    <n v="6055.9"/>
    <n v="5004.6000000000004"/>
    <n v="4661.1000000000004"/>
    <n v="0.42141856150000001"/>
    <n v="6399.4"/>
    <n v="0.57858143849999999"/>
    <x v="274"/>
    <n v="276"/>
    <n v="0"/>
    <n v="0.57858143845214949"/>
    <x v="2"/>
  </r>
  <r>
    <x v="276"/>
    <x v="0"/>
    <x v="1"/>
    <x v="0"/>
    <x v="18"/>
    <x v="1"/>
    <x v="10"/>
    <x v="3"/>
    <x v="276"/>
    <n v="11056.2"/>
    <n v="0"/>
    <n v="11051.4"/>
    <n v="1"/>
    <n v="0"/>
    <n v="0"/>
    <x v="275"/>
    <n v="277"/>
    <n v="-4.8000000000010914"/>
    <n v="0"/>
    <x v="2"/>
  </r>
  <r>
    <x v="277"/>
    <x v="0"/>
    <x v="8"/>
    <x v="3"/>
    <x v="8"/>
    <x v="0"/>
    <x v="3"/>
    <x v="2"/>
    <x v="277"/>
    <n v="5793.9"/>
    <n v="5236.3"/>
    <n v="0"/>
    <n v="0"/>
    <n v="11014.9"/>
    <n v="1"/>
    <x v="276"/>
    <n v="278"/>
    <n v="-15.300000000001091"/>
    <n v="0.99861289913147533"/>
    <x v="2"/>
  </r>
  <r>
    <x v="278"/>
    <x v="1"/>
    <x v="2"/>
    <x v="0"/>
    <x v="1"/>
    <x v="1"/>
    <x v="4"/>
    <x v="1"/>
    <x v="278"/>
    <n v="0"/>
    <n v="11024.9"/>
    <n v="6916.9"/>
    <n v="0.62962760680000007"/>
    <n v="4068.8"/>
    <n v="0.37037239319999998"/>
    <x v="277"/>
    <n v="279"/>
    <n v="-39.199999999998909"/>
    <n v="0.36905550163720308"/>
    <x v="2"/>
  </r>
  <r>
    <x v="279"/>
    <x v="0"/>
    <x v="4"/>
    <x v="1"/>
    <x v="2"/>
    <x v="0"/>
    <x v="27"/>
    <x v="4"/>
    <x v="279"/>
    <n v="9511.5"/>
    <n v="1474.2"/>
    <n v="3645.8"/>
    <n v="0.33222161470000006"/>
    <n v="7328.2"/>
    <n v="0.6677783853"/>
    <x v="278"/>
    <n v="280"/>
    <n v="-11.700000000000728"/>
    <n v="0.66706718734354653"/>
    <x v="2"/>
  </r>
  <r>
    <x v="280"/>
    <x v="0"/>
    <x v="1"/>
    <x v="0"/>
    <x v="0"/>
    <x v="0"/>
    <x v="34"/>
    <x v="3"/>
    <x v="280"/>
    <n v="5006.3999999999996"/>
    <n v="5977.1"/>
    <n v="7034.7"/>
    <n v="0.64133724749999999"/>
    <n v="3934.1"/>
    <n v="0.35866275250000001"/>
    <x v="279"/>
    <n v="281"/>
    <n v="-14.700000000000728"/>
    <n v="0.35818272863841216"/>
    <x v="2"/>
  </r>
  <r>
    <x v="281"/>
    <x v="1"/>
    <x v="24"/>
    <x v="0"/>
    <x v="6"/>
    <x v="0"/>
    <x v="9"/>
    <x v="1"/>
    <x v="281"/>
    <n v="9358.7999999999993"/>
    <n v="1614.9"/>
    <n v="10795.1"/>
    <n v="0.98680914860000002"/>
    <n v="144.30000000000001"/>
    <n v="1.319085142E-2"/>
    <x v="280"/>
    <n v="282"/>
    <n v="-34.299999999999272"/>
    <n v="1.3149621367451273E-2"/>
    <x v="2"/>
  </r>
  <r>
    <x v="282"/>
    <x v="0"/>
    <x v="1"/>
    <x v="1"/>
    <x v="2"/>
    <x v="0"/>
    <x v="0"/>
    <x v="0"/>
    <x v="282"/>
    <n v="10905.7"/>
    <n v="38"/>
    <n v="8.1"/>
    <n v="7.4084914119999996E-4"/>
    <n v="10925.3"/>
    <n v="0.99925915090000006"/>
    <x v="281"/>
    <n v="283"/>
    <n v="-10.300000000001091"/>
    <n v="0.99831866736113006"/>
    <x v="2"/>
  </r>
  <r>
    <x v="283"/>
    <x v="0"/>
    <x v="17"/>
    <x v="5"/>
    <x v="15"/>
    <x v="1"/>
    <x v="4"/>
    <x v="1"/>
    <x v="283"/>
    <n v="9203.4"/>
    <n v="1721.9"/>
    <n v="8573.2000000000007"/>
    <n v="0.78550878670000002"/>
    <n v="2341"/>
    <n v="0.21449121330000001"/>
    <x v="282"/>
    <n v="284"/>
    <n v="-11.099999999998545"/>
    <n v="0.21427329226657393"/>
    <x v="2"/>
  </r>
  <r>
    <x v="284"/>
    <x v="0"/>
    <x v="12"/>
    <x v="4"/>
    <x v="18"/>
    <x v="1"/>
    <x v="29"/>
    <x v="3"/>
    <x v="284"/>
    <n v="10910.3"/>
    <n v="0"/>
    <n v="10773.4"/>
    <n v="0.98814961569999993"/>
    <n v="129.19999999999999"/>
    <n v="1.185038431E-2"/>
    <x v="283"/>
    <n v="285"/>
    <n v="-7.6999999999989086"/>
    <n v="1.1842020842689935E-2"/>
    <x v="2"/>
  </r>
  <r>
    <x v="285"/>
    <x v="0"/>
    <x v="2"/>
    <x v="0"/>
    <x v="1"/>
    <x v="0"/>
    <x v="8"/>
    <x v="0"/>
    <x v="285"/>
    <n v="7412.3"/>
    <n v="3373.2"/>
    <n v="5819.8"/>
    <n v="0.53970991909999999"/>
    <n v="4963.3999999999996"/>
    <n v="0.46029008089999995"/>
    <x v="284"/>
    <n v="286"/>
    <n v="-2.2999999999992724"/>
    <n v="0.46019192434286771"/>
    <x v="2"/>
  </r>
  <r>
    <x v="286"/>
    <x v="0"/>
    <x v="1"/>
    <x v="1"/>
    <x v="2"/>
    <x v="0"/>
    <x v="10"/>
    <x v="3"/>
    <x v="286"/>
    <n v="10712.5"/>
    <n v="63.9"/>
    <n v="291.89999999999998"/>
    <n v="2.7087470539999998E-2"/>
    <n v="10484.299999999999"/>
    <n v="0.97291252949999996"/>
    <x v="285"/>
    <n v="287"/>
    <n v="-0.19999999999890861"/>
    <n v="0.97289447310790245"/>
    <x v="2"/>
  </r>
  <r>
    <x v="287"/>
    <x v="0"/>
    <x v="1"/>
    <x v="1"/>
    <x v="2"/>
    <x v="0"/>
    <x v="8"/>
    <x v="0"/>
    <x v="287"/>
    <n v="595.6"/>
    <n v="10180.6"/>
    <n v="689.2"/>
    <n v="6.3980690679999994E-2"/>
    <n v="10082.799999999999"/>
    <n v="0.93601930929999999"/>
    <x v="286"/>
    <n v="288"/>
    <n v="-4.2000000000007276"/>
    <n v="0.93565449787494648"/>
    <x v="2"/>
  </r>
  <r>
    <x v="288"/>
    <x v="0"/>
    <x v="1"/>
    <x v="0"/>
    <x v="5"/>
    <x v="1"/>
    <x v="33"/>
    <x v="3"/>
    <x v="288"/>
    <n v="10772.2"/>
    <n v="0.6"/>
    <n v="10575.9"/>
    <n v="0.98185919990000003"/>
    <n v="195.4"/>
    <n v="1.8140800089999999E-2"/>
    <x v="287"/>
    <n v="289"/>
    <n v="-1.500000000001819"/>
    <n v="1.8138274171988711E-2"/>
    <x v="2"/>
  </r>
  <r>
    <x v="289"/>
    <x v="0"/>
    <x v="1"/>
    <x v="0"/>
    <x v="5"/>
    <x v="1"/>
    <x v="3"/>
    <x v="2"/>
    <x v="289"/>
    <n v="1893.8"/>
    <n v="8878.2000000000007"/>
    <n v="10569.4"/>
    <n v="0.9815929269"/>
    <n v="198.2"/>
    <n v="1.8407073069999998E-2"/>
    <x v="288"/>
    <n v="290"/>
    <n v="-4.3999999999996362"/>
    <n v="1.8399554400297065E-2"/>
    <x v="2"/>
  </r>
  <r>
    <x v="290"/>
    <x v="0"/>
    <x v="1"/>
    <x v="0"/>
    <x v="5"/>
    <x v="1"/>
    <x v="29"/>
    <x v="3"/>
    <x v="290"/>
    <n v="10630.4"/>
    <n v="133.80000000000001"/>
    <n v="10584.7"/>
    <n v="0.98367161069999998"/>
    <n v="175.7"/>
    <n v="1.6328389280000001E-2"/>
    <x v="289"/>
    <n v="291"/>
    <n v="-3.7999999999992724"/>
    <n v="1.6322624997677487E-2"/>
    <x v="2"/>
  </r>
  <r>
    <x v="291"/>
    <x v="1"/>
    <x v="1"/>
    <x v="0"/>
    <x v="3"/>
    <x v="0"/>
    <x v="26"/>
    <x v="4"/>
    <x v="291"/>
    <n v="7776.1"/>
    <n v="2980.3"/>
    <n v="3834.9"/>
    <n v="0.35652262839999999"/>
    <n v="6921.5"/>
    <n v="0.64347737159999996"/>
    <x v="290"/>
    <n v="292"/>
    <n v="0"/>
    <n v="0.64347737161131968"/>
    <x v="2"/>
  </r>
  <r>
    <x v="292"/>
    <x v="1"/>
    <x v="1"/>
    <x v="0"/>
    <x v="3"/>
    <x v="0"/>
    <x v="18"/>
    <x v="2"/>
    <x v="292"/>
    <n v="6224.9"/>
    <n v="4506.8"/>
    <n v="3239.2"/>
    <n v="0.30183475130000004"/>
    <n v="7492.5"/>
    <n v="0.69816524869999996"/>
    <x v="291"/>
    <n v="293"/>
    <n v="0"/>
    <n v="0.69816524874903318"/>
    <x v="2"/>
  </r>
  <r>
    <x v="293"/>
    <x v="1"/>
    <x v="1"/>
    <x v="0"/>
    <x v="3"/>
    <x v="0"/>
    <x v="14"/>
    <x v="1"/>
    <x v="293"/>
    <n v="6060.2"/>
    <n v="4663.3999999999996"/>
    <n v="4257.3999999999996"/>
    <n v="0.39741244119999997"/>
    <n v="6455.4"/>
    <n v="0.60258755880000003"/>
    <x v="292"/>
    <n v="294"/>
    <n v="-10.799999999999272"/>
    <n v="0.60198067813047862"/>
    <x v="2"/>
  </r>
  <r>
    <x v="294"/>
    <x v="2"/>
    <x v="2"/>
    <x v="0"/>
    <x v="1"/>
    <x v="1"/>
    <x v="9"/>
    <x v="1"/>
    <x v="294"/>
    <n v="10381.4"/>
    <n v="333.5"/>
    <n v="73.400000000000006"/>
    <n v="6.8526402269999996E-3"/>
    <n v="10637.8"/>
    <n v="0.99314735979999991"/>
    <x v="293"/>
    <n v="295"/>
    <n v="-3.6999999999989086"/>
    <n v="0.9928044125470139"/>
    <x v="2"/>
  </r>
  <r>
    <x v="295"/>
    <x v="0"/>
    <x v="2"/>
    <x v="0"/>
    <x v="5"/>
    <x v="0"/>
    <x v="40"/>
    <x v="3"/>
    <x v="295"/>
    <n v="8379.6"/>
    <n v="2317"/>
    <n v="8204.5"/>
    <n v="0.7670194266999999"/>
    <n v="2492.1"/>
    <n v="0.23298057329999999"/>
    <x v="294"/>
    <n v="296"/>
    <n v="0"/>
    <n v="0.2329805732662715"/>
    <x v="2"/>
  </r>
  <r>
    <x v="296"/>
    <x v="0"/>
    <x v="21"/>
    <x v="0"/>
    <x v="5"/>
    <x v="1"/>
    <x v="31"/>
    <x v="3"/>
    <x v="296"/>
    <n v="10020.5"/>
    <n v="599.29999999999995"/>
    <n v="9771.2999999999993"/>
    <n v="0.92042275410000007"/>
    <n v="844.8"/>
    <n v="7.9577245879999994E-2"/>
    <x v="295"/>
    <n v="297"/>
    <n v="-3.6999999999989086"/>
    <n v="7.9549520706604648E-2"/>
    <x v="2"/>
  </r>
  <r>
    <x v="297"/>
    <x v="0"/>
    <x v="1"/>
    <x v="1"/>
    <x v="14"/>
    <x v="1"/>
    <x v="5"/>
    <x v="3"/>
    <x v="297"/>
    <n v="10520.3"/>
    <n v="92.7"/>
    <n v="8371.2999999999993"/>
    <n v="0.78922409729999998"/>
    <n v="2235.6999999999998"/>
    <n v="0.21077590270000002"/>
    <x v="296"/>
    <n v="298"/>
    <n v="-6"/>
    <n v="0.21065674173183829"/>
    <x v="2"/>
  </r>
  <r>
    <x v="298"/>
    <x v="0"/>
    <x v="1"/>
    <x v="0"/>
    <x v="5"/>
    <x v="1"/>
    <x v="37"/>
    <x v="3"/>
    <x v="298"/>
    <n v="10570.2"/>
    <n v="4.5"/>
    <n v="10555.6"/>
    <n v="0.99853373820000002"/>
    <n v="15.5"/>
    <n v="1.4662617889999998E-3"/>
    <x v="297"/>
    <n v="299"/>
    <n v="-3.6000000000003638"/>
    <n v="1.4657626221074829E-3"/>
    <x v="2"/>
  </r>
  <r>
    <x v="299"/>
    <x v="0"/>
    <x v="2"/>
    <x v="0"/>
    <x v="5"/>
    <x v="1"/>
    <x v="9"/>
    <x v="1"/>
    <x v="299"/>
    <n v="10191.700000000001"/>
    <n v="301.5"/>
    <n v="10165.9"/>
    <n v="0.96914086330000004"/>
    <n v="323.7"/>
    <n v="3.0859136669999999E-2"/>
    <x v="298"/>
    <n v="300"/>
    <n v="-3.6000000000003638"/>
    <n v="3.0848549536842903E-2"/>
    <x v="2"/>
  </r>
  <r>
    <x v="300"/>
    <x v="1"/>
    <x v="22"/>
    <x v="1"/>
    <x v="9"/>
    <x v="0"/>
    <x v="27"/>
    <x v="4"/>
    <x v="300"/>
    <n v="3977.8"/>
    <n v="6499.1"/>
    <n v="2597.3000000000002"/>
    <n v="0.24790730080000001"/>
    <n v="7879.6"/>
    <n v="0.75209269919999999"/>
    <x v="299"/>
    <n v="301"/>
    <n v="0"/>
    <n v="0.75209269917628296"/>
    <x v="2"/>
  </r>
  <r>
    <x v="301"/>
    <x v="0"/>
    <x v="2"/>
    <x v="0"/>
    <x v="0"/>
    <x v="0"/>
    <x v="0"/>
    <x v="0"/>
    <x v="301"/>
    <n v="7062.7"/>
    <n v="3394.7"/>
    <n v="6337.8"/>
    <n v="0.60654608099999996"/>
    <n v="4111.2"/>
    <n v="0.39345391900000004"/>
    <x v="300"/>
    <n v="302"/>
    <n v="-8.3999999999996362"/>
    <n v="0.39313787365884445"/>
    <x v="2"/>
  </r>
  <r>
    <x v="302"/>
    <x v="0"/>
    <x v="1"/>
    <x v="0"/>
    <x v="3"/>
    <x v="0"/>
    <x v="7"/>
    <x v="1"/>
    <x v="302"/>
    <n v="9179.2000000000007"/>
    <n v="1201.2"/>
    <n v="8970.6"/>
    <n v="0.86516149570000001"/>
    <n v="1398.1"/>
    <n v="0.13483850429999999"/>
    <x v="301"/>
    <n v="303"/>
    <n v="-11.700000000000728"/>
    <n v="0.13468652460406147"/>
    <x v="2"/>
  </r>
  <r>
    <x v="303"/>
    <x v="0"/>
    <x v="1"/>
    <x v="1"/>
    <x v="2"/>
    <x v="0"/>
    <x v="3"/>
    <x v="2"/>
    <x v="303"/>
    <n v="1937.7"/>
    <n v="8415.1"/>
    <n v="410.2"/>
    <n v="3.9622131210000001E-2"/>
    <n v="9942.6"/>
    <n v="0.96037786879999998"/>
    <x v="302"/>
    <n v="304"/>
    <n v="0"/>
    <n v="0.96037786878911979"/>
    <x v="2"/>
  </r>
  <r>
    <x v="304"/>
    <x v="0"/>
    <x v="30"/>
    <x v="0"/>
    <x v="1"/>
    <x v="0"/>
    <x v="0"/>
    <x v="0"/>
    <x v="304"/>
    <n v="7323"/>
    <n v="3009.8"/>
    <n v="6153.5"/>
    <n v="0.59553073710000004"/>
    <n v="4179.3"/>
    <n v="0.40446926290000002"/>
    <x v="303"/>
    <n v="305"/>
    <n v="0"/>
    <n v="0.40446926292969965"/>
    <x v="2"/>
  </r>
  <r>
    <x v="305"/>
    <x v="0"/>
    <x v="1"/>
    <x v="0"/>
    <x v="1"/>
    <x v="0"/>
    <x v="17"/>
    <x v="4"/>
    <x v="305"/>
    <n v="10145.1"/>
    <n v="172"/>
    <n v="10141.5"/>
    <n v="0.98332282930000003"/>
    <n v="172"/>
    <n v="1.6677170700000001E-2"/>
    <x v="304"/>
    <n v="306"/>
    <n v="-3.6000000000003638"/>
    <n v="1.6671351445658178E-2"/>
    <x v="2"/>
  </r>
  <r>
    <x v="306"/>
    <x v="0"/>
    <x v="1"/>
    <x v="0"/>
    <x v="0"/>
    <x v="0"/>
    <x v="10"/>
    <x v="3"/>
    <x v="306"/>
    <n v="6016.2"/>
    <n v="4284.3"/>
    <n v="745.9"/>
    <n v="7.2466724960000006E-2"/>
    <n v="9547.1"/>
    <n v="0.92753327499999993"/>
    <x v="305"/>
    <n v="307"/>
    <n v="-7.5"/>
    <n v="0.92685791951846996"/>
    <x v="2"/>
  </r>
  <r>
    <x v="307"/>
    <x v="0"/>
    <x v="29"/>
    <x v="0"/>
    <x v="19"/>
    <x v="0"/>
    <x v="9"/>
    <x v="1"/>
    <x v="307"/>
    <n v="2289.1999999999998"/>
    <n v="8003.8"/>
    <n v="4395.8"/>
    <n v="0.42716654030000001"/>
    <n v="5894.8"/>
    <n v="0.57283345969999999"/>
    <x v="306"/>
    <n v="308"/>
    <n v="-2.3999999999996362"/>
    <n v="0.57269989313125425"/>
    <x v="2"/>
  </r>
  <r>
    <x v="308"/>
    <x v="0"/>
    <x v="31"/>
    <x v="1"/>
    <x v="9"/>
    <x v="0"/>
    <x v="2"/>
    <x v="0"/>
    <x v="308"/>
    <n v="8102.5"/>
    <n v="2138.3000000000002"/>
    <n v="6955"/>
    <n v="0.67957749919999999"/>
    <n v="3279.3"/>
    <n v="0.32042250080000001"/>
    <x v="307"/>
    <n v="309"/>
    <n v="-6.5"/>
    <n v="0.32021912350597614"/>
    <x v="2"/>
  </r>
  <r>
    <x v="309"/>
    <x v="0"/>
    <x v="1"/>
    <x v="0"/>
    <x v="0"/>
    <x v="0"/>
    <x v="20"/>
    <x v="2"/>
    <x v="309"/>
    <n v="7551.1"/>
    <n v="2685"/>
    <n v="2118.4"/>
    <n v="0.20705293609999997"/>
    <n v="8112.8"/>
    <n v="0.79294706390000003"/>
    <x v="308"/>
    <n v="310"/>
    <n v="-4.8999999999996362"/>
    <n v="0.79256748175574676"/>
    <x v="2"/>
  </r>
  <r>
    <x v="310"/>
    <x v="0"/>
    <x v="1"/>
    <x v="0"/>
    <x v="5"/>
    <x v="1"/>
    <x v="18"/>
    <x v="2"/>
    <x v="310"/>
    <n v="10185.799999999999"/>
    <n v="0"/>
    <n v="10132.799999999999"/>
    <n v="0.99534390290000008"/>
    <n v="47.4"/>
    <n v="4.65609713E-3"/>
    <x v="309"/>
    <n v="311"/>
    <n v="-5.5999999999985448"/>
    <n v="4.6535372773861654E-3"/>
    <x v="2"/>
  </r>
  <r>
    <x v="311"/>
    <x v="1"/>
    <x v="0"/>
    <x v="0"/>
    <x v="1"/>
    <x v="0"/>
    <x v="7"/>
    <x v="1"/>
    <x v="311"/>
    <n v="6431.1"/>
    <n v="3750.4"/>
    <n v="5420.2"/>
    <n v="0.53247276339999994"/>
    <n v="4759.1000000000004"/>
    <n v="0.46752723660000001"/>
    <x v="310"/>
    <n v="312"/>
    <n v="-2.2000000000007276"/>
    <n v="0.46742621421205133"/>
    <x v="2"/>
  </r>
  <r>
    <x v="312"/>
    <x v="0"/>
    <x v="8"/>
    <x v="3"/>
    <x v="8"/>
    <x v="1"/>
    <x v="10"/>
    <x v="3"/>
    <x v="312"/>
    <n v="8858.9"/>
    <n v="1312.6"/>
    <n v="6.7"/>
    <n v="6.5912444660000001E-4"/>
    <n v="10158.299999999999"/>
    <n v="0.99934087559999996"/>
    <x v="311"/>
    <n v="313"/>
    <n v="-6.5"/>
    <n v="0.99870225630437981"/>
    <x v="2"/>
  </r>
  <r>
    <x v="313"/>
    <x v="0"/>
    <x v="22"/>
    <x v="1"/>
    <x v="0"/>
    <x v="0"/>
    <x v="17"/>
    <x v="4"/>
    <x v="313"/>
    <n v="8082"/>
    <n v="2081.6999999999998"/>
    <n v="6415.1"/>
    <n v="0.63137640859999999"/>
    <n v="3745.4"/>
    <n v="0.36862359140000001"/>
    <x v="312"/>
    <n v="314"/>
    <n v="-3.2000000000007276"/>
    <n v="0.36850753170597322"/>
    <x v="2"/>
  </r>
  <r>
    <x v="314"/>
    <x v="0"/>
    <x v="10"/>
    <x v="1"/>
    <x v="10"/>
    <x v="1"/>
    <x v="15"/>
    <x v="3"/>
    <x v="314"/>
    <n v="10065.9"/>
    <n v="89.1"/>
    <n v="9956.7999999999993"/>
    <n v="0.98116851760000001"/>
    <n v="191.1"/>
    <n v="1.883148238E-2"/>
    <x v="313"/>
    <n v="315"/>
    <n v="-7.1000000000003638"/>
    <n v="1.8818316100443131E-2"/>
    <x v="2"/>
  </r>
  <r>
    <x v="315"/>
    <x v="0"/>
    <x v="1"/>
    <x v="0"/>
    <x v="0"/>
    <x v="0"/>
    <x v="7"/>
    <x v="1"/>
    <x v="315"/>
    <n v="9084.2000000000007"/>
    <n v="1067.9000000000001"/>
    <n v="7696.5"/>
    <n v="0.75889643750000002"/>
    <n v="2445.1999999999998"/>
    <n v="0.24110356249999998"/>
    <x v="314"/>
    <n v="316"/>
    <n v="-10.399999999999636"/>
    <n v="0.24085657154677353"/>
    <x v="2"/>
  </r>
  <r>
    <x v="316"/>
    <x v="0"/>
    <x v="17"/>
    <x v="5"/>
    <x v="15"/>
    <x v="1"/>
    <x v="8"/>
    <x v="0"/>
    <x v="316"/>
    <n v="8138.6"/>
    <n v="1988.4"/>
    <n v="5614.2"/>
    <n v="0.55462583350000005"/>
    <n v="4508.3"/>
    <n v="0.44537416649999995"/>
    <x v="315"/>
    <n v="317"/>
    <n v="-4.5"/>
    <n v="0.44517626147921402"/>
    <x v="2"/>
  </r>
  <r>
    <x v="317"/>
    <x v="0"/>
    <x v="17"/>
    <x v="5"/>
    <x v="7"/>
    <x v="0"/>
    <x v="3"/>
    <x v="2"/>
    <x v="317"/>
    <n v="9351.5"/>
    <n v="766.2"/>
    <n v="269.8"/>
    <n v="2.667141177E-2"/>
    <n v="9845.9"/>
    <n v="0.97332858820000001"/>
    <x v="316"/>
    <n v="318"/>
    <n v="-2"/>
    <n v="0.9731361870780908"/>
    <x v="2"/>
  </r>
  <r>
    <x v="318"/>
    <x v="0"/>
    <x v="2"/>
    <x v="0"/>
    <x v="5"/>
    <x v="1"/>
    <x v="0"/>
    <x v="0"/>
    <x v="318"/>
    <n v="8333.7000000000007"/>
    <n v="1782"/>
    <n v="8006.1"/>
    <n v="0.79205579740000009"/>
    <n v="2101.9"/>
    <n v="0.20794420259999999"/>
    <x v="317"/>
    <n v="319"/>
    <n v="-7.7000000000007276"/>
    <n v="0.20778591694099272"/>
    <x v="2"/>
  </r>
  <r>
    <x v="319"/>
    <x v="0"/>
    <x v="2"/>
    <x v="0"/>
    <x v="0"/>
    <x v="0"/>
    <x v="14"/>
    <x v="1"/>
    <x v="319"/>
    <n v="6587"/>
    <n v="3508.5"/>
    <n v="5050.8999999999996"/>
    <n v="0.50031202019999998"/>
    <n v="5044.6000000000004"/>
    <n v="0.49968797979999996"/>
    <x v="318"/>
    <n v="320"/>
    <n v="0"/>
    <n v="0.49968797979297713"/>
    <x v="2"/>
  </r>
  <r>
    <x v="320"/>
    <x v="2"/>
    <x v="1"/>
    <x v="0"/>
    <x v="13"/>
    <x v="1"/>
    <x v="2"/>
    <x v="0"/>
    <x v="320"/>
    <n v="3456.4"/>
    <n v="6591.9"/>
    <n v="257"/>
    <n v="2.557646567E-2"/>
    <n v="9791.2999999999993"/>
    <n v="0.97442353429999995"/>
    <x v="319"/>
    <n v="321"/>
    <n v="0"/>
    <n v="0.97442353432919004"/>
    <x v="2"/>
  </r>
  <r>
    <x v="321"/>
    <x v="0"/>
    <x v="0"/>
    <x v="0"/>
    <x v="5"/>
    <x v="0"/>
    <x v="9"/>
    <x v="1"/>
    <x v="321"/>
    <n v="9813.7000000000007"/>
    <n v="161.5"/>
    <n v="9795.7999999999993"/>
    <n v="0.98250787349999991"/>
    <n v="174.4"/>
    <n v="1.749212654E-2"/>
    <x v="320"/>
    <n v="322"/>
    <n v="-5"/>
    <n v="1.7483358729649529E-2"/>
    <x v="2"/>
  </r>
  <r>
    <x v="322"/>
    <x v="0"/>
    <x v="1"/>
    <x v="0"/>
    <x v="1"/>
    <x v="0"/>
    <x v="24"/>
    <x v="5"/>
    <x v="322"/>
    <n v="9956.4"/>
    <n v="0"/>
    <n v="9911.9"/>
    <n v="0.99621090300000004"/>
    <n v="37.700000000000003"/>
    <n v="3.7890970489999998E-3"/>
    <x v="321"/>
    <n v="323"/>
    <n v="-6.7999999999992724"/>
    <n v="3.786509180024909E-3"/>
    <x v="2"/>
  </r>
  <r>
    <x v="323"/>
    <x v="0"/>
    <x v="1"/>
    <x v="1"/>
    <x v="2"/>
    <x v="0"/>
    <x v="14"/>
    <x v="1"/>
    <x v="323"/>
    <n v="4105.3"/>
    <n v="5843.4"/>
    <n v="471.7"/>
    <n v="4.7413229870000004E-2"/>
    <n v="9477"/>
    <n v="0.95258677010000004"/>
    <x v="322"/>
    <n v="324"/>
    <n v="0"/>
    <n v="0.95258677013077075"/>
    <x v="2"/>
  </r>
  <r>
    <x v="324"/>
    <x v="0"/>
    <x v="0"/>
    <x v="0"/>
    <x v="5"/>
    <x v="1"/>
    <x v="5"/>
    <x v="3"/>
    <x v="324"/>
    <n v="9932.9"/>
    <n v="6.1"/>
    <n v="9864.7000000000007"/>
    <n v="0.99308393900000003"/>
    <n v="68.7"/>
    <n v="6.9160609660000004E-3"/>
    <x v="323"/>
    <n v="325"/>
    <n v="-5.6000000000003638"/>
    <n v="6.9121642016299429E-3"/>
    <x v="2"/>
  </r>
  <r>
    <x v="325"/>
    <x v="0"/>
    <x v="1"/>
    <x v="1"/>
    <x v="9"/>
    <x v="0"/>
    <x v="51"/>
    <x v="3"/>
    <x v="325"/>
    <n v="6239"/>
    <n v="3689.5"/>
    <n v="5931.4"/>
    <n v="0.59825508090000001"/>
    <n v="3983.1"/>
    <n v="0.40174491909999999"/>
    <x v="324"/>
    <n v="326"/>
    <n v="-14"/>
    <n v="0.40117842574407009"/>
    <x v="2"/>
  </r>
  <r>
    <x v="326"/>
    <x v="2"/>
    <x v="10"/>
    <x v="1"/>
    <x v="5"/>
    <x v="1"/>
    <x v="52"/>
    <x v="3"/>
    <x v="326"/>
    <n v="9921.1"/>
    <n v="6.1"/>
    <n v="7817.7"/>
    <n v="0.78851972889999999"/>
    <n v="2096.6999999999998"/>
    <n v="0.21148027110000001"/>
    <x v="325"/>
    <n v="327"/>
    <n v="-12.800000000001091"/>
    <n v="0.21120759126440483"/>
    <x v="2"/>
  </r>
  <r>
    <x v="327"/>
    <x v="0"/>
    <x v="2"/>
    <x v="0"/>
    <x v="5"/>
    <x v="1"/>
    <x v="35"/>
    <x v="3"/>
    <x v="327"/>
    <n v="9912.7999999999993"/>
    <n v="0"/>
    <n v="9909.5"/>
    <n v="1"/>
    <n v="0"/>
    <n v="0"/>
    <x v="326"/>
    <n v="328"/>
    <n v="-3.2999999999992724"/>
    <n v="0"/>
    <x v="2"/>
  </r>
  <r>
    <x v="328"/>
    <x v="2"/>
    <x v="32"/>
    <x v="8"/>
    <x v="5"/>
    <x v="1"/>
    <x v="17"/>
    <x v="4"/>
    <x v="328"/>
    <n v="9883"/>
    <n v="20.100000000000001"/>
    <n v="9351.9"/>
    <n v="0.94469361780000005"/>
    <n v="547.5"/>
    <n v="5.5306382200000004E-2"/>
    <x v="327"/>
    <n v="329"/>
    <n v="-3.7000000000007276"/>
    <n v="5.528571861336349E-2"/>
    <x v="2"/>
  </r>
  <r>
    <x v="329"/>
    <x v="0"/>
    <x v="1"/>
    <x v="0"/>
    <x v="11"/>
    <x v="1"/>
    <x v="8"/>
    <x v="0"/>
    <x v="329"/>
    <n v="6437"/>
    <n v="3432.3"/>
    <n v="4558.7"/>
    <n v="0.46190712610000001"/>
    <n v="5310.6"/>
    <n v="0.53809287390000005"/>
    <x v="328"/>
    <n v="330"/>
    <n v="0"/>
    <n v="0.53809287386136817"/>
    <x v="2"/>
  </r>
  <r>
    <x v="330"/>
    <x v="0"/>
    <x v="1"/>
    <x v="1"/>
    <x v="9"/>
    <x v="0"/>
    <x v="43"/>
    <x v="3"/>
    <x v="330"/>
    <n v="4889.8"/>
    <n v="4976.3999999999996"/>
    <n v="1538.9"/>
    <n v="0.15603390589999999"/>
    <n v="8323.7000000000007"/>
    <n v="0.84396609410000001"/>
    <x v="329"/>
    <n v="331"/>
    <n v="-3.6000000000003638"/>
    <n v="0.84365814599339162"/>
    <x v="2"/>
  </r>
  <r>
    <x v="331"/>
    <x v="1"/>
    <x v="2"/>
    <x v="0"/>
    <x v="1"/>
    <x v="0"/>
    <x v="14"/>
    <x v="1"/>
    <x v="331"/>
    <n v="4832.5"/>
    <n v="5032.8999999999996"/>
    <n v="2441.1"/>
    <n v="0.247586109"/>
    <n v="7418.5"/>
    <n v="0.75241389100000011"/>
    <x v="330"/>
    <n v="332"/>
    <n v="-5.7999999999992724"/>
    <n v="0.75197153688649221"/>
    <x v="2"/>
  </r>
  <r>
    <x v="332"/>
    <x v="0"/>
    <x v="10"/>
    <x v="1"/>
    <x v="9"/>
    <x v="0"/>
    <x v="44"/>
    <x v="5"/>
    <x v="332"/>
    <n v="8668.1"/>
    <n v="1197.3"/>
    <n v="2611.1"/>
    <n v="0.26497868889999998"/>
    <n v="7242.9"/>
    <n v="0.73502131109999991"/>
    <x v="330"/>
    <n v="332"/>
    <n v="-11.399999999999636"/>
    <n v="0.73417195450767325"/>
    <x v="2"/>
  </r>
  <r>
    <x v="333"/>
    <x v="1"/>
    <x v="1"/>
    <x v="0"/>
    <x v="1"/>
    <x v="0"/>
    <x v="27"/>
    <x v="4"/>
    <x v="333"/>
    <n v="9279.7000000000007"/>
    <n v="543.29999999999995"/>
    <n v="8953.2000000000007"/>
    <n v="0.91379697479999999"/>
    <n v="844.6"/>
    <n v="8.6203025170000003E-2"/>
    <x v="331"/>
    <n v="334"/>
    <n v="-25.200000000000728"/>
    <n v="8.5981879262954294E-2"/>
    <x v="2"/>
  </r>
  <r>
    <x v="334"/>
    <x v="0"/>
    <x v="1"/>
    <x v="0"/>
    <x v="0"/>
    <x v="0"/>
    <x v="15"/>
    <x v="3"/>
    <x v="334"/>
    <n v="4314.3"/>
    <n v="5425.4"/>
    <n v="31"/>
    <n v="3.1847133760000003E-3"/>
    <n v="9703"/>
    <n v="0.99681528659999996"/>
    <x v="332"/>
    <n v="335"/>
    <n v="-5.7000000000007276"/>
    <n v="0.99623191679415168"/>
    <x v="2"/>
  </r>
  <r>
    <x v="335"/>
    <x v="0"/>
    <x v="1"/>
    <x v="0"/>
    <x v="3"/>
    <x v="0"/>
    <x v="2"/>
    <x v="0"/>
    <x v="335"/>
    <n v="5586.8"/>
    <n v="4126.1000000000004"/>
    <n v="2334.8000000000002"/>
    <n v="0.2403788737"/>
    <n v="7378.2"/>
    <n v="0.75962112629999989"/>
    <x v="333"/>
    <n v="336"/>
    <n v="9.9999999998544808E-2"/>
    <n v="0.75962894707039075"/>
    <x v="2"/>
  </r>
  <r>
    <x v="336"/>
    <x v="0"/>
    <x v="1"/>
    <x v="0"/>
    <x v="17"/>
    <x v="1"/>
    <x v="9"/>
    <x v="1"/>
    <x v="336"/>
    <n v="9207.9"/>
    <n v="460.8"/>
    <n v="9168.2999999999993"/>
    <n v="0.9485004293"/>
    <n v="497.8"/>
    <n v="5.1499570660000001E-2"/>
    <x v="334"/>
    <n v="337"/>
    <n v="-2.5999999999985448"/>
    <n v="5.1485721968827253E-2"/>
    <x v="2"/>
  </r>
  <r>
    <x v="337"/>
    <x v="0"/>
    <x v="10"/>
    <x v="1"/>
    <x v="9"/>
    <x v="0"/>
    <x v="22"/>
    <x v="4"/>
    <x v="337"/>
    <n v="5573.7"/>
    <n v="4061"/>
    <n v="436.8"/>
    <n v="4.5457383699999993E-2"/>
    <n v="9172.2000000000007"/>
    <n v="0.95454261630000004"/>
    <x v="335"/>
    <n v="338"/>
    <n v="-25.700000000000728"/>
    <n v="0.95199642957227526"/>
    <x v="2"/>
  </r>
  <r>
    <x v="338"/>
    <x v="0"/>
    <x v="1"/>
    <x v="0"/>
    <x v="3"/>
    <x v="0"/>
    <x v="14"/>
    <x v="1"/>
    <x v="338"/>
    <n v="9454.2999999999993"/>
    <n v="63.4"/>
    <n v="1289.2"/>
    <n v="0.13550984369999999"/>
    <n v="8224.5"/>
    <n v="0.86449015630000003"/>
    <x v="336"/>
    <n v="339"/>
    <n v="-3.999999999998181"/>
    <n v="0.86412683736617046"/>
    <x v="2"/>
  </r>
  <r>
    <x v="339"/>
    <x v="0"/>
    <x v="11"/>
    <x v="0"/>
    <x v="3"/>
    <x v="1"/>
    <x v="14"/>
    <x v="1"/>
    <x v="339"/>
    <n v="9329.2999999999993"/>
    <n v="185.8"/>
    <n v="8793"/>
    <n v="0.92431409650000007"/>
    <n v="720"/>
    <n v="7.5685903499999999E-2"/>
    <x v="337"/>
    <n v="340"/>
    <n v="-2.0999999999985448"/>
    <n v="7.5669199482927149E-2"/>
    <x v="2"/>
  </r>
  <r>
    <x v="340"/>
    <x v="0"/>
    <x v="10"/>
    <x v="1"/>
    <x v="10"/>
    <x v="1"/>
    <x v="11"/>
    <x v="0"/>
    <x v="340"/>
    <n v="2467.8000000000002"/>
    <n v="7045.9"/>
    <n v="9278.4"/>
    <n v="0.97633453640000001"/>
    <n v="224.9"/>
    <n v="2.3665463580000001E-2"/>
    <x v="338"/>
    <n v="341"/>
    <n v="-10.400000000001455"/>
    <n v="2.3639593428424272E-2"/>
    <x v="2"/>
  </r>
  <r>
    <x v="341"/>
    <x v="0"/>
    <x v="1"/>
    <x v="1"/>
    <x v="14"/>
    <x v="0"/>
    <x v="8"/>
    <x v="0"/>
    <x v="341"/>
    <n v="6483.6"/>
    <n v="3011.7"/>
    <n v="4320.3999999999996"/>
    <n v="0.45500884659999996"/>
    <n v="5174.8"/>
    <n v="0.54499115340000004"/>
    <x v="339"/>
    <n v="342"/>
    <n v="-9.9999999998544808E-2"/>
    <n v="0.54498541383631904"/>
    <x v="2"/>
  </r>
  <r>
    <x v="342"/>
    <x v="0"/>
    <x v="2"/>
    <x v="0"/>
    <x v="6"/>
    <x v="1"/>
    <x v="8"/>
    <x v="0"/>
    <x v="342"/>
    <n v="4498.2"/>
    <n v="4948.6000000000004"/>
    <n v="5621.4"/>
    <n v="0.59549359629999998"/>
    <n v="3818.5"/>
    <n v="0.40450640370000002"/>
    <x v="340"/>
    <n v="343"/>
    <n v="-6.8999999999996362"/>
    <n v="0.40421094973959437"/>
    <x v="2"/>
  </r>
  <r>
    <x v="343"/>
    <x v="0"/>
    <x v="32"/>
    <x v="8"/>
    <x v="0"/>
    <x v="0"/>
    <x v="4"/>
    <x v="1"/>
    <x v="343"/>
    <n v="6110.3"/>
    <n v="3331.7"/>
    <n v="2399.1999999999998"/>
    <n v="0.25422525509999999"/>
    <n v="7038.1"/>
    <n v="0.74577474489999995"/>
    <x v="341"/>
    <n v="344"/>
    <n v="-4.7000000000007276"/>
    <n v="0.74540351620419409"/>
    <x v="2"/>
  </r>
  <r>
    <x v="344"/>
    <x v="1"/>
    <x v="2"/>
    <x v="0"/>
    <x v="5"/>
    <x v="1"/>
    <x v="2"/>
    <x v="0"/>
    <x v="344"/>
    <n v="8691.5"/>
    <n v="712.9"/>
    <n v="8081.2"/>
    <n v="0.85961067970000005"/>
    <n v="1319.8"/>
    <n v="0.14038932030000001"/>
    <x v="342"/>
    <n v="345"/>
    <n v="-3.3999999999996362"/>
    <n v="0.14033856492705543"/>
    <x v="2"/>
  </r>
  <r>
    <x v="345"/>
    <x v="0"/>
    <x v="1"/>
    <x v="0"/>
    <x v="0"/>
    <x v="0"/>
    <x v="16"/>
    <x v="0"/>
    <x v="345"/>
    <n v="4260.1000000000004"/>
    <n v="5102.2"/>
    <n v="1075.5999999999999"/>
    <n v="0.11488629929999999"/>
    <n v="8286.7000000000007"/>
    <n v="0.88511370069999995"/>
    <x v="343"/>
    <n v="346"/>
    <n v="0"/>
    <n v="0.88511370069320583"/>
    <x v="2"/>
  </r>
  <r>
    <x v="346"/>
    <x v="0"/>
    <x v="23"/>
    <x v="1"/>
    <x v="9"/>
    <x v="0"/>
    <x v="42"/>
    <x v="3"/>
    <x v="346"/>
    <n v="6691.7"/>
    <n v="2658.2"/>
    <n v="5230.2"/>
    <n v="0.55997259129999999"/>
    <n v="4109.8999999999996"/>
    <n v="0.44002740869999996"/>
    <x v="344"/>
    <n v="347"/>
    <n v="-9.7999999999992724"/>
    <n v="0.43956619856896861"/>
    <x v="2"/>
  </r>
  <r>
    <x v="347"/>
    <x v="0"/>
    <x v="1"/>
    <x v="0"/>
    <x v="0"/>
    <x v="0"/>
    <x v="17"/>
    <x v="4"/>
    <x v="347"/>
    <n v="5409.5"/>
    <n v="3905.3"/>
    <n v="1907.2"/>
    <n v="0.20474943100000001"/>
    <n v="7407.6"/>
    <n v="0.79525056899999991"/>
    <x v="345"/>
    <n v="348"/>
    <n v="0"/>
    <n v="0.79525056898698854"/>
    <x v="2"/>
  </r>
  <r>
    <x v="348"/>
    <x v="0"/>
    <x v="1"/>
    <x v="0"/>
    <x v="3"/>
    <x v="0"/>
    <x v="26"/>
    <x v="4"/>
    <x v="348"/>
    <n v="5809.3"/>
    <n v="3497.2"/>
    <n v="5699"/>
    <n v="0.61260467169999999"/>
    <n v="3603.9"/>
    <n v="0.38739532830000001"/>
    <x v="346"/>
    <n v="349"/>
    <n v="-3.6000000000003638"/>
    <n v="0.3872454735937248"/>
    <x v="2"/>
  </r>
  <r>
    <x v="349"/>
    <x v="0"/>
    <x v="1"/>
    <x v="0"/>
    <x v="5"/>
    <x v="0"/>
    <x v="53"/>
    <x v="3"/>
    <x v="349"/>
    <n v="9255.2000000000007"/>
    <n v="40.4"/>
    <n v="9207.2000000000007"/>
    <n v="0.99099118489999993"/>
    <n v="83.7"/>
    <n v="9.008815077E-3"/>
    <x v="347"/>
    <n v="350"/>
    <n v="-4.7000000000007276"/>
    <n v="9.004260080037867E-3"/>
    <x v="2"/>
  </r>
  <r>
    <x v="350"/>
    <x v="0"/>
    <x v="1"/>
    <x v="0"/>
    <x v="11"/>
    <x v="0"/>
    <x v="11"/>
    <x v="0"/>
    <x v="350"/>
    <n v="9212.7000000000007"/>
    <n v="8.3000000000000007"/>
    <n v="7646.2"/>
    <n v="0.82989092090000005"/>
    <n v="1567.3"/>
    <n v="0.1701090791"/>
    <x v="348"/>
    <n v="351"/>
    <n v="-7.5"/>
    <n v="0.16997071901095326"/>
    <x v="2"/>
  </r>
  <r>
    <x v="351"/>
    <x v="0"/>
    <x v="2"/>
    <x v="0"/>
    <x v="5"/>
    <x v="1"/>
    <x v="10"/>
    <x v="3"/>
    <x v="351"/>
    <n v="7752.7"/>
    <n v="1460.8"/>
    <n v="9165"/>
    <n v="0.99485476100000003"/>
    <n v="47.4"/>
    <n v="5.1452390260000001E-3"/>
    <x v="349"/>
    <n v="352"/>
    <n v="-1.1000000000003638"/>
    <n v="5.1446247354425571E-3"/>
    <x v="2"/>
  </r>
  <r>
    <x v="352"/>
    <x v="0"/>
    <x v="2"/>
    <x v="0"/>
    <x v="7"/>
    <x v="0"/>
    <x v="7"/>
    <x v="1"/>
    <x v="352"/>
    <n v="7645.1"/>
    <n v="1564.1"/>
    <n v="36.4"/>
    <n v="3.9536424560000002E-3"/>
    <n v="9170.2999999999993"/>
    <n v="0.99604635750000003"/>
    <x v="350"/>
    <n v="353"/>
    <n v="-2.5"/>
    <n v="0.99577596316726735"/>
    <x v="2"/>
  </r>
  <r>
    <x v="353"/>
    <x v="0"/>
    <x v="1"/>
    <x v="0"/>
    <x v="1"/>
    <x v="0"/>
    <x v="27"/>
    <x v="4"/>
    <x v="353"/>
    <n v="7949"/>
    <n v="1236.7"/>
    <n v="7238.3"/>
    <n v="0.78870062649999995"/>
    <n v="1939.2"/>
    <n v="0.2112993735"/>
    <x v="351"/>
    <n v="354"/>
    <n v="-8.2000000000007276"/>
    <n v="0.21111074822822429"/>
    <x v="2"/>
  </r>
  <r>
    <x v="354"/>
    <x v="0"/>
    <x v="4"/>
    <x v="1"/>
    <x v="9"/>
    <x v="0"/>
    <x v="51"/>
    <x v="3"/>
    <x v="354"/>
    <n v="4954.8"/>
    <n v="4166.8"/>
    <n v="4039.5"/>
    <n v="0.44284993859999999"/>
    <n v="5082.1000000000004"/>
    <n v="0.55715006140000001"/>
    <x v="352"/>
    <n v="355"/>
    <n v="0"/>
    <n v="0.55715006139273815"/>
    <x v="2"/>
  </r>
  <r>
    <x v="355"/>
    <x v="1"/>
    <x v="1"/>
    <x v="0"/>
    <x v="1"/>
    <x v="0"/>
    <x v="10"/>
    <x v="3"/>
    <x v="355"/>
    <n v="7543"/>
    <n v="1578.6"/>
    <n v="2706.2"/>
    <n v="0.29687242889999998"/>
    <n v="6409.5"/>
    <n v="0.70312757110000002"/>
    <x v="352"/>
    <n v="355"/>
    <n v="-5.8999999999996362"/>
    <n v="0.70267277670584105"/>
    <x v="2"/>
  </r>
  <r>
    <x v="356"/>
    <x v="0"/>
    <x v="10"/>
    <x v="1"/>
    <x v="0"/>
    <x v="1"/>
    <x v="18"/>
    <x v="2"/>
    <x v="356"/>
    <n v="8630.9"/>
    <n v="487.3"/>
    <n v="5817.4"/>
    <n v="0.63874828439999998"/>
    <n v="3290.1"/>
    <n v="0.36125171559999997"/>
    <x v="353"/>
    <n v="357"/>
    <n v="-10.699999999998909"/>
    <n v="0.36082779495953154"/>
    <x v="2"/>
  </r>
  <r>
    <x v="357"/>
    <x v="0"/>
    <x v="1"/>
    <x v="0"/>
    <x v="0"/>
    <x v="0"/>
    <x v="25"/>
    <x v="2"/>
    <x v="357"/>
    <n v="4560.6000000000004"/>
    <n v="4524.3"/>
    <n v="1805.2"/>
    <n v="0.1987033429"/>
    <n v="7279.7"/>
    <n v="0.80129665709999998"/>
    <x v="354"/>
    <n v="358"/>
    <n v="0"/>
    <n v="0.80129665709033659"/>
    <x v="2"/>
  </r>
  <r>
    <x v="358"/>
    <x v="0"/>
    <x v="10"/>
    <x v="1"/>
    <x v="10"/>
    <x v="0"/>
    <x v="7"/>
    <x v="1"/>
    <x v="358"/>
    <n v="3472"/>
    <n v="5604.3"/>
    <n v="752.1"/>
    <n v="8.2863249749999993E-2"/>
    <n v="8324.2999999999993"/>
    <n v="0.91713675030000008"/>
    <x v="355"/>
    <n v="359"/>
    <n v="0.1000000000003638"/>
    <n v="0.91714685499597848"/>
    <x v="2"/>
  </r>
  <r>
    <x v="359"/>
    <x v="0"/>
    <x v="33"/>
    <x v="1"/>
    <x v="9"/>
    <x v="0"/>
    <x v="16"/>
    <x v="0"/>
    <x v="359"/>
    <n v="5112.2"/>
    <n v="3944.3"/>
    <n v="561.5"/>
    <n v="6.199966875E-2"/>
    <n v="8495"/>
    <n v="0.93800033130000005"/>
    <x v="356"/>
    <n v="360"/>
    <n v="0"/>
    <n v="0.93800033125379567"/>
    <x v="2"/>
  </r>
  <r>
    <x v="360"/>
    <x v="1"/>
    <x v="8"/>
    <x v="3"/>
    <x v="8"/>
    <x v="0"/>
    <x v="54"/>
    <x v="3"/>
    <x v="360"/>
    <n v="2897.2"/>
    <n v="6102.8"/>
    <n v="551.1"/>
    <n v="6.1313722439999996E-2"/>
    <n v="8437.1"/>
    <n v="0.93868627760000001"/>
    <x v="357"/>
    <n v="361"/>
    <n v="-11.799999999999272"/>
    <n v="0.9374555555555556"/>
    <x v="2"/>
  </r>
  <r>
    <x v="361"/>
    <x v="0"/>
    <x v="4"/>
    <x v="1"/>
    <x v="2"/>
    <x v="0"/>
    <x v="26"/>
    <x v="4"/>
    <x v="361"/>
    <n v="6387.9"/>
    <n v="2587.4"/>
    <n v="1238.0999999999999"/>
    <n v="0.13810373679999999"/>
    <n v="7726.9"/>
    <n v="0.86189626320000001"/>
    <x v="358"/>
    <n v="362"/>
    <n v="-10.299999999999272"/>
    <n v="0.86090715630675296"/>
    <x v="2"/>
  </r>
  <r>
    <x v="362"/>
    <x v="1"/>
    <x v="33"/>
    <x v="1"/>
    <x v="2"/>
    <x v="0"/>
    <x v="8"/>
    <x v="0"/>
    <x v="362"/>
    <n v="3564"/>
    <n v="5398.2"/>
    <n v="687.9"/>
    <n v="7.6773696720000006E-2"/>
    <n v="8272.2000000000007"/>
    <n v="0.9232263033"/>
    <x v="359"/>
    <n v="363"/>
    <n v="-2.1000000000003638"/>
    <n v="0.9230099752292964"/>
    <x v="2"/>
  </r>
  <r>
    <x v="363"/>
    <x v="0"/>
    <x v="1"/>
    <x v="0"/>
    <x v="5"/>
    <x v="0"/>
    <x v="23"/>
    <x v="3"/>
    <x v="363"/>
    <n v="8741.2000000000007"/>
    <n v="189.7"/>
    <n v="8713.2999999999993"/>
    <n v="0.9759957883"/>
    <n v="214.3"/>
    <n v="2.400421166E-2"/>
    <x v="360"/>
    <n v="364"/>
    <n v="-3.3000000000010914"/>
    <n v="2.3995342014802537E-2"/>
    <x v="2"/>
  </r>
  <r>
    <x v="364"/>
    <x v="0"/>
    <x v="10"/>
    <x v="1"/>
    <x v="10"/>
    <x v="0"/>
    <x v="4"/>
    <x v="1"/>
    <x v="364"/>
    <n v="8080"/>
    <n v="844.9"/>
    <n v="7975.8"/>
    <n v="0.89454912519999996"/>
    <n v="940.2"/>
    <n v="0.1054508748"/>
    <x v="361"/>
    <n v="365"/>
    <n v="-8.8999999999996362"/>
    <n v="0.10534571815930711"/>
    <x v="2"/>
  </r>
  <r>
    <x v="365"/>
    <x v="0"/>
    <x v="1"/>
    <x v="0"/>
    <x v="1"/>
    <x v="1"/>
    <x v="0"/>
    <x v="0"/>
    <x v="365"/>
    <n v="6844.4"/>
    <n v="2067.6999999999998"/>
    <n v="6517.9"/>
    <n v="0.73153458509999991"/>
    <n v="2392"/>
    <n v="0.26846541489999998"/>
    <x v="362"/>
    <n v="366"/>
    <n v="-2.1999999999989086"/>
    <n v="0.26839914273852405"/>
    <x v="2"/>
  </r>
  <r>
    <x v="366"/>
    <x v="0"/>
    <x v="12"/>
    <x v="4"/>
    <x v="13"/>
    <x v="0"/>
    <x v="55"/>
    <x v="3"/>
    <x v="366"/>
    <n v="8155.5"/>
    <n v="751.4"/>
    <n v="5041.5"/>
    <n v="0.56602184820000001"/>
    <n v="3865.4"/>
    <n v="0.43397815180000004"/>
    <x v="363"/>
    <n v="367"/>
    <n v="0"/>
    <n v="0.43397815176997612"/>
    <x v="2"/>
  </r>
  <r>
    <x v="367"/>
    <x v="1"/>
    <x v="1"/>
    <x v="0"/>
    <x v="1"/>
    <x v="0"/>
    <x v="8"/>
    <x v="0"/>
    <x v="367"/>
    <n v="4219.1000000000004"/>
    <n v="4681.7"/>
    <n v="2876.3"/>
    <n v="0.32319430089999995"/>
    <n v="6023.3"/>
    <n v="0.67680569909999999"/>
    <x v="364"/>
    <n v="368"/>
    <n v="-1.1999999999989086"/>
    <n v="0.67671445263347119"/>
    <x v="2"/>
  </r>
  <r>
    <x v="368"/>
    <x v="0"/>
    <x v="1"/>
    <x v="0"/>
    <x v="18"/>
    <x v="1"/>
    <x v="29"/>
    <x v="3"/>
    <x v="368"/>
    <n v="8855.1"/>
    <n v="0"/>
    <n v="8823.4"/>
    <n v="0.99718590009999997"/>
    <n v="24.9"/>
    <n v="2.814099884E-3"/>
    <x v="365"/>
    <n v="369"/>
    <n v="-6.8000000000010914"/>
    <n v="2.8119388826777785E-3"/>
    <x v="2"/>
  </r>
  <r>
    <x v="369"/>
    <x v="1"/>
    <x v="1"/>
    <x v="0"/>
    <x v="1"/>
    <x v="0"/>
    <x v="9"/>
    <x v="1"/>
    <x v="369"/>
    <n v="6995.1"/>
    <n v="1840.3"/>
    <n v="6603.2"/>
    <n v="0.74772958889999996"/>
    <n v="2227.8000000000002"/>
    <n v="0.25227041109999998"/>
    <x v="366"/>
    <n v="370"/>
    <n v="-4.3999999999996362"/>
    <n v="0.25214478122099737"/>
    <x v="2"/>
  </r>
  <r>
    <x v="370"/>
    <x v="1"/>
    <x v="1"/>
    <x v="0"/>
    <x v="3"/>
    <x v="0"/>
    <x v="46"/>
    <x v="3"/>
    <x v="370"/>
    <n v="7564.4"/>
    <n v="1267.8"/>
    <n v="6762.6"/>
    <n v="0.76597046030000004"/>
    <n v="2066.1999999999998"/>
    <n v="0.23402953969999998"/>
    <x v="367"/>
    <n v="371"/>
    <n v="-3.3999999999996362"/>
    <n v="0.23393944883494486"/>
    <x v="2"/>
  </r>
  <r>
    <x v="371"/>
    <x v="1"/>
    <x v="14"/>
    <x v="0"/>
    <x v="1"/>
    <x v="0"/>
    <x v="0"/>
    <x v="0"/>
    <x v="371"/>
    <n v="5689.4"/>
    <n v="3122.8"/>
    <n v="4223.1000000000004"/>
    <n v="0.47938565620000001"/>
    <n v="4586.3"/>
    <n v="0.52061434380000005"/>
    <x v="368"/>
    <n v="372"/>
    <n v="-2.8000000000010914"/>
    <n v="0.52044892308390633"/>
    <x v="2"/>
  </r>
  <r>
    <x v="372"/>
    <x v="0"/>
    <x v="1"/>
    <x v="1"/>
    <x v="2"/>
    <x v="0"/>
    <x v="8"/>
    <x v="0"/>
    <x v="372"/>
    <n v="1220.5999999999999"/>
    <n v="7581"/>
    <n v="0"/>
    <n v="0"/>
    <n v="8801.6"/>
    <n v="1"/>
    <x v="369"/>
    <n v="373"/>
    <n v="0"/>
    <n v="1"/>
    <x v="2"/>
  </r>
  <r>
    <x v="373"/>
    <x v="1"/>
    <x v="2"/>
    <x v="0"/>
    <x v="20"/>
    <x v="0"/>
    <x v="20"/>
    <x v="2"/>
    <x v="373"/>
    <n v="8238.2000000000007"/>
    <n v="547.70000000000005"/>
    <n v="7557.9"/>
    <n v="0.86076944100000008"/>
    <n v="1222.5"/>
    <n v="0.139230559"/>
    <x v="370"/>
    <n v="374"/>
    <n v="-5.500000000001819"/>
    <n v="0.13914340022080832"/>
    <x v="2"/>
  </r>
  <r>
    <x v="374"/>
    <x v="0"/>
    <x v="1"/>
    <x v="0"/>
    <x v="1"/>
    <x v="1"/>
    <x v="8"/>
    <x v="0"/>
    <x v="374"/>
    <n v="7850.9"/>
    <n v="932.8"/>
    <n v="8155.1"/>
    <n v="0.92883745829999997"/>
    <n v="624.79999999999995"/>
    <n v="7.1162541709999999E-2"/>
    <x v="371"/>
    <n v="375"/>
    <n v="-3.7999999999992724"/>
    <n v="7.1131755410590081E-2"/>
    <x v="2"/>
  </r>
  <r>
    <x v="375"/>
    <x v="0"/>
    <x v="8"/>
    <x v="3"/>
    <x v="8"/>
    <x v="0"/>
    <x v="7"/>
    <x v="1"/>
    <x v="375"/>
    <n v="2987.7"/>
    <n v="5745.3"/>
    <n v="6.8"/>
    <n v="7.7865567389999999E-4"/>
    <n v="8726.2000000000007"/>
    <n v="0.99922134429999998"/>
    <x v="372"/>
    <n v="376"/>
    <n v="0"/>
    <n v="0.99922134432611942"/>
    <x v="2"/>
  </r>
  <r>
    <x v="376"/>
    <x v="0"/>
    <x v="2"/>
    <x v="0"/>
    <x v="0"/>
    <x v="0"/>
    <x v="7"/>
    <x v="1"/>
    <x v="376"/>
    <n v="7648.8"/>
    <n v="1071.5999999999999"/>
    <n v="2526.6999999999998"/>
    <n v="0.28991876259999999"/>
    <n v="6188.5"/>
    <n v="0.71008123740000006"/>
    <x v="373"/>
    <n v="377"/>
    <n v="-5.1999999999989086"/>
    <n v="0.70965781386174953"/>
    <x v="2"/>
  </r>
  <r>
    <x v="377"/>
    <x v="1"/>
    <x v="0"/>
    <x v="0"/>
    <x v="1"/>
    <x v="0"/>
    <x v="18"/>
    <x v="2"/>
    <x v="377"/>
    <n v="8477.2999999999993"/>
    <n v="233"/>
    <n v="8083.8"/>
    <n v="0.92848938709999995"/>
    <n v="622.6"/>
    <n v="7.1510612880000005E-2"/>
    <x v="374"/>
    <n v="378"/>
    <n v="-3.8999999999996362"/>
    <n v="7.1478594307888374E-2"/>
    <x v="2"/>
  </r>
  <r>
    <x v="378"/>
    <x v="0"/>
    <x v="34"/>
    <x v="0"/>
    <x v="7"/>
    <x v="0"/>
    <x v="14"/>
    <x v="1"/>
    <x v="378"/>
    <n v="8316.2000000000007"/>
    <n v="386.2"/>
    <n v="1923.6"/>
    <n v="0.22112378150000001"/>
    <n v="6775.6"/>
    <n v="0.77887621849999999"/>
    <x v="375"/>
    <n v="379"/>
    <n v="-3.2000000000007276"/>
    <n v="0.7785898143040999"/>
    <x v="2"/>
  </r>
  <r>
    <x v="379"/>
    <x v="0"/>
    <x v="1"/>
    <x v="0"/>
    <x v="5"/>
    <x v="1"/>
    <x v="20"/>
    <x v="2"/>
    <x v="379"/>
    <n v="8598.1"/>
    <n v="54"/>
    <n v="8555.2000000000007"/>
    <n v="0.9892920743000001"/>
    <n v="92.6"/>
    <n v="1.0707925720000001E-2"/>
    <x v="376"/>
    <n v="380"/>
    <n v="-4.3000000000010914"/>
    <n v="1.0702603992094403E-2"/>
    <x v="2"/>
  </r>
  <r>
    <x v="380"/>
    <x v="0"/>
    <x v="10"/>
    <x v="1"/>
    <x v="10"/>
    <x v="0"/>
    <x v="39"/>
    <x v="3"/>
    <x v="380"/>
    <n v="8534"/>
    <n v="98.1"/>
    <n v="7271"/>
    <n v="0.8432980363999999"/>
    <n v="1351.1"/>
    <n v="0.15670196359999999"/>
    <x v="377"/>
    <n v="381"/>
    <n v="-10"/>
    <n v="0.15652042955943513"/>
    <x v="2"/>
  </r>
  <r>
    <x v="381"/>
    <x v="0"/>
    <x v="10"/>
    <x v="1"/>
    <x v="9"/>
    <x v="0"/>
    <x v="41"/>
    <x v="3"/>
    <x v="381"/>
    <n v="7717.5"/>
    <n v="899.6"/>
    <n v="6368.3"/>
    <n v="0.73903053229999993"/>
    <n v="2248.8000000000002"/>
    <n v="0.26096946770000001"/>
    <x v="378"/>
    <n v="382"/>
    <n v="0"/>
    <n v="0.2609694676863446"/>
    <x v="2"/>
  </r>
  <r>
    <x v="382"/>
    <x v="0"/>
    <x v="2"/>
    <x v="0"/>
    <x v="6"/>
    <x v="1"/>
    <x v="9"/>
    <x v="1"/>
    <x v="382"/>
    <n v="8578.7000000000007"/>
    <n v="15.4"/>
    <n v="7995.8"/>
    <n v="0.93070735989999998"/>
    <n v="595.29999999999995"/>
    <n v="6.9292640060000008E-2"/>
    <x v="379"/>
    <n v="383"/>
    <n v="-3"/>
    <n v="6.9268451612152518E-2"/>
    <x v="2"/>
  </r>
  <r>
    <x v="383"/>
    <x v="0"/>
    <x v="8"/>
    <x v="3"/>
    <x v="8"/>
    <x v="1"/>
    <x v="2"/>
    <x v="0"/>
    <x v="383"/>
    <n v="6741.1"/>
    <n v="1843.2"/>
    <n v="20"/>
    <n v="2.329861839E-3"/>
    <n v="8564.2000000000007"/>
    <n v="0.99767013820000006"/>
    <x v="380"/>
    <n v="384"/>
    <n v="-0.1000000000003638"/>
    <n v="0.9976585161282806"/>
    <x v="2"/>
  </r>
  <r>
    <x v="384"/>
    <x v="0"/>
    <x v="1"/>
    <x v="0"/>
    <x v="0"/>
    <x v="0"/>
    <x v="14"/>
    <x v="1"/>
    <x v="384"/>
    <n v="5566.1"/>
    <n v="3001.4"/>
    <n v="3239"/>
    <n v="0.37818903609999999"/>
    <n v="5325.5"/>
    <n v="0.62181096390000001"/>
    <x v="381"/>
    <n v="385"/>
    <n v="-3"/>
    <n v="0.62159323023052238"/>
    <x v="2"/>
  </r>
  <r>
    <x v="385"/>
    <x v="0"/>
    <x v="0"/>
    <x v="0"/>
    <x v="0"/>
    <x v="0"/>
    <x v="17"/>
    <x v="4"/>
    <x v="385"/>
    <n v="5619.6"/>
    <n v="2944.9"/>
    <n v="1852.6"/>
    <n v="0.2163140442"/>
    <n v="6711.8"/>
    <n v="0.7836859558"/>
    <x v="382"/>
    <n v="386"/>
    <n v="-0.1000000000003638"/>
    <n v="0.78367680541771267"/>
    <x v="2"/>
  </r>
  <r>
    <x v="386"/>
    <x v="0"/>
    <x v="1"/>
    <x v="0"/>
    <x v="5"/>
    <x v="0"/>
    <x v="25"/>
    <x v="2"/>
    <x v="386"/>
    <n v="8199.2999999999993"/>
    <n v="355"/>
    <n v="7907.6"/>
    <n v="0.92471408190000004"/>
    <n v="643.79999999999995"/>
    <n v="7.5285918100000002E-2"/>
    <x v="383"/>
    <n v="387"/>
    <n v="-2.8999999999996362"/>
    <n v="7.5260395356721188E-2"/>
    <x v="2"/>
  </r>
  <r>
    <x v="387"/>
    <x v="2"/>
    <x v="5"/>
    <x v="2"/>
    <x v="4"/>
    <x v="1"/>
    <x v="7"/>
    <x v="1"/>
    <x v="387"/>
    <n v="8465.7000000000007"/>
    <n v="70"/>
    <n v="8284.9"/>
    <n v="0.97111811800000003"/>
    <n v="246.4"/>
    <n v="2.8881882010000002E-2"/>
    <x v="384"/>
    <n v="388"/>
    <n v="-4.4000000000014552"/>
    <n v="2.8866993919655092E-2"/>
    <x v="2"/>
  </r>
  <r>
    <x v="388"/>
    <x v="0"/>
    <x v="21"/>
    <x v="0"/>
    <x v="5"/>
    <x v="1"/>
    <x v="16"/>
    <x v="0"/>
    <x v="388"/>
    <n v="8483.9"/>
    <n v="29.2"/>
    <n v="6435.4"/>
    <n v="0.75626064990000008"/>
    <n v="2074.1"/>
    <n v="0.2437393501"/>
    <x v="385"/>
    <n v="389"/>
    <n v="-3.6000000000003638"/>
    <n v="0.24363627820652875"/>
    <x v="2"/>
  </r>
  <r>
    <x v="389"/>
    <x v="1"/>
    <x v="22"/>
    <x v="1"/>
    <x v="1"/>
    <x v="0"/>
    <x v="19"/>
    <x v="4"/>
    <x v="389"/>
    <n v="5811.9"/>
    <n v="2696"/>
    <n v="1929.8"/>
    <n v="0.22682448080000001"/>
    <n v="6578.1"/>
    <n v="0.77317551920000005"/>
    <x v="386"/>
    <n v="390"/>
    <n v="0"/>
    <n v="0.77317551922331018"/>
    <x v="2"/>
  </r>
  <r>
    <x v="390"/>
    <x v="2"/>
    <x v="1"/>
    <x v="0"/>
    <x v="1"/>
    <x v="1"/>
    <x v="5"/>
    <x v="3"/>
    <x v="390"/>
    <n v="8144"/>
    <n v="346"/>
    <n v="8125.7"/>
    <n v="0.95755311750000005"/>
    <n v="360.2"/>
    <n v="4.2446882480000003E-2"/>
    <x v="387"/>
    <n v="391"/>
    <n v="-4.1000000000003638"/>
    <n v="4.2426383981154295E-2"/>
    <x v="2"/>
  </r>
  <r>
    <x v="391"/>
    <x v="0"/>
    <x v="5"/>
    <x v="2"/>
    <x v="4"/>
    <x v="0"/>
    <x v="1"/>
    <x v="1"/>
    <x v="391"/>
    <n v="7819.3"/>
    <n v="656.6"/>
    <n v="6967.6"/>
    <n v="0.82233945870000003"/>
    <n v="1505.3"/>
    <n v="0.1776605413"/>
    <x v="388"/>
    <n v="392"/>
    <n v="-3"/>
    <n v="0.17759765924562584"/>
    <x v="2"/>
  </r>
  <r>
    <x v="392"/>
    <x v="0"/>
    <x v="1"/>
    <x v="1"/>
    <x v="2"/>
    <x v="1"/>
    <x v="3"/>
    <x v="2"/>
    <x v="392"/>
    <n v="369.6"/>
    <n v="8087.7"/>
    <n v="1.3"/>
    <n v="1.5371154260000001E-4"/>
    <n v="8456.1"/>
    <n v="0.99984628850000012"/>
    <x v="389"/>
    <n v="393"/>
    <n v="0.1000000000003638"/>
    <n v="0.99985811074456399"/>
    <x v="2"/>
  </r>
  <r>
    <x v="393"/>
    <x v="0"/>
    <x v="1"/>
    <x v="0"/>
    <x v="0"/>
    <x v="0"/>
    <x v="26"/>
    <x v="4"/>
    <x v="393"/>
    <n v="6568.5"/>
    <n v="1885.2"/>
    <n v="4039.2"/>
    <n v="0.47780261899999998"/>
    <n v="4414.5"/>
    <n v="0.52219738100000002"/>
    <x v="390"/>
    <n v="394"/>
    <n v="0"/>
    <n v="0.52219738102842539"/>
    <x v="2"/>
  </r>
  <r>
    <x v="394"/>
    <x v="0"/>
    <x v="35"/>
    <x v="7"/>
    <x v="0"/>
    <x v="0"/>
    <x v="1"/>
    <x v="1"/>
    <x v="394"/>
    <n v="6942.6"/>
    <n v="1509.4"/>
    <n v="3538.8"/>
    <n v="0.41931394040000003"/>
    <n v="4900.7"/>
    <n v="0.58068605959999997"/>
    <x v="391"/>
    <n v="395"/>
    <n v="-12.5"/>
    <n v="0.57982725982016092"/>
    <x v="2"/>
  </r>
  <r>
    <x v="395"/>
    <x v="0"/>
    <x v="10"/>
    <x v="1"/>
    <x v="10"/>
    <x v="1"/>
    <x v="8"/>
    <x v="0"/>
    <x v="395"/>
    <n v="7838.5"/>
    <n v="603.29999999999995"/>
    <n v="7244.3"/>
    <n v="0.8589603737"/>
    <n v="1189.5"/>
    <n v="0.1410396263"/>
    <x v="392"/>
    <n v="396"/>
    <n v="-8"/>
    <n v="0.14090596792153334"/>
    <x v="2"/>
  </r>
  <r>
    <x v="396"/>
    <x v="1"/>
    <x v="1"/>
    <x v="0"/>
    <x v="1"/>
    <x v="0"/>
    <x v="17"/>
    <x v="4"/>
    <x v="396"/>
    <n v="8387.7999999999993"/>
    <n v="0"/>
    <n v="8380.2999999999993"/>
    <n v="0.9996898448"/>
    <n v="2.6"/>
    <n v="3.1015519689999999E-4"/>
    <x v="393"/>
    <n v="397"/>
    <n v="-4.8999999999996362"/>
    <n v="3.0997400987148007E-4"/>
    <x v="2"/>
  </r>
  <r>
    <x v="397"/>
    <x v="0"/>
    <x v="1"/>
    <x v="0"/>
    <x v="20"/>
    <x v="0"/>
    <x v="28"/>
    <x v="3"/>
    <x v="397"/>
    <n v="7723.5"/>
    <n v="648"/>
    <n v="7485.7"/>
    <n v="0.89418861609999989"/>
    <n v="885.8"/>
    <n v="0.1058113839"/>
    <x v="394"/>
    <n v="398"/>
    <n v="0"/>
    <n v="0.10581138386191244"/>
    <x v="2"/>
  </r>
  <r>
    <x v="398"/>
    <x v="0"/>
    <x v="1"/>
    <x v="0"/>
    <x v="0"/>
    <x v="0"/>
    <x v="13"/>
    <x v="3"/>
    <x v="398"/>
    <n v="1884.2"/>
    <n v="6486.7"/>
    <n v="175.8"/>
    <n v="2.1001326019999999E-2"/>
    <n v="8195.1"/>
    <n v="0.97899867400000007"/>
    <x v="395"/>
    <n v="399"/>
    <n v="0"/>
    <n v="0.97899867397770857"/>
    <x v="2"/>
  </r>
  <r>
    <x v="399"/>
    <x v="0"/>
    <x v="2"/>
    <x v="0"/>
    <x v="1"/>
    <x v="0"/>
    <x v="20"/>
    <x v="2"/>
    <x v="399"/>
    <n v="6159.1"/>
    <n v="2210.1"/>
    <n v="10.3"/>
    <n v="1.2311296510000001E-3"/>
    <n v="8356"/>
    <n v="0.99876887030000006"/>
    <x v="396"/>
    <n v="400"/>
    <n v="-2.9000000000014552"/>
    <n v="0.99842278831907461"/>
    <x v="2"/>
  </r>
  <r>
    <x v="400"/>
    <x v="1"/>
    <x v="1"/>
    <x v="0"/>
    <x v="1"/>
    <x v="0"/>
    <x v="18"/>
    <x v="2"/>
    <x v="400"/>
    <n v="7864.3"/>
    <n v="477.4"/>
    <n v="7297.4"/>
    <n v="0.87506145599999996"/>
    <n v="1041.9000000000001"/>
    <n v="0.124938544"/>
    <x v="397"/>
    <n v="401"/>
    <n v="-2.4000000000014552"/>
    <n v="0.12490259779181702"/>
    <x v="2"/>
  </r>
  <r>
    <x v="401"/>
    <x v="0"/>
    <x v="1"/>
    <x v="0"/>
    <x v="5"/>
    <x v="1"/>
    <x v="42"/>
    <x v="3"/>
    <x v="401"/>
    <n v="8328.6"/>
    <n v="5.6"/>
    <n v="8188.5"/>
    <n v="0.982966004"/>
    <n v="141.9"/>
    <n v="1.703399597E-2"/>
    <x v="398"/>
    <n v="402"/>
    <n v="-3.8000000000010914"/>
    <n v="1.7026229272155694E-2"/>
    <x v="2"/>
  </r>
  <r>
    <x v="402"/>
    <x v="0"/>
    <x v="12"/>
    <x v="4"/>
    <x v="0"/>
    <x v="0"/>
    <x v="0"/>
    <x v="0"/>
    <x v="402"/>
    <n v="4696.3999999999996"/>
    <n v="3630.4"/>
    <n v="1125.8"/>
    <n v="0.1352036221"/>
    <n v="7200.9"/>
    <n v="0.86479637789999997"/>
    <x v="399"/>
    <n v="403"/>
    <n v="-9.9999999998544808E-2"/>
    <n v="0.86478599221789887"/>
    <x v="2"/>
  </r>
  <r>
    <x v="403"/>
    <x v="1"/>
    <x v="12"/>
    <x v="4"/>
    <x v="21"/>
    <x v="0"/>
    <x v="54"/>
    <x v="3"/>
    <x v="403"/>
    <n v="8317.7999999999993"/>
    <n v="0"/>
    <n v="8289"/>
    <n v="0.99669332049999992"/>
    <n v="27.5"/>
    <n v="3.3066794930000001E-3"/>
    <x v="400"/>
    <n v="404"/>
    <n v="-1.2999999999992724"/>
    <n v="3.3061626872490325E-3"/>
    <x v="2"/>
  </r>
  <r>
    <x v="404"/>
    <x v="0"/>
    <x v="22"/>
    <x v="1"/>
    <x v="0"/>
    <x v="0"/>
    <x v="24"/>
    <x v="5"/>
    <x v="404"/>
    <n v="5592"/>
    <n v="2724.4"/>
    <n v="3545.8"/>
    <n v="0.42673695109999998"/>
    <n v="4763.3"/>
    <n v="0.57326304890000002"/>
    <x v="401"/>
    <n v="405"/>
    <n v="-7.2999999999992724"/>
    <n v="0.57275984801115876"/>
    <x v="2"/>
  </r>
  <r>
    <x v="405"/>
    <x v="0"/>
    <x v="1"/>
    <x v="1"/>
    <x v="2"/>
    <x v="0"/>
    <x v="27"/>
    <x v="4"/>
    <x v="405"/>
    <n v="6707"/>
    <n v="1607.4"/>
    <n v="999.5"/>
    <n v="0.12067903839999999"/>
    <n v="7282.8"/>
    <n v="0.87932096159999995"/>
    <x v="402"/>
    <n v="406"/>
    <n v="-32.100000000000364"/>
    <n v="0.87592610410853466"/>
    <x v="2"/>
  </r>
  <r>
    <x v="406"/>
    <x v="0"/>
    <x v="12"/>
    <x v="0"/>
    <x v="7"/>
    <x v="0"/>
    <x v="1"/>
    <x v="1"/>
    <x v="406"/>
    <n v="4898.7"/>
    <n v="3389.6"/>
    <n v="53.5"/>
    <n v="6.4623672799999999E-3"/>
    <n v="8225.2000000000007"/>
    <n v="0.99353763270000006"/>
    <x v="403"/>
    <n v="407"/>
    <n v="-9.5999999999985448"/>
    <n v="0.99238685858378695"/>
    <x v="2"/>
  </r>
  <r>
    <x v="407"/>
    <x v="0"/>
    <x v="21"/>
    <x v="0"/>
    <x v="1"/>
    <x v="0"/>
    <x v="8"/>
    <x v="0"/>
    <x v="407"/>
    <n v="3585.1"/>
    <n v="4693.6000000000004"/>
    <n v="6241"/>
    <n v="0.75529468719999993"/>
    <n v="2022"/>
    <n v="0.24470531279999999"/>
    <x v="404"/>
    <n v="408"/>
    <n v="-15.700000000000728"/>
    <n v="0.24424124560619417"/>
    <x v="2"/>
  </r>
  <r>
    <x v="408"/>
    <x v="0"/>
    <x v="1"/>
    <x v="0"/>
    <x v="0"/>
    <x v="0"/>
    <x v="17"/>
    <x v="4"/>
    <x v="408"/>
    <n v="6845.4"/>
    <n v="1394.8"/>
    <n v="2320.6999999999998"/>
    <n v="0.28163151380000001"/>
    <n v="5919.5"/>
    <n v="0.71836848619999993"/>
    <x v="405"/>
    <n v="409"/>
    <n v="0"/>
    <n v="0.71836848620179128"/>
    <x v="2"/>
  </r>
  <r>
    <x v="409"/>
    <x v="0"/>
    <x v="1"/>
    <x v="0"/>
    <x v="0"/>
    <x v="0"/>
    <x v="41"/>
    <x v="3"/>
    <x v="409"/>
    <n v="1236.7"/>
    <n v="6999.2"/>
    <n v="228.2"/>
    <n v="2.7707961490000002E-2"/>
    <n v="8007.7"/>
    <n v="0.97229203850000001"/>
    <x v="406"/>
    <n v="410"/>
    <n v="0"/>
    <n v="0.97229203851430934"/>
    <x v="2"/>
  </r>
  <r>
    <x v="410"/>
    <x v="0"/>
    <x v="1"/>
    <x v="1"/>
    <x v="2"/>
    <x v="0"/>
    <x v="14"/>
    <x v="1"/>
    <x v="410"/>
    <n v="760.9"/>
    <n v="7455.6"/>
    <n v="196.8"/>
    <n v="2.3951804300000001E-2"/>
    <n v="8019.7"/>
    <n v="0.97604819570000001"/>
    <x v="407"/>
    <n v="411"/>
    <n v="0"/>
    <n v="0.97604819570376677"/>
    <x v="2"/>
  </r>
  <r>
    <x v="411"/>
    <x v="0"/>
    <x v="10"/>
    <x v="1"/>
    <x v="10"/>
    <x v="0"/>
    <x v="56"/>
    <x v="3"/>
    <x v="411"/>
    <n v="8009"/>
    <n v="204.5"/>
    <n v="7878.1"/>
    <n v="0.96011163379999998"/>
    <n v="327.3"/>
    <n v="3.9888366199999997E-2"/>
    <x v="408"/>
    <n v="412"/>
    <n v="-8.1000000000003638"/>
    <n v="3.9849029037560116E-2"/>
    <x v="2"/>
  </r>
  <r>
    <x v="412"/>
    <x v="0"/>
    <x v="0"/>
    <x v="0"/>
    <x v="5"/>
    <x v="1"/>
    <x v="20"/>
    <x v="2"/>
    <x v="412"/>
    <n v="7983.1"/>
    <n v="224.9"/>
    <n v="7947.8"/>
    <n v="0.9688894307"/>
    <n v="255.2"/>
    <n v="3.1110569300000002E-2"/>
    <x v="409"/>
    <n v="413"/>
    <n v="-5"/>
    <n v="3.1091617933723194E-2"/>
    <x v="2"/>
  </r>
  <r>
    <x v="413"/>
    <x v="2"/>
    <x v="1"/>
    <x v="0"/>
    <x v="5"/>
    <x v="1"/>
    <x v="23"/>
    <x v="3"/>
    <x v="413"/>
    <n v="7224.1"/>
    <n v="979.3"/>
    <n v="7171.3"/>
    <n v="0.87453811540000004"/>
    <n v="1028.8"/>
    <n v="0.12546188459999999"/>
    <x v="410"/>
    <n v="414"/>
    <n v="-3.2999999999992724"/>
    <n v="0.12541141477923787"/>
    <x v="2"/>
  </r>
  <r>
    <x v="414"/>
    <x v="0"/>
    <x v="2"/>
    <x v="0"/>
    <x v="1"/>
    <x v="1"/>
    <x v="57"/>
    <x v="3"/>
    <x v="414"/>
    <n v="8080.4"/>
    <n v="120.7"/>
    <n v="7892.6"/>
    <n v="0.96284097009999992"/>
    <n v="304.60000000000002"/>
    <n v="3.7159029910000002E-2"/>
    <x v="411"/>
    <n v="415"/>
    <n v="-3.8999999999996362"/>
    <n v="3.7141359085976274E-2"/>
    <x v="2"/>
  </r>
  <r>
    <x v="415"/>
    <x v="0"/>
    <x v="36"/>
    <x v="3"/>
    <x v="8"/>
    <x v="0"/>
    <x v="54"/>
    <x v="3"/>
    <x v="415"/>
    <n v="3408.5"/>
    <n v="4789.5"/>
    <n v="515.9"/>
    <n v="6.3015304940000003E-2"/>
    <n v="7671"/>
    <n v="0.93698469509999993"/>
    <x v="412"/>
    <n v="416"/>
    <n v="-11.100000000000364"/>
    <n v="0.93571602829958522"/>
    <x v="2"/>
  </r>
  <r>
    <x v="416"/>
    <x v="0"/>
    <x v="4"/>
    <x v="1"/>
    <x v="9"/>
    <x v="1"/>
    <x v="9"/>
    <x v="1"/>
    <x v="416"/>
    <n v="7391.5"/>
    <n v="775.8"/>
    <n v="1621.1"/>
    <n v="0.19854499140000001"/>
    <n v="6543.8"/>
    <n v="0.80145500859999996"/>
    <x v="413"/>
    <n v="417"/>
    <n v="-2.4000000000005457"/>
    <n v="0.80121949726347752"/>
    <x v="2"/>
  </r>
  <r>
    <x v="417"/>
    <x v="0"/>
    <x v="1"/>
    <x v="0"/>
    <x v="0"/>
    <x v="0"/>
    <x v="7"/>
    <x v="1"/>
    <x v="417"/>
    <n v="7808"/>
    <n v="340"/>
    <n v="6616.8"/>
    <n v="0.81207658319999998"/>
    <n v="1531.2"/>
    <n v="0.18792341679999999"/>
    <x v="414"/>
    <n v="418"/>
    <n v="0"/>
    <n v="0.18792341678939617"/>
    <x v="2"/>
  </r>
  <r>
    <x v="418"/>
    <x v="0"/>
    <x v="11"/>
    <x v="0"/>
    <x v="17"/>
    <x v="0"/>
    <x v="1"/>
    <x v="1"/>
    <x v="418"/>
    <n v="7918.7"/>
    <n v="176.9"/>
    <n v="7804.3"/>
    <n v="0.96442253030000002"/>
    <n v="287.89999999999998"/>
    <n v="3.557746966E-2"/>
    <x v="415"/>
    <n v="419"/>
    <n v="-3.3999999999996362"/>
    <n v="3.5562527792875144E-2"/>
    <x v="2"/>
  </r>
  <r>
    <x v="419"/>
    <x v="0"/>
    <x v="1"/>
    <x v="0"/>
    <x v="17"/>
    <x v="0"/>
    <x v="11"/>
    <x v="0"/>
    <x v="419"/>
    <n v="7161.8"/>
    <n v="905.7"/>
    <n v="4817"/>
    <n v="0.59724254219999995"/>
    <n v="3248.4"/>
    <n v="0.4027574578"/>
    <x v="416"/>
    <n v="420"/>
    <n v="-2.1000000000003638"/>
    <n v="0.40265261853114348"/>
    <x v="2"/>
  </r>
  <r>
    <x v="420"/>
    <x v="0"/>
    <x v="1"/>
    <x v="1"/>
    <x v="10"/>
    <x v="1"/>
    <x v="22"/>
    <x v="4"/>
    <x v="420"/>
    <n v="5540.4"/>
    <n v="2525"/>
    <n v="3610.3"/>
    <n v="0.4477391671"/>
    <n v="4453.1000000000004"/>
    <n v="0.55226083289999994"/>
    <x v="417"/>
    <n v="421"/>
    <n v="-2"/>
    <n v="0.5521238872219606"/>
    <x v="2"/>
  </r>
  <r>
    <x v="421"/>
    <x v="1"/>
    <x v="5"/>
    <x v="2"/>
    <x v="4"/>
    <x v="0"/>
    <x v="19"/>
    <x v="4"/>
    <x v="421"/>
    <n v="4415.6000000000004"/>
    <n v="3648.3"/>
    <n v="3447"/>
    <n v="0.42783735479999996"/>
    <n v="4609.8"/>
    <n v="0.57216264520000004"/>
    <x v="418"/>
    <n v="422"/>
    <n v="-7.1000000000003638"/>
    <n v="0.57165887473803001"/>
    <x v="2"/>
  </r>
  <r>
    <x v="422"/>
    <x v="0"/>
    <x v="1"/>
    <x v="0"/>
    <x v="0"/>
    <x v="0"/>
    <x v="4"/>
    <x v="1"/>
    <x v="422"/>
    <n v="7678.7"/>
    <n v="364.9"/>
    <n v="6527.6"/>
    <n v="0.81152717689999998"/>
    <n v="1516"/>
    <n v="0.18847282310000002"/>
    <x v="419"/>
    <n v="423"/>
    <n v="0"/>
    <n v="0.18847282311402855"/>
    <x v="2"/>
  </r>
  <r>
    <x v="423"/>
    <x v="0"/>
    <x v="1"/>
    <x v="0"/>
    <x v="0"/>
    <x v="1"/>
    <x v="1"/>
    <x v="1"/>
    <x v="423"/>
    <n v="7270.4"/>
    <n v="754.2"/>
    <n v="4098.3999999999996"/>
    <n v="0.510366985"/>
    <n v="3931.9"/>
    <n v="0.489633015"/>
    <x v="420"/>
    <n v="424"/>
    <n v="5.7000000000007276"/>
    <n v="0.48998080901228724"/>
    <x v="2"/>
  </r>
  <r>
    <x v="424"/>
    <x v="1"/>
    <x v="2"/>
    <x v="0"/>
    <x v="1"/>
    <x v="0"/>
    <x v="14"/>
    <x v="1"/>
    <x v="424"/>
    <n v="3097.3"/>
    <n v="4922.6000000000004"/>
    <n v="2755.3"/>
    <n v="0.34355789969999995"/>
    <n v="5264.6"/>
    <n v="0.65644210029999994"/>
    <x v="421"/>
    <n v="425"/>
    <n v="0"/>
    <n v="0.65644210027556449"/>
    <x v="2"/>
  </r>
  <r>
    <x v="425"/>
    <x v="0"/>
    <x v="2"/>
    <x v="0"/>
    <x v="5"/>
    <x v="1"/>
    <x v="36"/>
    <x v="3"/>
    <x v="425"/>
    <n v="8019.1"/>
    <n v="0"/>
    <n v="8014.7"/>
    <n v="1"/>
    <n v="0"/>
    <n v="0"/>
    <x v="422"/>
    <n v="426"/>
    <n v="-4.4000000000005457"/>
    <n v="0"/>
    <x v="2"/>
  </r>
  <r>
    <x v="426"/>
    <x v="0"/>
    <x v="1"/>
    <x v="0"/>
    <x v="5"/>
    <x v="1"/>
    <x v="47"/>
    <x v="3"/>
    <x v="426"/>
    <n v="7990.9"/>
    <n v="0"/>
    <n v="7987.3"/>
    <n v="1"/>
    <n v="0"/>
    <n v="0"/>
    <x v="423"/>
    <n v="427"/>
    <n v="-3.5999999999994543"/>
    <n v="0"/>
    <x v="2"/>
  </r>
  <r>
    <x v="427"/>
    <x v="0"/>
    <x v="2"/>
    <x v="0"/>
    <x v="5"/>
    <x v="1"/>
    <x v="55"/>
    <x v="3"/>
    <x v="427"/>
    <n v="7980.4"/>
    <n v="0.6"/>
    <n v="7960.2"/>
    <n v="0.99794398619999991"/>
    <n v="16.399999999999999"/>
    <n v="2.0560138399999999E-3"/>
    <x v="424"/>
    <n v="428"/>
    <n v="-4.3999999999996362"/>
    <n v="2.0548803408094222E-3"/>
    <x v="2"/>
  </r>
  <r>
    <x v="428"/>
    <x v="0"/>
    <x v="2"/>
    <x v="0"/>
    <x v="1"/>
    <x v="0"/>
    <x v="58"/>
    <x v="3"/>
    <x v="428"/>
    <n v="7942.6"/>
    <n v="0"/>
    <n v="7116.9"/>
    <n v="0.89628985949999995"/>
    <n v="823.5"/>
    <n v="0.10371014049999999"/>
    <x v="425"/>
    <n v="429"/>
    <n v="-2.2000000000007276"/>
    <n v="0.10368141414650114"/>
    <x v="2"/>
  </r>
  <r>
    <x v="429"/>
    <x v="0"/>
    <x v="1"/>
    <x v="0"/>
    <x v="5"/>
    <x v="1"/>
    <x v="25"/>
    <x v="2"/>
    <x v="429"/>
    <n v="4641.5"/>
    <n v="3299.4"/>
    <n v="7901.6"/>
    <n v="0.99581589960000005"/>
    <n v="33.200000000000003"/>
    <n v="4.1841004180000006E-3"/>
    <x v="426"/>
    <n v="430"/>
    <n v="-6.0999999999994543"/>
    <n v="4.1808862975229516E-3"/>
    <x v="2"/>
  </r>
  <r>
    <x v="430"/>
    <x v="0"/>
    <x v="37"/>
    <x v="9"/>
    <x v="1"/>
    <x v="0"/>
    <x v="18"/>
    <x v="2"/>
    <x v="430"/>
    <n v="2022.8"/>
    <n v="5906"/>
    <n v="723"/>
    <n v="9.112105362999999E-2"/>
    <n v="7211.5"/>
    <n v="0.9088789464"/>
    <x v="427"/>
    <n v="431"/>
    <n v="5.6999999999998181"/>
    <n v="0.90953233780647758"/>
    <x v="2"/>
  </r>
  <r>
    <x v="431"/>
    <x v="0"/>
    <x v="4"/>
    <x v="1"/>
    <x v="2"/>
    <x v="0"/>
    <x v="19"/>
    <x v="4"/>
    <x v="431"/>
    <n v="7400.3"/>
    <n v="508.4"/>
    <n v="7.5"/>
    <n v="9.4677842860000001E-4"/>
    <n v="7914.1"/>
    <n v="0.99905322159999999"/>
    <x v="428"/>
    <n v="432"/>
    <n v="12.900000000000546"/>
    <n v="1.0006827923678987"/>
    <x v="2"/>
  </r>
  <r>
    <x v="432"/>
    <x v="1"/>
    <x v="2"/>
    <x v="0"/>
    <x v="20"/>
    <x v="0"/>
    <x v="26"/>
    <x v="4"/>
    <x v="432"/>
    <n v="7895.6"/>
    <n v="0"/>
    <n v="7164.5"/>
    <n v="0.90771452819999998"/>
    <n v="728.4"/>
    <n v="9.2285471749999987E-2"/>
    <x v="429"/>
    <n v="433"/>
    <n v="-2.7000000000007276"/>
    <n v="9.2253913572116111E-2"/>
    <x v="2"/>
  </r>
  <r>
    <x v="433"/>
    <x v="0"/>
    <x v="2"/>
    <x v="0"/>
    <x v="5"/>
    <x v="1"/>
    <x v="59"/>
    <x v="3"/>
    <x v="433"/>
    <n v="7595.8"/>
    <n v="298.7"/>
    <n v="7890.8"/>
    <n v="0.99993663909999997"/>
    <n v="0.5"/>
    <n v="6.3360916449999998E-5"/>
    <x v="430"/>
    <n v="434"/>
    <n v="-3.1999999999998181"/>
    <n v="6.3335233390335042E-5"/>
    <x v="2"/>
  </r>
  <r>
    <x v="434"/>
    <x v="1"/>
    <x v="5"/>
    <x v="2"/>
    <x v="4"/>
    <x v="1"/>
    <x v="45"/>
    <x v="5"/>
    <x v="434"/>
    <n v="7880.6"/>
    <n v="5.3"/>
    <n v="7566"/>
    <n v="0.95931227730000002"/>
    <n v="320.89999999999998"/>
    <n v="4.0687722680000003E-2"/>
    <x v="431"/>
    <n v="435"/>
    <n v="0.99999999999909051"/>
    <n v="4.0692882232845957E-2"/>
    <x v="2"/>
  </r>
  <r>
    <x v="435"/>
    <x v="0"/>
    <x v="1"/>
    <x v="0"/>
    <x v="18"/>
    <x v="1"/>
    <x v="25"/>
    <x v="2"/>
    <x v="435"/>
    <n v="7152"/>
    <n v="706.6"/>
    <n v="7858.1"/>
    <n v="0.9982469289"/>
    <n v="13.8"/>
    <n v="1.7530710499999999E-3"/>
    <x v="432"/>
    <n v="436"/>
    <n v="13.299999999999272"/>
    <n v="1.7560379711398977E-3"/>
    <x v="2"/>
  </r>
  <r>
    <x v="436"/>
    <x v="0"/>
    <x v="38"/>
    <x v="1"/>
    <x v="9"/>
    <x v="0"/>
    <x v="46"/>
    <x v="3"/>
    <x v="436"/>
    <n v="7854.4"/>
    <n v="4"/>
    <n v="7062"/>
    <n v="0.89936578280000001"/>
    <n v="790.2"/>
    <n v="0.10063421719999999"/>
    <x v="433"/>
    <n v="437"/>
    <n v="-6.1999999999998181"/>
    <n v="0.10055482031965796"/>
    <x v="2"/>
  </r>
  <r>
    <x v="437"/>
    <x v="2"/>
    <x v="10"/>
    <x v="1"/>
    <x v="9"/>
    <x v="1"/>
    <x v="38"/>
    <x v="3"/>
    <x v="437"/>
    <n v="7528"/>
    <n v="310.89999999999998"/>
    <n v="2829.8"/>
    <n v="0.36099452730000003"/>
    <n v="5009.1000000000004"/>
    <n v="0.63900547269999997"/>
    <x v="434"/>
    <n v="438"/>
    <n v="0"/>
    <n v="0.63900547270662988"/>
    <x v="2"/>
  </r>
  <r>
    <x v="438"/>
    <x v="0"/>
    <x v="2"/>
    <x v="0"/>
    <x v="1"/>
    <x v="0"/>
    <x v="7"/>
    <x v="1"/>
    <x v="438"/>
    <n v="6895.6"/>
    <n v="928.5"/>
    <n v="6188.5"/>
    <n v="0.79095359209999994"/>
    <n v="1635.6"/>
    <n v="0.20904640789999998"/>
    <x v="435"/>
    <n v="439"/>
    <n v="0"/>
    <n v="0.20904640789355963"/>
    <x v="2"/>
  </r>
  <r>
    <x v="439"/>
    <x v="0"/>
    <x v="1"/>
    <x v="0"/>
    <x v="0"/>
    <x v="0"/>
    <x v="16"/>
    <x v="0"/>
    <x v="439"/>
    <n v="4590.3999999999996"/>
    <n v="3227"/>
    <n v="1655.2"/>
    <n v="0.21173550970000002"/>
    <n v="6162.1"/>
    <n v="0.78826449030000001"/>
    <x v="436"/>
    <n v="440"/>
    <n v="-9.9999999999454303E-2"/>
    <n v="0.78825440683603254"/>
    <x v="2"/>
  </r>
  <r>
    <x v="440"/>
    <x v="0"/>
    <x v="1"/>
    <x v="0"/>
    <x v="3"/>
    <x v="0"/>
    <x v="19"/>
    <x v="4"/>
    <x v="440"/>
    <n v="3575.2"/>
    <n v="4235.2"/>
    <n v="2342.1"/>
    <n v="0.29986556559999999"/>
    <n v="5468.4"/>
    <n v="0.70013443440000001"/>
    <x v="437"/>
    <n v="441"/>
    <n v="0.1000000000003638"/>
    <n v="0.70014339854552898"/>
    <x v="2"/>
  </r>
  <r>
    <x v="441"/>
    <x v="0"/>
    <x v="2"/>
    <x v="0"/>
    <x v="7"/>
    <x v="1"/>
    <x v="8"/>
    <x v="0"/>
    <x v="441"/>
    <n v="5988.8"/>
    <n v="1801.6"/>
    <n v="801"/>
    <n v="0.1028531806"/>
    <n v="6986.8"/>
    <n v="0.89714681940000007"/>
    <x v="438"/>
    <n v="442"/>
    <n v="-2.5999999999994543"/>
    <n v="0.89684740193058132"/>
    <x v="2"/>
  </r>
  <r>
    <x v="442"/>
    <x v="0"/>
    <x v="1"/>
    <x v="1"/>
    <x v="2"/>
    <x v="0"/>
    <x v="14"/>
    <x v="1"/>
    <x v="442"/>
    <n v="2720.2"/>
    <n v="5065.1000000000004"/>
    <n v="69.3"/>
    <n v="8.9013910829999991E-3"/>
    <n v="7716"/>
    <n v="0.9910986088999999"/>
    <x v="439"/>
    <n v="443"/>
    <n v="0"/>
    <n v="0.99109860891680468"/>
    <x v="2"/>
  </r>
  <r>
    <x v="443"/>
    <x v="0"/>
    <x v="14"/>
    <x v="0"/>
    <x v="7"/>
    <x v="0"/>
    <x v="8"/>
    <x v="0"/>
    <x v="443"/>
    <n v="4434.2"/>
    <n v="3331.5"/>
    <n v="781.1"/>
    <n v="0.1005833344"/>
    <n v="6984.6"/>
    <n v="0.8994166656"/>
    <x v="440"/>
    <n v="444"/>
    <n v="0"/>
    <n v="0.89941666559357181"/>
    <x v="2"/>
  </r>
  <r>
    <x v="444"/>
    <x v="0"/>
    <x v="39"/>
    <x v="4"/>
    <x v="0"/>
    <x v="0"/>
    <x v="0"/>
    <x v="0"/>
    <x v="444"/>
    <n v="3470.6"/>
    <n v="4267.7"/>
    <n v="1580.4"/>
    <n v="0.20423354270000002"/>
    <n v="6157.8"/>
    <n v="0.79576645729999995"/>
    <x v="441"/>
    <n v="445"/>
    <n v="-9.9999999999454303E-2"/>
    <n v="0.79575617383663089"/>
    <x v="2"/>
  </r>
  <r>
    <x v="445"/>
    <x v="0"/>
    <x v="1"/>
    <x v="0"/>
    <x v="0"/>
    <x v="0"/>
    <x v="21"/>
    <x v="3"/>
    <x v="445"/>
    <n v="6445.6"/>
    <n v="1287.7"/>
    <n v="2355.3000000000002"/>
    <n v="0.30471175740000001"/>
    <n v="5374.3"/>
    <n v="0.69528824259999988"/>
    <x v="442"/>
    <n v="446"/>
    <n v="-3.6999999999998181"/>
    <n v="0.69495558170509353"/>
    <x v="2"/>
  </r>
  <r>
    <x v="446"/>
    <x v="0"/>
    <x v="2"/>
    <x v="0"/>
    <x v="5"/>
    <x v="1"/>
    <x v="2"/>
    <x v="0"/>
    <x v="446"/>
    <n v="7713.9"/>
    <n v="0"/>
    <n v="7200.6"/>
    <n v="0.93345778400000001"/>
    <n v="513.29999999999995"/>
    <n v="6.6542216000000001E-2"/>
    <x v="443"/>
    <n v="447"/>
    <n v="0"/>
    <n v="6.6542215999688875E-2"/>
    <x v="2"/>
  </r>
  <r>
    <x v="447"/>
    <x v="0"/>
    <x v="8"/>
    <x v="3"/>
    <x v="1"/>
    <x v="0"/>
    <x v="10"/>
    <x v="3"/>
    <x v="447"/>
    <n v="107.1"/>
    <n v="7598.6"/>
    <n v="0"/>
    <n v="0"/>
    <n v="7689.5"/>
    <n v="1"/>
    <x v="444"/>
    <n v="448"/>
    <n v="-16.200000000000728"/>
    <n v="0.99789766017363757"/>
    <x v="2"/>
  </r>
  <r>
    <x v="448"/>
    <x v="0"/>
    <x v="1"/>
    <x v="0"/>
    <x v="5"/>
    <x v="1"/>
    <x v="13"/>
    <x v="3"/>
    <x v="448"/>
    <n v="7673.1"/>
    <n v="0"/>
    <n v="7659.2"/>
    <n v="0.99818847659999999"/>
    <n v="13.9"/>
    <n v="1.811523374E-3"/>
    <x v="445"/>
    <n v="449"/>
    <n v="0"/>
    <n v="1.8115233738645398E-3"/>
    <x v="2"/>
  </r>
  <r>
    <x v="449"/>
    <x v="0"/>
    <x v="1"/>
    <x v="1"/>
    <x v="2"/>
    <x v="0"/>
    <x v="3"/>
    <x v="2"/>
    <x v="449"/>
    <n v="1713.9"/>
    <n v="5947.7"/>
    <n v="560.9"/>
    <n v="7.3209251330000003E-2"/>
    <n v="7100.7"/>
    <n v="0.92679074869999989"/>
    <x v="446"/>
    <n v="450"/>
    <n v="0"/>
    <n v="0.92679074866868527"/>
    <x v="2"/>
  </r>
  <r>
    <x v="450"/>
    <x v="0"/>
    <x v="4"/>
    <x v="1"/>
    <x v="2"/>
    <x v="0"/>
    <x v="17"/>
    <x v="4"/>
    <x v="450"/>
    <n v="4203.6000000000004"/>
    <n v="3448.5"/>
    <n v="1809.6"/>
    <n v="0.23669753570000002"/>
    <n v="5835.6"/>
    <n v="0.76330246430000004"/>
    <x v="447"/>
    <n v="451"/>
    <n v="-6.9000000000005457"/>
    <n v="0.76261418434155326"/>
    <x v="2"/>
  </r>
  <r>
    <x v="451"/>
    <x v="1"/>
    <x v="0"/>
    <x v="0"/>
    <x v="1"/>
    <x v="0"/>
    <x v="21"/>
    <x v="3"/>
    <x v="451"/>
    <n v="6657.6"/>
    <n v="974.8"/>
    <n v="3569"/>
    <n v="0.46787535560000004"/>
    <n v="4059.1"/>
    <n v="0.53212464439999996"/>
    <x v="448"/>
    <n v="452"/>
    <n v="-4.3000000000001819"/>
    <n v="0.53182485194696294"/>
    <x v="2"/>
  </r>
  <r>
    <x v="452"/>
    <x v="0"/>
    <x v="17"/>
    <x v="5"/>
    <x v="9"/>
    <x v="0"/>
    <x v="20"/>
    <x v="2"/>
    <x v="452"/>
    <n v="5257.8"/>
    <n v="2361"/>
    <n v="2908.3"/>
    <n v="0.38172678110000002"/>
    <n v="4710.5"/>
    <n v="0.61827321889999998"/>
    <x v="449"/>
    <n v="453"/>
    <n v="0"/>
    <n v="0.61827321887961362"/>
    <x v="2"/>
  </r>
  <r>
    <x v="453"/>
    <x v="0"/>
    <x v="1"/>
    <x v="0"/>
    <x v="18"/>
    <x v="1"/>
    <x v="21"/>
    <x v="3"/>
    <x v="453"/>
    <n v="7614.9"/>
    <n v="0"/>
    <n v="6849.1"/>
    <n v="0.89974120830000004"/>
    <n v="763.2"/>
    <n v="0.1002587917"/>
    <x v="450"/>
    <n v="454"/>
    <n v="-2.5999999999994543"/>
    <n v="0.10022455974471103"/>
    <x v="2"/>
  </r>
  <r>
    <x v="454"/>
    <x v="1"/>
    <x v="1"/>
    <x v="0"/>
    <x v="3"/>
    <x v="0"/>
    <x v="19"/>
    <x v="4"/>
    <x v="454"/>
    <n v="3801.5"/>
    <n v="3806.7"/>
    <n v="2191.8000000000002"/>
    <n v="0.28808390950000001"/>
    <n v="5416.4"/>
    <n v="0.71191609049999993"/>
    <x v="451"/>
    <n v="455"/>
    <n v="0"/>
    <n v="0.71191609053389759"/>
    <x v="2"/>
  </r>
  <r>
    <x v="455"/>
    <x v="1"/>
    <x v="2"/>
    <x v="0"/>
    <x v="1"/>
    <x v="0"/>
    <x v="9"/>
    <x v="1"/>
    <x v="455"/>
    <n v="3575.7"/>
    <n v="4021"/>
    <n v="2786.1"/>
    <n v="0.36675135259999997"/>
    <n v="4810.6000000000004"/>
    <n v="0.63324864739999998"/>
    <x v="452"/>
    <n v="456"/>
    <n v="0"/>
    <n v="0.63324864743901965"/>
    <x v="2"/>
  </r>
  <r>
    <x v="456"/>
    <x v="0"/>
    <x v="1"/>
    <x v="0"/>
    <x v="0"/>
    <x v="0"/>
    <x v="11"/>
    <x v="0"/>
    <x v="456"/>
    <n v="6273.4"/>
    <n v="1315.7"/>
    <n v="5418.2"/>
    <n v="0.71394500010000006"/>
    <n v="2170.9"/>
    <n v="0.2860549999"/>
    <x v="453"/>
    <n v="457"/>
    <n v="0"/>
    <n v="0.28605499993411609"/>
    <x v="2"/>
  </r>
  <r>
    <x v="457"/>
    <x v="1"/>
    <x v="40"/>
    <x v="0"/>
    <x v="5"/>
    <x v="0"/>
    <x v="17"/>
    <x v="4"/>
    <x v="457"/>
    <n v="5418.1"/>
    <n v="2144.1"/>
    <n v="4710"/>
    <n v="0.62360978709999992"/>
    <n v="2842.8"/>
    <n v="0.37639021290000002"/>
    <x v="454"/>
    <n v="458"/>
    <n v="-9.4000000000005457"/>
    <n v="0.375922350638703"/>
    <x v="2"/>
  </r>
  <r>
    <x v="458"/>
    <x v="0"/>
    <x v="8"/>
    <x v="10"/>
    <x v="0"/>
    <x v="0"/>
    <x v="14"/>
    <x v="1"/>
    <x v="458"/>
    <n v="6212.4"/>
    <n v="1334.7"/>
    <n v="1537.2"/>
    <n v="0.2035945592"/>
    <n v="6013.1"/>
    <n v="0.79640544079999998"/>
    <x v="455"/>
    <n v="459"/>
    <n v="3.2000000000007276"/>
    <n v="0.79674311987385893"/>
    <x v="2"/>
  </r>
  <r>
    <x v="459"/>
    <x v="1"/>
    <x v="0"/>
    <x v="7"/>
    <x v="1"/>
    <x v="0"/>
    <x v="58"/>
    <x v="3"/>
    <x v="459"/>
    <n v="7093.1"/>
    <n v="450"/>
    <n v="6268.7"/>
    <n v="0.8310508942"/>
    <n v="1274.4000000000001"/>
    <n v="0.1689491058"/>
    <x v="456"/>
    <n v="460"/>
    <n v="0"/>
    <n v="0.16894910580530551"/>
    <x v="2"/>
  </r>
  <r>
    <x v="460"/>
    <x v="0"/>
    <x v="0"/>
    <x v="0"/>
    <x v="5"/>
    <x v="0"/>
    <x v="54"/>
    <x v="3"/>
    <x v="460"/>
    <n v="5958.2"/>
    <n v="1568.1"/>
    <n v="6592.7"/>
    <n v="0.87865177520000004"/>
    <n v="910.5"/>
    <n v="0.1213482248"/>
    <x v="457"/>
    <n v="461"/>
    <n v="-23.099999999999454"/>
    <n v="0.12097577827086352"/>
    <x v="2"/>
  </r>
  <r>
    <x v="461"/>
    <x v="0"/>
    <x v="5"/>
    <x v="2"/>
    <x v="4"/>
    <x v="1"/>
    <x v="22"/>
    <x v="4"/>
    <x v="461"/>
    <n v="7178.8"/>
    <n v="328.1"/>
    <n v="7290.2"/>
    <n v="0.97381849269999998"/>
    <n v="196"/>
    <n v="2.6181507310000001E-2"/>
    <x v="458"/>
    <n v="462"/>
    <n v="-20.700000000000728"/>
    <n v="2.6109312765588991E-2"/>
    <x v="2"/>
  </r>
  <r>
    <x v="462"/>
    <x v="0"/>
    <x v="1"/>
    <x v="0"/>
    <x v="6"/>
    <x v="0"/>
    <x v="17"/>
    <x v="4"/>
    <x v="462"/>
    <n v="6757.7"/>
    <n v="735.7"/>
    <n v="6205.8"/>
    <n v="0.82908711970000004"/>
    <n v="1279.3"/>
    <n v="0.17091288030000001"/>
    <x v="459"/>
    <n v="463"/>
    <n v="-8.2999999999992724"/>
    <n v="0.17072357007499933"/>
    <x v="2"/>
  </r>
  <r>
    <x v="463"/>
    <x v="1"/>
    <x v="17"/>
    <x v="5"/>
    <x v="15"/>
    <x v="0"/>
    <x v="24"/>
    <x v="5"/>
    <x v="463"/>
    <n v="7464.6"/>
    <n v="26"/>
    <n v="1330.8"/>
    <n v="0.17821702619999999"/>
    <n v="6136.5"/>
    <n v="0.82178297379999998"/>
    <x v="460"/>
    <n v="464"/>
    <n v="-23.300000000000182"/>
    <n v="0.8192267642111446"/>
    <x v="2"/>
  </r>
  <r>
    <x v="464"/>
    <x v="0"/>
    <x v="1"/>
    <x v="0"/>
    <x v="1"/>
    <x v="1"/>
    <x v="14"/>
    <x v="1"/>
    <x v="464"/>
    <n v="2524.9"/>
    <n v="4942.3999999999996"/>
    <n v="6424.3"/>
    <n v="0.86195191329999998"/>
    <n v="1028.9000000000001"/>
    <n v="0.13804808669999999"/>
    <x v="461"/>
    <n v="465"/>
    <n v="-14.099999999999454"/>
    <n v="0.1377874198170691"/>
    <x v="2"/>
  </r>
  <r>
    <x v="465"/>
    <x v="0"/>
    <x v="1"/>
    <x v="0"/>
    <x v="11"/>
    <x v="0"/>
    <x v="60"/>
    <x v="3"/>
    <x v="465"/>
    <n v="6491.8"/>
    <n v="961.4"/>
    <n v="5866.4"/>
    <n v="0.78737282899999994"/>
    <n v="1584.2"/>
    <n v="0.212627171"/>
    <x v="462"/>
    <n v="466"/>
    <n v="-2.5999999999994543"/>
    <n v="0.21255299737025707"/>
    <x v="2"/>
  </r>
  <r>
    <x v="466"/>
    <x v="0"/>
    <x v="1"/>
    <x v="0"/>
    <x v="0"/>
    <x v="0"/>
    <x v="11"/>
    <x v="0"/>
    <x v="466"/>
    <n v="6391.9"/>
    <n v="1058.7"/>
    <n v="528.20000000000005"/>
    <n v="7.1072000430000004E-2"/>
    <n v="6903.7"/>
    <n v="0.92892799960000005"/>
    <x v="463"/>
    <n v="467"/>
    <n v="-18.699999999999818"/>
    <n v="0.92659651571685508"/>
    <x v="2"/>
  </r>
  <r>
    <x v="467"/>
    <x v="0"/>
    <x v="1"/>
    <x v="0"/>
    <x v="11"/>
    <x v="0"/>
    <x v="6"/>
    <x v="2"/>
    <x v="467"/>
    <n v="7117.2"/>
    <n v="319.89999999999998"/>
    <n v="6510.5"/>
    <n v="0.87701219100000005"/>
    <n v="913"/>
    <n v="0.122987809"/>
    <x v="464"/>
    <n v="468"/>
    <n v="-13.599999999999454"/>
    <n v="0.1227629048957255"/>
    <x v="2"/>
  </r>
  <r>
    <x v="468"/>
    <x v="0"/>
    <x v="17"/>
    <x v="5"/>
    <x v="15"/>
    <x v="0"/>
    <x v="2"/>
    <x v="0"/>
    <x v="468"/>
    <n v="4668.1000000000004"/>
    <n v="2767"/>
    <n v="4913.6000000000004"/>
    <n v="0.66249595510000003"/>
    <n v="2503.1999999999998"/>
    <n v="0.33750404490000002"/>
    <x v="465"/>
    <n v="469"/>
    <n v="-18.300000000000182"/>
    <n v="0.33667334669338672"/>
    <x v="2"/>
  </r>
  <r>
    <x v="469"/>
    <x v="0"/>
    <x v="22"/>
    <x v="1"/>
    <x v="0"/>
    <x v="0"/>
    <x v="17"/>
    <x v="4"/>
    <x v="469"/>
    <n v="6405.3"/>
    <n v="1014.5"/>
    <n v="639.20000000000005"/>
    <n v="8.6313060390000002E-2"/>
    <n v="6766.4"/>
    <n v="0.91368693960000003"/>
    <x v="466"/>
    <n v="470"/>
    <n v="-14.199999999999818"/>
    <n v="0.9119383271786301"/>
    <x v="2"/>
  </r>
  <r>
    <x v="470"/>
    <x v="1"/>
    <x v="17"/>
    <x v="5"/>
    <x v="15"/>
    <x v="1"/>
    <x v="1"/>
    <x v="1"/>
    <x v="470"/>
    <n v="3471.7"/>
    <n v="3933.9"/>
    <n v="2317.8000000000002"/>
    <n v="0.3137079747"/>
    <n v="5070.6000000000004"/>
    <n v="0.6862920253"/>
    <x v="467"/>
    <n v="471"/>
    <n v="-17.200000000000728"/>
    <n v="0.68469806632818409"/>
    <x v="2"/>
  </r>
  <r>
    <x v="471"/>
    <x v="0"/>
    <x v="17"/>
    <x v="5"/>
    <x v="9"/>
    <x v="0"/>
    <x v="7"/>
    <x v="1"/>
    <x v="471"/>
    <n v="2807.5"/>
    <n v="4581"/>
    <n v="359.7"/>
    <n v="4.8688378140000002E-2"/>
    <n v="7028.1"/>
    <n v="0.95131162189999996"/>
    <x v="468"/>
    <n v="472"/>
    <n v="-0.6999999999998181"/>
    <n v="0.9512214928605266"/>
    <x v="2"/>
  </r>
  <r>
    <x v="472"/>
    <x v="0"/>
    <x v="22"/>
    <x v="1"/>
    <x v="0"/>
    <x v="0"/>
    <x v="26"/>
    <x v="4"/>
    <x v="472"/>
    <n v="4274.5"/>
    <n v="3113.3"/>
    <n v="716.5"/>
    <n v="9.7114355030000002E-2"/>
    <n v="6661.4"/>
    <n v="0.90288564500000001"/>
    <x v="469"/>
    <n v="473"/>
    <n v="-9.9000000000005457"/>
    <n v="0.90167573567232462"/>
    <x v="2"/>
  </r>
  <r>
    <x v="473"/>
    <x v="0"/>
    <x v="2"/>
    <x v="0"/>
    <x v="1"/>
    <x v="0"/>
    <x v="9"/>
    <x v="1"/>
    <x v="473"/>
    <n v="3894"/>
    <n v="3483.8"/>
    <n v="6069.3"/>
    <n v="0.82546310150000002"/>
    <n v="1283.3"/>
    <n v="0.17453689850000001"/>
    <x v="470"/>
    <n v="474"/>
    <n v="-25.199999999999818"/>
    <n v="0.17394074114234595"/>
    <x v="2"/>
  </r>
  <r>
    <x v="474"/>
    <x v="2"/>
    <x v="1"/>
    <x v="0"/>
    <x v="0"/>
    <x v="1"/>
    <x v="2"/>
    <x v="0"/>
    <x v="474"/>
    <n v="6711.8"/>
    <n v="643.70000000000005"/>
    <n v="114.9"/>
    <n v="1.5637120810000002E-2"/>
    <n v="7233"/>
    <n v="0.98436287919999998"/>
    <x v="471"/>
    <n v="475"/>
    <n v="-7.6000000000003638"/>
    <n v="0.9833457956631092"/>
    <x v="2"/>
  </r>
  <r>
    <x v="475"/>
    <x v="0"/>
    <x v="1"/>
    <x v="0"/>
    <x v="11"/>
    <x v="0"/>
    <x v="9"/>
    <x v="1"/>
    <x v="475"/>
    <n v="3928"/>
    <n v="3422.3"/>
    <n v="5340.9"/>
    <n v="0.72789097100000011"/>
    <n v="1996.6"/>
    <n v="0.272109029"/>
    <x v="472"/>
    <n v="476"/>
    <n v="-12.800000000000182"/>
    <n v="0.2716351713535502"/>
    <x v="2"/>
  </r>
  <r>
    <x v="476"/>
    <x v="1"/>
    <x v="41"/>
    <x v="0"/>
    <x v="1"/>
    <x v="0"/>
    <x v="0"/>
    <x v="0"/>
    <x v="476"/>
    <n v="6735.6"/>
    <n v="602"/>
    <n v="1341.8"/>
    <n v="0.18292616420000002"/>
    <n v="5993.4"/>
    <n v="0.81707383580000004"/>
    <x v="473"/>
    <n v="477"/>
    <n v="-2.4000000000005457"/>
    <n v="0.81680658525948535"/>
    <x v="2"/>
  </r>
  <r>
    <x v="477"/>
    <x v="0"/>
    <x v="1"/>
    <x v="0"/>
    <x v="18"/>
    <x v="1"/>
    <x v="11"/>
    <x v="0"/>
    <x v="477"/>
    <n v="1671.1"/>
    <n v="5664.1"/>
    <n v="6816.6"/>
    <n v="0.9303906314"/>
    <n v="510"/>
    <n v="6.9609368599999999E-2"/>
    <x v="474"/>
    <n v="478"/>
    <n v="-8.6000000000003638"/>
    <n v="6.952775657105463E-2"/>
    <x v="2"/>
  </r>
  <r>
    <x v="478"/>
    <x v="0"/>
    <x v="1"/>
    <x v="0"/>
    <x v="11"/>
    <x v="0"/>
    <x v="14"/>
    <x v="1"/>
    <x v="478"/>
    <n v="7318.3"/>
    <n v="8.3000000000000007"/>
    <n v="2901.6"/>
    <n v="0.3967620194"/>
    <n v="4411.6000000000004"/>
    <n v="0.6032379806"/>
    <x v="475"/>
    <n v="479"/>
    <n v="-13.400000000000546"/>
    <n v="0.60213468730379716"/>
    <x v="2"/>
  </r>
  <r>
    <x v="479"/>
    <x v="1"/>
    <x v="42"/>
    <x v="0"/>
    <x v="1"/>
    <x v="0"/>
    <x v="22"/>
    <x v="4"/>
    <x v="479"/>
    <n v="4703.7"/>
    <n v="2609.5"/>
    <n v="6083.2"/>
    <n v="0.8348246144"/>
    <n v="1203.5999999999999"/>
    <n v="0.16517538559999997"/>
    <x v="476"/>
    <n v="480"/>
    <n v="-26.399999999999636"/>
    <n v="0.16457911721271126"/>
    <x v="2"/>
  </r>
  <r>
    <x v="480"/>
    <x v="0"/>
    <x v="17"/>
    <x v="5"/>
    <x v="9"/>
    <x v="1"/>
    <x v="19"/>
    <x v="4"/>
    <x v="480"/>
    <n v="6836.9"/>
    <n v="455.9"/>
    <n v="3003"/>
    <n v="0.41263603389999998"/>
    <n v="4274.6000000000004"/>
    <n v="0.58736396609999997"/>
    <x v="477"/>
    <n v="481"/>
    <n v="-15.199999999998909"/>
    <n v="0.58613975427819232"/>
    <x v="2"/>
  </r>
  <r>
    <x v="481"/>
    <x v="1"/>
    <x v="22"/>
    <x v="1"/>
    <x v="9"/>
    <x v="0"/>
    <x v="27"/>
    <x v="4"/>
    <x v="481"/>
    <n v="2470.4"/>
    <n v="4785.8"/>
    <n v="976.1"/>
    <n v="0.13451944539999999"/>
    <n v="6280.1"/>
    <n v="0.86548055459999995"/>
    <x v="478"/>
    <n v="482"/>
    <n v="0"/>
    <n v="0.86548055456023809"/>
    <x v="2"/>
  </r>
  <r>
    <x v="482"/>
    <x v="0"/>
    <x v="1"/>
    <x v="0"/>
    <x v="0"/>
    <x v="0"/>
    <x v="9"/>
    <x v="1"/>
    <x v="482"/>
    <n v="4583.7"/>
    <n v="2668.4"/>
    <n v="2499"/>
    <n v="0.34458984289999994"/>
    <n v="4753.1000000000004"/>
    <n v="0.65541015709999995"/>
    <x v="479"/>
    <n v="483"/>
    <n v="0"/>
    <n v="0.65541015705795569"/>
    <x v="2"/>
  </r>
  <r>
    <x v="483"/>
    <x v="1"/>
    <x v="32"/>
    <x v="8"/>
    <x v="1"/>
    <x v="0"/>
    <x v="15"/>
    <x v="3"/>
    <x v="483"/>
    <n v="0"/>
    <n v="7239.7"/>
    <n v="0"/>
    <n v="0"/>
    <n v="7239.7"/>
    <n v="1"/>
    <x v="480"/>
    <n v="484"/>
    <n v="0"/>
    <n v="1"/>
    <x v="2"/>
  </r>
  <r>
    <x v="484"/>
    <x v="0"/>
    <x v="1"/>
    <x v="0"/>
    <x v="0"/>
    <x v="0"/>
    <x v="16"/>
    <x v="0"/>
    <x v="484"/>
    <n v="0"/>
    <n v="7237.6"/>
    <n v="0"/>
    <n v="0"/>
    <n v="7237.6"/>
    <n v="1"/>
    <x v="481"/>
    <n v="485"/>
    <n v="0"/>
    <n v="1"/>
    <x v="2"/>
  </r>
  <r>
    <x v="485"/>
    <x v="0"/>
    <x v="23"/>
    <x v="1"/>
    <x v="0"/>
    <x v="0"/>
    <x v="26"/>
    <x v="4"/>
    <x v="485"/>
    <n v="3303.8"/>
    <n v="3905.7"/>
    <n v="2183.8000000000002"/>
    <n v="0.3029016866"/>
    <n v="5025.8"/>
    <n v="0.69709831339999995"/>
    <x v="482"/>
    <n v="486"/>
    <n v="0.1000000000003638"/>
    <n v="0.69710798252305983"/>
    <x v="2"/>
  </r>
  <r>
    <x v="486"/>
    <x v="0"/>
    <x v="2"/>
    <x v="0"/>
    <x v="1"/>
    <x v="0"/>
    <x v="19"/>
    <x v="4"/>
    <x v="486"/>
    <n v="4689.2"/>
    <n v="2505.3000000000002"/>
    <n v="3982.2"/>
    <n v="0.55365236490000003"/>
    <n v="3210.4"/>
    <n v="0.44634763509999997"/>
    <x v="483"/>
    <n v="487"/>
    <n v="-1.8999999999996362"/>
    <n v="0.44622975884356109"/>
    <x v="2"/>
  </r>
  <r>
    <x v="487"/>
    <x v="0"/>
    <x v="5"/>
    <x v="2"/>
    <x v="4"/>
    <x v="1"/>
    <x v="27"/>
    <x v="4"/>
    <x v="487"/>
    <n v="6877.5"/>
    <n v="304.7"/>
    <n v="6118.4"/>
    <n v="0.85189568510000002"/>
    <n v="1063.7"/>
    <n v="0.14810431489999998"/>
    <x v="484"/>
    <n v="488"/>
    <n v="-9.9999999999454303E-2"/>
    <n v="0.14810225279162376"/>
    <x v="2"/>
  </r>
  <r>
    <x v="488"/>
    <x v="0"/>
    <x v="10"/>
    <x v="1"/>
    <x v="10"/>
    <x v="1"/>
    <x v="7"/>
    <x v="1"/>
    <x v="488"/>
    <n v="5595.9"/>
    <n v="1527.5"/>
    <n v="3002"/>
    <n v="0.42142796980000002"/>
    <n v="4121.3999999999996"/>
    <n v="0.57857203020000003"/>
    <x v="485"/>
    <n v="489"/>
    <n v="0"/>
    <n v="0.5785720302102928"/>
    <x v="2"/>
  </r>
  <r>
    <x v="489"/>
    <x v="0"/>
    <x v="1"/>
    <x v="0"/>
    <x v="1"/>
    <x v="0"/>
    <x v="11"/>
    <x v="0"/>
    <x v="489"/>
    <n v="4400.3"/>
    <n v="2716"/>
    <n v="3.9"/>
    <n v="5.4820708170000006E-4"/>
    <n v="7110.2"/>
    <n v="0.99945179289999997"/>
    <x v="486"/>
    <n v="490"/>
    <n v="-2.1999999999998181"/>
    <n v="0.99914281297865459"/>
    <x v="2"/>
  </r>
  <r>
    <x v="490"/>
    <x v="0"/>
    <x v="1"/>
    <x v="0"/>
    <x v="0"/>
    <x v="0"/>
    <x v="8"/>
    <x v="0"/>
    <x v="490"/>
    <n v="2882.3"/>
    <n v="4191.3999999999996"/>
    <n v="1158.3"/>
    <n v="0.16374740230000001"/>
    <n v="5915.4"/>
    <n v="0.83625259770000004"/>
    <x v="487"/>
    <n v="491"/>
    <n v="0"/>
    <n v="0.83625259765045168"/>
    <x v="2"/>
  </r>
  <r>
    <x v="491"/>
    <x v="0"/>
    <x v="1"/>
    <x v="0"/>
    <x v="0"/>
    <x v="0"/>
    <x v="17"/>
    <x v="4"/>
    <x v="491"/>
    <n v="7067.3"/>
    <n v="0"/>
    <n v="4346.8"/>
    <n v="0.61558070040000001"/>
    <n v="2714.5"/>
    <n v="0.38441929960000004"/>
    <x v="488"/>
    <n v="492"/>
    <n v="-6"/>
    <n v="0.38409293506714021"/>
    <x v="2"/>
  </r>
  <r>
    <x v="492"/>
    <x v="0"/>
    <x v="10"/>
    <x v="1"/>
    <x v="9"/>
    <x v="0"/>
    <x v="53"/>
    <x v="3"/>
    <x v="492"/>
    <n v="6505.8"/>
    <n v="557.1"/>
    <n v="5676.3"/>
    <n v="0.80409961470000002"/>
    <n v="1382.9"/>
    <n v="0.19590038530000001"/>
    <x v="489"/>
    <n v="493"/>
    <n v="-3.7000000000007276"/>
    <n v="0.19579776012686007"/>
    <x v="2"/>
  </r>
  <r>
    <x v="493"/>
    <x v="0"/>
    <x v="10"/>
    <x v="1"/>
    <x v="9"/>
    <x v="1"/>
    <x v="55"/>
    <x v="3"/>
    <x v="492"/>
    <n v="6607.2"/>
    <n v="446.9"/>
    <n v="7059.2"/>
    <n v="1"/>
    <n v="0"/>
    <n v="0"/>
    <x v="490"/>
    <n v="494"/>
    <n v="5.1000000000003638"/>
    <n v="0"/>
    <x v="2"/>
  </r>
  <r>
    <x v="494"/>
    <x v="0"/>
    <x v="1"/>
    <x v="0"/>
    <x v="1"/>
    <x v="0"/>
    <x v="18"/>
    <x v="2"/>
    <x v="493"/>
    <n v="6851.4"/>
    <n v="199.1"/>
    <n v="5805"/>
    <n v="0.82357948500000011"/>
    <n v="1243.5"/>
    <n v="0.176420515"/>
    <x v="491"/>
    <n v="495"/>
    <n v="-2"/>
    <n v="0.1763704701794199"/>
    <x v="2"/>
  </r>
  <r>
    <x v="495"/>
    <x v="0"/>
    <x v="2"/>
    <x v="0"/>
    <x v="5"/>
    <x v="1"/>
    <x v="31"/>
    <x v="3"/>
    <x v="494"/>
    <n v="7035"/>
    <n v="3.3"/>
    <n v="6940.1"/>
    <n v="0.98663652780000011"/>
    <n v="94"/>
    <n v="1.3363472229999999E-2"/>
    <x v="492"/>
    <n v="496"/>
    <n v="-4.1999999999998181"/>
    <n v="1.3355497776451699E-2"/>
    <x v="2"/>
  </r>
  <r>
    <x v="496"/>
    <x v="2"/>
    <x v="1"/>
    <x v="0"/>
    <x v="1"/>
    <x v="1"/>
    <x v="17"/>
    <x v="4"/>
    <x v="495"/>
    <n v="5774.4"/>
    <n v="1261.4000000000001"/>
    <n v="5705.9"/>
    <n v="0.81175399409999993"/>
    <n v="1323.2"/>
    <n v="0.18824600589999999"/>
    <x v="493"/>
    <n v="497"/>
    <n v="-6.6999999999989086"/>
    <n v="0.18806674436453569"/>
    <x v="2"/>
  </r>
  <r>
    <x v="497"/>
    <x v="0"/>
    <x v="1"/>
    <x v="0"/>
    <x v="22"/>
    <x v="1"/>
    <x v="15"/>
    <x v="3"/>
    <x v="496"/>
    <n v="7018.4"/>
    <n v="5.4"/>
    <n v="6806"/>
    <n v="0.96966761169999993"/>
    <n v="212.9"/>
    <n v="3.033238827E-2"/>
    <x v="494"/>
    <n v="498"/>
    <n v="-4.8999999999996362"/>
    <n v="3.0311227540647516E-2"/>
    <x v="2"/>
  </r>
  <r>
    <x v="498"/>
    <x v="0"/>
    <x v="1"/>
    <x v="0"/>
    <x v="18"/>
    <x v="1"/>
    <x v="37"/>
    <x v="3"/>
    <x v="497"/>
    <n v="4188.3999999999996"/>
    <n v="2798.5"/>
    <n v="6414.9"/>
    <n v="0.91951436269999998"/>
    <n v="561.5"/>
    <n v="8.0485637289999995E-2"/>
    <x v="495"/>
    <n v="499"/>
    <n v="-10.5"/>
    <n v="8.036468247720735E-2"/>
    <x v="2"/>
  </r>
  <r>
    <x v="499"/>
    <x v="0"/>
    <x v="1"/>
    <x v="1"/>
    <x v="2"/>
    <x v="0"/>
    <x v="17"/>
    <x v="4"/>
    <x v="498"/>
    <n v="6956"/>
    <n v="20.3"/>
    <n v="1876.2"/>
    <n v="0.26910499139999999"/>
    <n v="5095.8"/>
    <n v="0.73089500860000001"/>
    <x v="496"/>
    <n v="500"/>
    <n v="-4.3000000000001819"/>
    <n v="0.7304445049668162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217E84-B80F-4A50-9FDC-3538730F5398}"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7">
  <location ref="G27:I32" firstHeaderRow="0" firstDataRow="1" firstDataCol="1"/>
  <pivotFields count="20">
    <pivotField axis="axisRow" showAll="0" measureFilter="1">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pivotField showAll="0">
      <items count="12">
        <item x="0"/>
        <item x="7"/>
        <item x="4"/>
        <item x="3"/>
        <item x="8"/>
        <item x="2"/>
        <item x="5"/>
        <item x="10"/>
        <item x="1"/>
        <item x="6"/>
        <item x="9"/>
        <item t="default"/>
      </items>
    </pivotField>
    <pivotField showAll="0"/>
    <pivotField showAll="0">
      <items count="3">
        <item x="1"/>
        <item x="0"/>
        <item t="default"/>
      </items>
    </pivotField>
    <pivotField numFmtId="1" showAll="0"/>
    <pivotField showAll="0">
      <items count="7">
        <item x="3"/>
        <item x="2"/>
        <item x="0"/>
        <item x="1"/>
        <item x="4"/>
        <item x="5"/>
        <item t="default"/>
      </items>
    </pivotField>
    <pivotField numFmtId="1" showAll="0"/>
    <pivotField dataField="1" numFmtId="1" showAll="0"/>
    <pivotField dataField="1" numFmtId="1" showAll="0"/>
    <pivotField numFmtId="1" showAll="0"/>
    <pivotField numFmtId="164" showAll="0"/>
    <pivotField numFmtId="2" showAll="0"/>
    <pivotField numFmtId="164" showAll="0"/>
    <pivotField numFmtId="1" showAll="0"/>
    <pivotField numFmtId="1" showAll="0"/>
    <pivotField numFmtId="1" showAll="0"/>
    <pivotField numFmtId="9" showAll="0"/>
    <pivotField showAll="0">
      <items count="4">
        <item x="0"/>
        <item x="2"/>
        <item x="1"/>
        <item t="default"/>
      </items>
    </pivotField>
  </pivotFields>
  <rowFields count="1">
    <field x="0"/>
  </rowFields>
  <rowItems count="5">
    <i>
      <x v="47"/>
    </i>
    <i>
      <x v="138"/>
    </i>
    <i>
      <x v="142"/>
    </i>
    <i>
      <x v="434"/>
    </i>
    <i>
      <x v="452"/>
    </i>
  </rowItems>
  <colFields count="1">
    <field x="-2"/>
  </colFields>
  <colItems count="2">
    <i>
      <x/>
    </i>
    <i i="1">
      <x v="1"/>
    </i>
  </colItems>
  <dataFields count="2">
    <dataField name="Lead Streams" fld="9" baseField="0" baseItem="47" numFmtId="1"/>
    <dataField name="Feature Streams" fld="10" baseField="0" baseItem="47" numFmtId="1"/>
  </dataFields>
  <chartFormats count="2">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5E01C3-8CE4-496F-B559-F8DD6ACCE3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pivotField showAll="0"/>
    <pivotField showAll="0"/>
    <pivotField showAll="0">
      <items count="3">
        <item x="1"/>
        <item x="0"/>
        <item t="default"/>
      </items>
    </pivotField>
    <pivotField numFmtId="1" showAll="0"/>
    <pivotField showAll="0">
      <items count="7">
        <item x="3"/>
        <item x="2"/>
        <item x="0"/>
        <item x="1"/>
        <item x="4"/>
        <item x="5"/>
        <item t="default"/>
      </items>
    </pivotField>
    <pivotField numFmtId="1" showAll="0"/>
    <pivotField numFmtId="1" showAll="0"/>
    <pivotField numFmtId="1" showAll="0"/>
    <pivotField numFmtId="1" showAll="0"/>
    <pivotField numFmtId="164" showAll="0"/>
    <pivotField numFmtId="2" showAll="0"/>
    <pivotField numFmtId="164" showAll="0"/>
    <pivotField dataField="1" numFmtId="1" showAll="0"/>
    <pivotField numFmtId="1" showAll="0"/>
    <pivotField numFmtId="1" showAll="0"/>
    <pivotField numFmtId="9" showAll="0"/>
    <pivotField showAll="0">
      <items count="4">
        <item x="0"/>
        <item x="2"/>
        <item x="1"/>
        <item t="default"/>
      </items>
    </pivotField>
  </pivotFields>
  <rowItems count="1">
    <i/>
  </rowItems>
  <colItems count="1">
    <i/>
  </colItems>
  <dataFields count="1">
    <dataField name="Total Streams"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B305CC-1F4C-433D-B6E0-4B939EBB63B4}" name="soloVS collab"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29:C34" firstHeaderRow="0" firstDataRow="1" firstDataCol="1"/>
  <pivotFields count="20">
    <pivotField axis="axisRow" showAll="0" measureFilter="1">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pivotField showAll="0"/>
    <pivotField showAll="0"/>
    <pivotField showAll="0">
      <items count="3">
        <item x="1"/>
        <item x="0"/>
        <item t="default"/>
      </items>
    </pivotField>
    <pivotField numFmtId="1" showAll="0"/>
    <pivotField showAll="0">
      <items count="7">
        <item x="3"/>
        <item x="2"/>
        <item x="0"/>
        <item x="1"/>
        <item x="4"/>
        <item x="5"/>
        <item t="default"/>
      </items>
    </pivotField>
    <pivotField numFmtId="1" showAll="0"/>
    <pivotField numFmtId="1" showAll="0"/>
    <pivotField numFmtId="1" showAll="0"/>
    <pivotField numFmtId="1" showAll="0"/>
    <pivotField numFmtId="164" showAll="0"/>
    <pivotField numFmtId="2" showAll="0"/>
    <pivotField numFmtId="164" showAll="0"/>
    <pivotField dataField="1" numFmtId="1" showAll="0"/>
    <pivotField numFmtId="1" showAll="0"/>
    <pivotField numFmtId="1" showAll="0"/>
    <pivotField dataField="1" numFmtId="9" showAll="0"/>
    <pivotField showAll="0">
      <items count="4">
        <item x="0"/>
        <item x="2"/>
        <item x="1"/>
        <item t="default"/>
      </items>
    </pivotField>
  </pivotFields>
  <rowFields count="1">
    <field x="0"/>
  </rowFields>
  <rowItems count="5">
    <i>
      <x v="47"/>
    </i>
    <i>
      <x v="138"/>
    </i>
    <i>
      <x v="226"/>
    </i>
    <i>
      <x v="434"/>
    </i>
    <i>
      <x v="452"/>
    </i>
  </rowItems>
  <colFields count="1">
    <field x="-2"/>
  </colFields>
  <colItems count="2">
    <i>
      <x/>
    </i>
    <i i="1">
      <x v="1"/>
    </i>
  </colItems>
  <dataFields count="2">
    <dataField name="Total Streams" fld="15" baseField="0" baseItem="47" numFmtId="1"/>
    <dataField name="Collaborative_Rate" fld="18" baseField="0" baseItem="47" numFmtId="9"/>
  </dataFields>
  <chartFormats count="3">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0" count="1" selected="0">
            <x v="434"/>
          </reference>
        </references>
      </pivotArea>
    </chartFormat>
    <chartFormat chart="11" format="2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92642F-E6FD-4E18-9A60-0D5D2217D6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0">
    <pivotField dataField="1"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pivotField showAll="0"/>
    <pivotField showAll="0"/>
    <pivotField showAll="0">
      <items count="3">
        <item x="1"/>
        <item x="0"/>
        <item t="default"/>
      </items>
    </pivotField>
    <pivotField numFmtId="1" showAll="0"/>
    <pivotField showAll="0">
      <items count="7">
        <item x="3"/>
        <item x="2"/>
        <item x="0"/>
        <item x="1"/>
        <item x="4"/>
        <item x="5"/>
        <item t="default"/>
      </items>
    </pivotField>
    <pivotField numFmtId="1" showAll="0"/>
    <pivotField numFmtId="1" showAll="0"/>
    <pivotField numFmtId="1" showAll="0"/>
    <pivotField numFmtId="1" showAll="0"/>
    <pivotField numFmtId="164" showAll="0"/>
    <pivotField numFmtId="2" showAll="0"/>
    <pivotField numFmtId="164" showAll="0"/>
    <pivotField numFmtId="1" showAll="0"/>
    <pivotField numFmtId="1" showAll="0"/>
    <pivotField numFmtId="1" showAll="0"/>
    <pivotField numFmtId="9" showAll="0"/>
    <pivotField showAll="0">
      <items count="4">
        <item x="0"/>
        <item x="2"/>
        <item x="1"/>
        <item t="default"/>
      </items>
    </pivotField>
  </pivotFields>
  <rowItems count="1">
    <i/>
  </rowItems>
  <colItems count="1">
    <i/>
  </colItems>
  <dataFields count="1">
    <dataField name="Total Artists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37D3D2-F397-4FBD-95DF-2E07D350A14B}" name="top5_Artists"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location ref="A8:B13" firstHeaderRow="1" firstDataRow="1" firstDataCol="1"/>
  <pivotFields count="20">
    <pivotField axis="axisRow" showAll="0" measureFilter="1">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pivotField showAll="0"/>
    <pivotField showAll="0"/>
    <pivotField showAll="0">
      <items count="3">
        <item x="1"/>
        <item x="0"/>
        <item t="default"/>
      </items>
    </pivotField>
    <pivotField numFmtId="1" showAll="0"/>
    <pivotField showAll="0">
      <items count="7">
        <item x="3"/>
        <item x="2"/>
        <item x="0"/>
        <item x="1"/>
        <item x="4"/>
        <item x="5"/>
        <item t="default"/>
      </items>
    </pivotField>
    <pivotField numFmtId="1" showAll="0"/>
    <pivotField numFmtId="1" showAll="0"/>
    <pivotField numFmtId="1" showAll="0"/>
    <pivotField numFmtId="1" showAll="0"/>
    <pivotField numFmtId="164" showAll="0"/>
    <pivotField numFmtId="2" showAll="0"/>
    <pivotField numFmtId="164" showAll="0"/>
    <pivotField dataField="1" numFmtId="1" showAll="0"/>
    <pivotField numFmtId="1" showAll="0"/>
    <pivotField numFmtId="1" showAll="0"/>
    <pivotField numFmtId="9" showAll="0"/>
    <pivotField showAll="0">
      <items count="4">
        <item x="0"/>
        <item x="2"/>
        <item x="1"/>
        <item t="default"/>
      </items>
    </pivotField>
  </pivotFields>
  <rowFields count="1">
    <field x="0"/>
  </rowFields>
  <rowItems count="5">
    <i>
      <x v="47"/>
    </i>
    <i>
      <x v="138"/>
    </i>
    <i>
      <x v="226"/>
    </i>
    <i>
      <x v="434"/>
    </i>
    <i>
      <x v="452"/>
    </i>
  </rowItems>
  <colItems count="1">
    <i/>
  </colItems>
  <dataFields count="1">
    <dataField name="Total Streams" fld="15" baseField="0" baseItem="0" numFmtId="165"/>
  </dataFields>
  <chartFormats count="3">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8A77BE-CAA3-4275-B8D6-4186435A9994}" name="stream by count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7:B22" firstHeaderRow="1" firstDataRow="1" firstDataCol="1"/>
  <pivotFields count="20">
    <pivotField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axis="axisRow" showAll="0" measureFilter="1">
      <items count="44">
        <item x="22"/>
        <item x="11"/>
        <item x="39"/>
        <item x="3"/>
        <item x="34"/>
        <item x="17"/>
        <item x="0"/>
        <item x="27"/>
        <item x="4"/>
        <item x="13"/>
        <item x="41"/>
        <item x="33"/>
        <item x="35"/>
        <item x="7"/>
        <item x="12"/>
        <item x="38"/>
        <item x="42"/>
        <item x="8"/>
        <item x="21"/>
        <item x="32"/>
        <item x="19"/>
        <item x="24"/>
        <item x="10"/>
        <item x="26"/>
        <item x="36"/>
        <item x="18"/>
        <item x="25"/>
        <item x="29"/>
        <item x="15"/>
        <item x="37"/>
        <item x="16"/>
        <item x="40"/>
        <item x="28"/>
        <item x="9"/>
        <item x="20"/>
        <item x="30"/>
        <item x="5"/>
        <item x="23"/>
        <item x="14"/>
        <item x="6"/>
        <item x="2"/>
        <item x="1"/>
        <item x="31"/>
        <item t="default"/>
      </items>
    </pivotField>
    <pivotField showAll="0"/>
    <pivotField showAll="0"/>
    <pivotField showAll="0">
      <items count="3">
        <item x="1"/>
        <item x="0"/>
        <item t="default"/>
      </items>
    </pivotField>
    <pivotField numFmtId="1" showAll="0"/>
    <pivotField showAll="0">
      <items count="7">
        <item x="3"/>
        <item x="2"/>
        <item x="0"/>
        <item x="1"/>
        <item x="4"/>
        <item x="5"/>
        <item t="default"/>
      </items>
    </pivotField>
    <pivotField numFmtId="1" showAll="0"/>
    <pivotField numFmtId="1" showAll="0"/>
    <pivotField numFmtId="1" showAll="0"/>
    <pivotField numFmtId="1" showAll="0"/>
    <pivotField numFmtId="164" showAll="0"/>
    <pivotField numFmtId="2" showAll="0"/>
    <pivotField numFmtId="164" showAll="0"/>
    <pivotField dataField="1" numFmtId="1" showAll="0"/>
    <pivotField numFmtId="1" showAll="0"/>
    <pivotField numFmtId="1" showAll="0"/>
    <pivotField numFmtId="9" showAll="0"/>
    <pivotField showAll="0">
      <items count="4">
        <item x="0"/>
        <item x="2"/>
        <item x="1"/>
        <item t="default"/>
      </items>
    </pivotField>
  </pivotFields>
  <rowFields count="1">
    <field x="2"/>
  </rowFields>
  <rowItems count="5">
    <i>
      <x v="6"/>
    </i>
    <i>
      <x v="8"/>
    </i>
    <i>
      <x v="22"/>
    </i>
    <i>
      <x v="40"/>
    </i>
    <i>
      <x v="41"/>
    </i>
  </rowItems>
  <colItems count="1">
    <i/>
  </colItems>
  <dataFields count="1">
    <dataField name="Sum of Total Stream" fld="15" baseField="7" baseItem="2" numFmtId="165"/>
  </dataFields>
  <chartFormats count="1">
    <chartFormat chart="2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8FE895-8691-4BAC-84CB-828CC4FACFC2}"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Top Artist">
  <location ref="E3:F5" firstHeaderRow="1" firstDataRow="1" firstDataCol="1"/>
  <pivotFields count="20">
    <pivotField axis="axisRow" showAll="0" measureFilter="1">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pivotField showAll="0"/>
    <pivotField showAll="0"/>
    <pivotField showAll="0">
      <items count="3">
        <item x="1"/>
        <item x="0"/>
        <item t="default"/>
      </items>
    </pivotField>
    <pivotField axis="axisRow" numFmtId="1" showAll="0">
      <items count="62">
        <item x="48"/>
        <item x="32"/>
        <item x="49"/>
        <item x="60"/>
        <item x="28"/>
        <item x="57"/>
        <item x="30"/>
        <item x="56"/>
        <item x="40"/>
        <item x="50"/>
        <item x="35"/>
        <item x="53"/>
        <item x="47"/>
        <item x="23"/>
        <item x="39"/>
        <item x="55"/>
        <item x="59"/>
        <item x="31"/>
        <item x="54"/>
        <item x="58"/>
        <item x="38"/>
        <item x="36"/>
        <item x="33"/>
        <item x="46"/>
        <item x="52"/>
        <item x="51"/>
        <item x="42"/>
        <item x="12"/>
        <item x="13"/>
        <item x="41"/>
        <item x="34"/>
        <item x="37"/>
        <item x="29"/>
        <item x="5"/>
        <item x="15"/>
        <item x="43"/>
        <item x="10"/>
        <item x="21"/>
        <item x="25"/>
        <item x="18"/>
        <item x="20"/>
        <item x="3"/>
        <item x="6"/>
        <item x="0"/>
        <item x="11"/>
        <item x="16"/>
        <item x="2"/>
        <item x="8"/>
        <item x="4"/>
        <item x="9"/>
        <item x="1"/>
        <item x="14"/>
        <item x="7"/>
        <item x="19"/>
        <item x="17"/>
        <item x="26"/>
        <item x="27"/>
        <item x="22"/>
        <item x="24"/>
        <item x="45"/>
        <item x="44"/>
        <item t="default"/>
      </items>
    </pivotField>
    <pivotField showAll="0">
      <items count="7">
        <item x="3"/>
        <item x="2"/>
        <item x="0"/>
        <item x="1"/>
        <item x="4"/>
        <item x="5"/>
        <item t="default"/>
      </items>
    </pivotField>
    <pivotField numFmtId="1" showAll="0"/>
    <pivotField numFmtId="1" showAll="0"/>
    <pivotField numFmtId="1" showAll="0"/>
    <pivotField numFmtId="1" showAll="0"/>
    <pivotField numFmtId="164" showAll="0"/>
    <pivotField numFmtId="2" showAll="0"/>
    <pivotField numFmtId="164" showAll="0"/>
    <pivotField dataField="1" numFmtId="1" showAll="0"/>
    <pivotField numFmtId="1" showAll="0"/>
    <pivotField numFmtId="1" showAll="0"/>
    <pivotField numFmtId="9" showAll="0"/>
    <pivotField showAll="0">
      <items count="4">
        <item x="0"/>
        <item x="2"/>
        <item x="1"/>
        <item t="default"/>
      </items>
    </pivotField>
  </pivotFields>
  <rowFields count="2">
    <field x="0"/>
    <field x="6"/>
  </rowFields>
  <rowItems count="2">
    <i>
      <x v="138"/>
    </i>
    <i r="1">
      <x v="43"/>
    </i>
  </rowItems>
  <colItems count="1">
    <i/>
  </colItems>
  <dataFields count="1">
    <dataField name="Average of Total Stream" fld="15" subtotal="average" baseField="0" baseItem="47" numFmtId="166"/>
  </dataFields>
  <formats count="1">
    <format dxfId="1">
      <pivotArea outline="0" collapsedLevelsAreSubtotals="1" fieldPosition="0"/>
    </format>
  </formats>
  <pivotTableStyleInfo name="PivotStyleLight16" showRowHeaders="1" showColHeaders="1" showRowStripes="0" showColStripes="0" showLastColumn="1"/>
  <filters count="1">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989D12-860B-4658-8450-6E2DDE323ADF}" name="Top5_Genre"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8">
  <location ref="D17:E22" firstHeaderRow="1" firstDataRow="1" firstDataCol="1"/>
  <pivotFields count="20">
    <pivotField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pivotField showAll="0"/>
    <pivotField axis="axisRow" showAll="0" measureFilter="1">
      <items count="24">
        <item x="19"/>
        <item x="6"/>
        <item x="14"/>
        <item x="21"/>
        <item x="11"/>
        <item x="7"/>
        <item x="8"/>
        <item x="17"/>
        <item x="0"/>
        <item x="4"/>
        <item x="9"/>
        <item x="18"/>
        <item x="22"/>
        <item x="1"/>
        <item x="3"/>
        <item x="16"/>
        <item x="2"/>
        <item x="10"/>
        <item x="5"/>
        <item x="15"/>
        <item x="20"/>
        <item x="13"/>
        <item x="12"/>
        <item t="default"/>
      </items>
    </pivotField>
    <pivotField showAll="0">
      <items count="3">
        <item x="1"/>
        <item x="0"/>
        <item t="default"/>
      </items>
    </pivotField>
    <pivotField numFmtId="1" showAll="0"/>
    <pivotField showAll="0">
      <items count="7">
        <item x="3"/>
        <item x="2"/>
        <item x="0"/>
        <item x="1"/>
        <item x="4"/>
        <item x="5"/>
        <item t="default"/>
      </items>
    </pivotField>
    <pivotField numFmtId="1" showAll="0"/>
    <pivotField numFmtId="1" showAll="0"/>
    <pivotField numFmtId="1" showAll="0"/>
    <pivotField numFmtId="1" showAll="0"/>
    <pivotField numFmtId="164" showAll="0"/>
    <pivotField numFmtId="2" showAll="0"/>
    <pivotField numFmtId="164" showAll="0"/>
    <pivotField dataField="1" numFmtId="1" showAll="0"/>
    <pivotField numFmtId="1" showAll="0"/>
    <pivotField numFmtId="1" showAll="0"/>
    <pivotField numFmtId="9" showAll="0"/>
    <pivotField showAll="0">
      <items count="4">
        <item x="0"/>
        <item x="2"/>
        <item x="1"/>
        <item t="default"/>
      </items>
    </pivotField>
  </pivotFields>
  <rowFields count="1">
    <field x="4"/>
  </rowFields>
  <rowItems count="5">
    <i>
      <x v="8"/>
    </i>
    <i>
      <x v="13"/>
    </i>
    <i>
      <x v="14"/>
    </i>
    <i>
      <x v="16"/>
    </i>
    <i>
      <x v="18"/>
    </i>
  </rowItems>
  <colItems count="1">
    <i/>
  </colItems>
  <dataFields count="1">
    <dataField name="Sum of Total Stream" fld="15" baseField="4" baseItem="7" numFmtId="167"/>
  </dataFields>
  <chartFormats count="1">
    <chartFormat chart="1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BAB7F2-54F7-4974-A0F0-A36177AF57A7}" name="stream by languages"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4">
  <location ref="G17:H22" firstHeaderRow="1" firstDataRow="1" firstDataCol="1"/>
  <pivotFields count="20">
    <pivotField showAll="0">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measureFilter="1"/>
    <pivotField axis="axisRow" showAll="0" measureFilter="1">
      <items count="12">
        <item x="0"/>
        <item x="7"/>
        <item x="4"/>
        <item x="3"/>
        <item x="8"/>
        <item x="2"/>
        <item x="5"/>
        <item x="10"/>
        <item x="1"/>
        <item x="6"/>
        <item x="9"/>
        <item t="default"/>
      </items>
    </pivotField>
    <pivotField showAll="0"/>
    <pivotField showAll="0">
      <items count="3">
        <item x="1"/>
        <item x="0"/>
        <item t="default"/>
      </items>
    </pivotField>
    <pivotField numFmtId="1" showAll="0"/>
    <pivotField showAll="0">
      <items count="7">
        <item x="3"/>
        <item x="2"/>
        <item x="0"/>
        <item x="1"/>
        <item x="4"/>
        <item x="5"/>
        <item t="default"/>
      </items>
    </pivotField>
    <pivotField numFmtId="1" showAll="0"/>
    <pivotField numFmtId="1" showAll="0"/>
    <pivotField numFmtId="1" showAll="0"/>
    <pivotField numFmtId="1" showAll="0"/>
    <pivotField numFmtId="164" showAll="0"/>
    <pivotField numFmtId="2" showAll="0"/>
    <pivotField numFmtId="164" showAll="0"/>
    <pivotField dataField="1" numFmtId="1" showAll="0"/>
    <pivotField numFmtId="1" showAll="0"/>
    <pivotField numFmtId="1" showAll="0"/>
    <pivotField numFmtId="9" showAll="0"/>
    <pivotField showAll="0">
      <items count="4">
        <item x="0"/>
        <item x="2"/>
        <item x="1"/>
        <item t="default"/>
      </items>
    </pivotField>
  </pivotFields>
  <rowFields count="1">
    <field x="3"/>
  </rowFields>
  <rowItems count="5">
    <i>
      <x/>
    </i>
    <i>
      <x v="3"/>
    </i>
    <i>
      <x v="5"/>
    </i>
    <i>
      <x v="6"/>
    </i>
    <i>
      <x v="8"/>
    </i>
  </rowItems>
  <colItems count="1">
    <i/>
  </colItems>
  <dataFields count="1">
    <dataField name="Sum of Total Stream" fld="15" baseField="7" baseItem="2" numFmtId="165"/>
  </dataFields>
  <pivotTableStyleInfo name="PivotStyleLight16" showRowHeaders="1" showColHeaders="1" showRowStripes="0" showColStripes="0" showLastColumn="1"/>
  <filters count="2">
    <filter fld="3" type="count" evalOrder="-1" id="5" iMeasureFld="0">
      <autoFilter ref="A1">
        <filterColumn colId="0">
          <top10 val="5" filterVal="5"/>
        </filterColumn>
      </autoFilter>
    </filter>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C54DFB-CD0D-440E-BBD6-419AF6A9687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7:H9" firstHeaderRow="0" firstDataRow="1" firstDataCol="1"/>
  <pivotFields count="20">
    <pivotField axis="axisRow" showAll="0" measureFilter="1">
      <items count="501">
        <item x="189"/>
        <item x="93"/>
        <item x="196"/>
        <item x="32"/>
        <item x="190"/>
        <item x="230"/>
        <item x="99"/>
        <item x="408"/>
        <item x="440"/>
        <item x="139"/>
        <item x="83"/>
        <item x="167"/>
        <item x="233"/>
        <item x="223"/>
        <item x="135"/>
        <item x="62"/>
        <item x="413"/>
        <item x="134"/>
        <item x="138"/>
        <item x="381"/>
        <item x="346"/>
        <item x="311"/>
        <item x="443"/>
        <item x="364"/>
        <item x="247"/>
        <item x="360"/>
        <item x="317"/>
        <item x="246"/>
        <item x="373"/>
        <item x="463"/>
        <item x="338"/>
        <item x="173"/>
        <item x="163"/>
        <item x="238"/>
        <item x="28"/>
        <item x="90"/>
        <item x="66"/>
        <item x="5"/>
        <item x="34"/>
        <item x="430"/>
        <item x="234"/>
        <item x="435"/>
        <item x="297"/>
        <item x="95"/>
        <item x="377"/>
        <item x="466"/>
        <item x="390"/>
        <item x="2"/>
        <item x="208"/>
        <item x="342"/>
        <item x="279"/>
        <item x="457"/>
        <item x="130"/>
        <item x="224"/>
        <item x="414"/>
        <item x="489"/>
        <item x="322"/>
        <item x="40"/>
        <item x="403"/>
        <item x="144"/>
        <item x="11"/>
        <item x="349"/>
        <item x="159"/>
        <item x="155"/>
        <item x="267"/>
        <item x="128"/>
        <item x="361"/>
        <item x="290"/>
        <item x="171"/>
        <item x="419"/>
        <item x="288"/>
        <item x="402"/>
        <item x="206"/>
        <item x="318"/>
        <item x="149"/>
        <item x="363"/>
        <item x="12"/>
        <item x="460"/>
        <item x="242"/>
        <item x="198"/>
        <item x="442"/>
        <item x="17"/>
        <item x="307"/>
        <item x="459"/>
        <item x="395"/>
        <item x="486"/>
        <item x="43"/>
        <item x="92"/>
        <item x="194"/>
        <item x="137"/>
        <item x="87"/>
        <item x="356"/>
        <item x="319"/>
        <item x="265"/>
        <item x="396"/>
        <item x="177"/>
        <item x="120"/>
        <item x="339"/>
        <item x="286"/>
        <item x="215"/>
        <item x="21"/>
        <item x="257"/>
        <item x="205"/>
        <item x="275"/>
        <item x="214"/>
        <item x="369"/>
        <item x="294"/>
        <item x="19"/>
        <item x="305"/>
        <item x="268"/>
        <item x="262"/>
        <item x="103"/>
        <item x="26"/>
        <item x="131"/>
        <item x="323"/>
        <item x="154"/>
        <item x="308"/>
        <item x="287"/>
        <item x="376"/>
        <item x="295"/>
        <item x="24"/>
        <item x="303"/>
        <item x="368"/>
        <item x="133"/>
        <item x="81"/>
        <item x="96"/>
        <item x="433"/>
        <item x="441"/>
        <item x="89"/>
        <item x="453"/>
        <item x="272"/>
        <item x="372"/>
        <item x="153"/>
        <item x="50"/>
        <item x="462"/>
        <item x="118"/>
        <item x="104"/>
        <item x="212"/>
        <item x="0"/>
        <item x="25"/>
        <item x="158"/>
        <item x="426"/>
        <item x="8"/>
        <item x="359"/>
        <item x="244"/>
        <item x="142"/>
        <item x="112"/>
        <item x="260"/>
        <item x="9"/>
        <item x="461"/>
        <item x="226"/>
        <item x="420"/>
        <item x="179"/>
        <item x="54"/>
        <item x="42"/>
        <item x="406"/>
        <item x="384"/>
        <item x="477"/>
        <item x="140"/>
        <item x="145"/>
        <item x="344"/>
        <item x="329"/>
        <item x="298"/>
        <item x="80"/>
        <item x="240"/>
        <item x="258"/>
        <item x="67"/>
        <item x="16"/>
        <item x="358"/>
        <item x="168"/>
        <item x="394"/>
        <item x="348"/>
        <item x="382"/>
        <item x="191"/>
        <item x="333"/>
        <item x="164"/>
        <item x="245"/>
        <item x="193"/>
        <item x="488"/>
        <item x="480"/>
        <item x="175"/>
        <item x="65"/>
        <item x="201"/>
        <item x="243"/>
        <item x="454"/>
        <item x="76"/>
        <item x="366"/>
        <item x="56"/>
        <item x="110"/>
        <item x="141"/>
        <item x="30"/>
        <item x="277"/>
        <item x="15"/>
        <item x="47"/>
        <item x="82"/>
        <item x="231"/>
        <item x="386"/>
        <item x="150"/>
        <item x="467"/>
        <item x="127"/>
        <item x="494"/>
        <item x="405"/>
        <item x="421"/>
        <item x="355"/>
        <item x="335"/>
        <item x="424"/>
        <item x="129"/>
        <item x="292"/>
        <item x="490"/>
        <item x="391"/>
        <item x="380"/>
        <item x="252"/>
        <item x="218"/>
        <item x="465"/>
        <item x="178"/>
        <item x="352"/>
        <item x="365"/>
        <item x="181"/>
        <item x="492"/>
        <item x="354"/>
        <item x="20"/>
        <item x="398"/>
        <item x="367"/>
        <item x="340"/>
        <item x="270"/>
        <item x="68"/>
        <item x="4"/>
        <item x="170"/>
        <item x="121"/>
        <item x="125"/>
        <item x="478"/>
        <item x="7"/>
        <item x="458"/>
        <item x="36"/>
        <item x="64"/>
        <item x="293"/>
        <item x="400"/>
        <item x="13"/>
        <item x="248"/>
        <item x="456"/>
        <item x="39"/>
        <item x="469"/>
        <item x="169"/>
        <item x="379"/>
        <item x="126"/>
        <item x="498"/>
        <item x="447"/>
        <item x="106"/>
        <item x="314"/>
        <item x="285"/>
        <item x="35"/>
        <item x="23"/>
        <item x="464"/>
        <item x="479"/>
        <item x="249"/>
        <item x="320"/>
        <item x="327"/>
        <item x="195"/>
        <item x="192"/>
        <item x="37"/>
        <item x="165"/>
        <item x="220"/>
        <item x="116"/>
        <item x="254"/>
        <item x="347"/>
        <item x="48"/>
        <item x="31"/>
        <item x="227"/>
        <item x="497"/>
        <item x="45"/>
        <item x="278"/>
        <item x="222"/>
        <item x="255"/>
        <item x="437"/>
        <item x="493"/>
        <item x="378"/>
        <item x="468"/>
        <item x="306"/>
        <item x="330"/>
        <item x="132"/>
        <item x="228"/>
        <item x="350"/>
        <item x="111"/>
        <item x="476"/>
        <item x="328"/>
        <item x="321"/>
        <item x="102"/>
        <item x="237"/>
        <item x="474"/>
        <item x="250"/>
        <item x="483"/>
        <item x="470"/>
        <item x="217"/>
        <item x="41"/>
        <item x="392"/>
        <item x="326"/>
        <item x="113"/>
        <item x="162"/>
        <item x="325"/>
        <item x="300"/>
        <item x="202"/>
        <item x="399"/>
        <item x="38"/>
        <item x="86"/>
        <item x="207"/>
        <item x="316"/>
        <item x="471"/>
        <item x="256"/>
        <item x="309"/>
        <item x="204"/>
        <item x="253"/>
        <item x="259"/>
        <item x="117"/>
        <item x="60"/>
        <item x="210"/>
        <item x="236"/>
        <item x="78"/>
        <item x="160"/>
        <item x="219"/>
        <item x="84"/>
        <item x="404"/>
        <item x="281"/>
        <item x="482"/>
        <item x="213"/>
        <item x="485"/>
        <item x="186"/>
        <item x="52"/>
        <item x="446"/>
        <item x="351"/>
        <item x="310"/>
        <item x="44"/>
        <item x="100"/>
        <item x="409"/>
        <item x="362"/>
        <item x="385"/>
        <item x="445"/>
        <item x="451"/>
        <item x="332"/>
        <item x="434"/>
        <item x="174"/>
        <item x="197"/>
        <item x="407"/>
        <item x="324"/>
        <item x="22"/>
        <item x="481"/>
        <item x="74"/>
        <item x="266"/>
        <item x="147"/>
        <item x="393"/>
        <item x="203"/>
        <item x="410"/>
        <item x="274"/>
        <item x="182"/>
        <item x="432"/>
        <item x="61"/>
        <item x="499"/>
        <item x="59"/>
        <item x="94"/>
        <item x="337"/>
        <item x="431"/>
        <item x="18"/>
        <item x="146"/>
        <item x="183"/>
        <item x="264"/>
        <item x="180"/>
        <item x="313"/>
        <item x="448"/>
        <item x="46"/>
        <item x="152"/>
        <item x="428"/>
        <item x="209"/>
        <item x="416"/>
        <item x="73"/>
        <item x="301"/>
        <item x="75"/>
        <item x="166"/>
        <item x="148"/>
        <item x="14"/>
        <item x="341"/>
        <item x="63"/>
        <item x="109"/>
        <item x="57"/>
        <item x="185"/>
        <item x="143"/>
        <item x="423"/>
        <item x="444"/>
        <item x="284"/>
        <item x="27"/>
        <item x="331"/>
        <item x="91"/>
        <item x="251"/>
        <item x="199"/>
        <item x="438"/>
        <item x="436"/>
        <item x="261"/>
        <item x="10"/>
        <item x="455"/>
        <item x="241"/>
        <item x="417"/>
        <item x="200"/>
        <item x="98"/>
        <item x="176"/>
        <item x="422"/>
        <item x="450"/>
        <item x="484"/>
        <item x="79"/>
        <item x="383"/>
        <item x="58"/>
        <item x="439"/>
        <item x="123"/>
        <item x="136"/>
        <item x="107"/>
        <item x="70"/>
        <item x="387"/>
        <item x="343"/>
        <item x="51"/>
        <item x="55"/>
        <item x="157"/>
        <item x="49"/>
        <item x="271"/>
        <item x="276"/>
        <item x="97"/>
        <item x="302"/>
        <item x="397"/>
        <item x="172"/>
        <item x="291"/>
        <item x="156"/>
        <item x="221"/>
        <item x="33"/>
        <item x="357"/>
        <item x="282"/>
        <item x="184"/>
        <item x="375"/>
        <item x="115"/>
        <item x="1"/>
        <item x="353"/>
        <item x="299"/>
        <item x="72"/>
        <item x="85"/>
        <item x="495"/>
        <item x="161"/>
        <item x="289"/>
        <item x="336"/>
        <item x="496"/>
        <item x="108"/>
        <item x="280"/>
        <item x="401"/>
        <item x="427"/>
        <item x="239"/>
        <item x="388"/>
        <item x="425"/>
        <item x="429"/>
        <item x="3"/>
        <item x="475"/>
        <item x="412"/>
        <item x="122"/>
        <item x="472"/>
        <item x="334"/>
        <item x="389"/>
        <item x="188"/>
        <item x="473"/>
        <item x="487"/>
        <item x="151"/>
        <item x="371"/>
        <item x="269"/>
        <item x="6"/>
        <item x="114"/>
        <item x="304"/>
        <item x="374"/>
        <item x="88"/>
        <item x="232"/>
        <item x="71"/>
        <item x="124"/>
        <item x="69"/>
        <item x="296"/>
        <item x="415"/>
        <item x="119"/>
        <item x="418"/>
        <item x="411"/>
        <item x="312"/>
        <item x="452"/>
        <item x="370"/>
        <item x="216"/>
        <item x="211"/>
        <item x="77"/>
        <item x="273"/>
        <item x="29"/>
        <item x="225"/>
        <item x="315"/>
        <item x="345"/>
        <item x="491"/>
        <item x="53"/>
        <item x="101"/>
        <item x="283"/>
        <item x="105"/>
        <item x="187"/>
        <item x="235"/>
        <item x="263"/>
        <item x="449"/>
        <item x="229"/>
        <item t="default"/>
      </items>
    </pivotField>
    <pivotField showAll="0">
      <items count="4">
        <item x="1"/>
        <item x="0"/>
        <item x="2"/>
        <item t="default"/>
      </items>
    </pivotField>
    <pivotField showAll="0"/>
    <pivotField showAll="0"/>
    <pivotField showAll="0"/>
    <pivotField showAll="0">
      <items count="3">
        <item x="1"/>
        <item x="0"/>
        <item t="default"/>
      </items>
    </pivotField>
    <pivotField numFmtId="1" showAll="0"/>
    <pivotField showAll="0">
      <items count="7">
        <item x="3"/>
        <item x="2"/>
        <item x="0"/>
        <item x="1"/>
        <item x="4"/>
        <item x="5"/>
        <item t="default"/>
      </items>
    </pivotField>
    <pivotField numFmtId="1" showAll="0"/>
    <pivotField numFmtId="1" showAll="0"/>
    <pivotField numFmtId="1" showAll="0"/>
    <pivotField numFmtId="1" showAll="0"/>
    <pivotField dataField="1" numFmtId="164" showAll="0"/>
    <pivotField numFmtId="2" showAll="0"/>
    <pivotField numFmtId="164" showAll="0"/>
    <pivotField dataField="1" numFmtId="1" showAll="0"/>
    <pivotField numFmtId="1" showAll="0"/>
    <pivotField numFmtId="1" showAll="0"/>
    <pivotField dataField="1" numFmtId="9" showAll="0"/>
    <pivotField showAll="0">
      <items count="4">
        <item x="0"/>
        <item x="2"/>
        <item x="1"/>
        <item t="default"/>
      </items>
    </pivotField>
  </pivotFields>
  <rowFields count="1">
    <field x="0"/>
  </rowFields>
  <rowItems count="2">
    <i>
      <x v="138"/>
    </i>
    <i t="grand">
      <x/>
    </i>
  </rowItems>
  <colFields count="1">
    <field x="-2"/>
  </colFields>
  <colItems count="3">
    <i>
      <x/>
    </i>
    <i i="1">
      <x v="1"/>
    </i>
    <i i="2">
      <x v="2"/>
    </i>
  </colItems>
  <dataFields count="3">
    <dataField name="Sum of Total Stream" fld="15" baseField="0" baseItem="0" numFmtId="1"/>
    <dataField name="Sum of Collaborative Rate" fld="18" baseField="0" baseItem="0" numFmtId="9"/>
    <dataField name="Sum of % of Solo Streams2" fld="12" baseField="0" baseItem="0" numFmtId="164"/>
  </dataFields>
  <formats count="1">
    <format dxfId="0">
      <pivotArea collapsedLevelsAreSubtotals="1" fieldPosition="0">
        <references count="2">
          <reference field="4294967294" count="1" selected="0">
            <x v="2"/>
          </reference>
          <reference field="0" count="1">
            <x v="138"/>
          </reference>
        </references>
      </pivotArea>
    </format>
  </formats>
  <pivotTableStyleInfo name="PivotStyleLight16" showRowHeaders="1" showColHeaders="1" showRowStripes="0" showColStripes="0" showLastColumn="1"/>
  <filters count="1">
    <filter fld="0"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107E5E3-347C-4A4C-8839-0DE6D3801247}" sourceName="Gender">
  <pivotTables>
    <pivotTable tabId="9" name="PivotTable1"/>
    <pivotTable tabId="9" name="PivotTable2"/>
    <pivotTable tabId="9" name="PivotTable3"/>
    <pivotTable tabId="9" name="soloVS collab"/>
    <pivotTable tabId="9" name="stream by country"/>
    <pivotTable tabId="9" name="stream by languages"/>
    <pivotTable tabId="9" name="top5_Artists"/>
    <pivotTable tabId="9" name="Top5_Genre"/>
    <pivotTable tabId="9" name="PivotTable4"/>
    <pivotTable tabId="9" name="PivotTable13"/>
  </pivotTables>
  <data>
    <tabular pivotCacheId="44413311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but_Year_Group1" xr10:uid="{6904747E-4A62-4B64-9F5E-66895B85CD80}" sourceName="Debut Year Group">
  <pivotTables>
    <pivotTable tabId="9" name="PivotTable3"/>
    <pivotTable tabId="9" name="PivotTable1"/>
    <pivotTable tabId="9" name="PivotTable2"/>
    <pivotTable tabId="9" name="soloVS collab"/>
    <pivotTable tabId="9" name="stream by country"/>
    <pivotTable tabId="9" name="stream by languages"/>
    <pivotTable tabId="9" name="top5_Artists"/>
    <pivotTable tabId="9" name="Top5_Genre"/>
    <pivotTable tabId="9" name="PivotTable4"/>
    <pivotTable tabId="9" name="PivotTable13"/>
  </pivotTables>
  <data>
    <tabular pivotCacheId="444133116">
      <items count="6">
        <i x="3" s="1"/>
        <i x="2" s="1"/>
        <i x="0" s="1"/>
        <i x="1"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Type" xr10:uid="{02D144C9-D750-4557-A68F-52462EA98561}" sourceName=" Artist Type">
  <pivotTables>
    <pivotTable tabId="9" name="PivotTable1"/>
    <pivotTable tabId="9" name="PivotTable2"/>
    <pivotTable tabId="9" name="PivotTable3"/>
    <pivotTable tabId="9" name="soloVS collab"/>
    <pivotTable tabId="9" name="stream by country"/>
    <pivotTable tabId="9" name="stream by languages"/>
    <pivotTable tabId="9" name="top5_Artists"/>
    <pivotTable tabId="9" name="Top5_Genre"/>
    <pivotTable tabId="9" name="PivotTable4"/>
    <pivotTable tabId="9" name="PivotTable13"/>
  </pivotTables>
  <data>
    <tabular pivotCacheId="44413311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Performance_Caterogy1" xr10:uid="{EBF97ADC-B1E9-4E75-A81A-F8612428F440}" sourceName="Artist Performance Caterogy">
  <pivotTables>
    <pivotTable tabId="9" name="PivotTable1"/>
    <pivotTable tabId="9" name="PivotTable2"/>
    <pivotTable tabId="9" name="PivotTable3"/>
    <pivotTable tabId="9" name="soloVS collab"/>
    <pivotTable tabId="9" name="stream by country"/>
    <pivotTable tabId="9" name="stream by languages"/>
    <pivotTable tabId="9" name="top5_Artists"/>
    <pivotTable tabId="9" name="Top5_Genre"/>
    <pivotTable tabId="9" name="PivotTable4"/>
    <pivotTable tabId="9" name="PivotTable13"/>
  </pivotTables>
  <data>
    <tabular pivotCacheId="44413311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7F5AD91-EDF6-454E-9CA2-581E983A3757}" cache="Slicer_Gender1" caption="Gender" style="Performance" rowHeight="216000"/>
  <slicer name="Debut Year Group 2" xr10:uid="{12F7774F-7D36-405A-A25E-47C4B4712D94}" cache="Slicer_Debut_Year_Group1" caption="Debut Year Group" columnCount="2" style="Performance" rowHeight="234950"/>
  <slicer name=" Artist Type" xr10:uid="{207F8678-D4BE-4652-83C5-51710B57A573}" cache="Slicer_Artist_Type" caption=" Artist Type" style="Performance" rowHeight="234950"/>
  <slicer name="Performance" xr10:uid="{0810CF61-4E2D-488E-B013-34084E18A4F8}" cache="Slicer_Artist_Performance_Caterogy1" caption="Performance" style="Performance"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0919B7-D7A2-4477-8805-1F8B8A2A2C8B}" name="Table2" displayName="Table2" ref="A1:P501" totalsRowShown="0">
  <autoFilter ref="A1:P501" xr:uid="{7F0919B7-D7A2-4477-8805-1F8B8A2A2C8B}"/>
  <tableColumns count="16">
    <tableColumn id="1" xr3:uid="{6E4B354D-3E0B-43BA-A8F5-774263DCFCF4}" name="Artist Name" dataDxfId="58"/>
    <tableColumn id="2" xr3:uid="{F50FA7F2-330D-43A5-9223-C23F9B09A605}" name="Gender" dataDxfId="57"/>
    <tableColumn id="3" xr3:uid="{9B7A662A-4BBD-4909-B23E-61A08B2AA96F}" name="Country of Origin" dataDxfId="56"/>
    <tableColumn id="4" xr3:uid="{F741D2B4-7FF6-40F5-8C92-29267E5A9B41}" name="Primary Language" dataDxfId="55"/>
    <tableColumn id="5" xr3:uid="{AE6FA45F-088A-4575-AE8E-FE1B07345BC2}" name="Primary Genre" dataDxfId="54"/>
    <tableColumn id="6" xr3:uid="{7484FD14-9BCA-458C-9FB0-815EB2EA1929}" name=" Artist Type" dataDxfId="53"/>
    <tableColumn id="7" xr3:uid="{6648BFD2-EBAD-4B6C-B17A-4A074DCDD080}" name="Debut Year" dataDxfId="52"/>
    <tableColumn id="8" xr3:uid="{3945D73B-6052-40CA-99D7-AB00CF33772F}" name="Total Streams (in millions)" dataDxfId="51"/>
    <tableColumn id="9" xr3:uid="{1101C78C-9D5B-437E-9F8F-45890B609CF7}" name="Lead Streams (in millions)" dataDxfId="50"/>
    <tableColumn id="10" xr3:uid="{0ED22EF5-1FA2-4817-BC43-2A83E72137E9}" name="Feature Streams (in millions)" dataDxfId="49"/>
    <tableColumn id="11" xr3:uid="{7C3F6E68-7D84-446C-B1AA-6A41D3042B21}" name="Solo Streams (in millions)" dataDxfId="48"/>
    <tableColumn id="12" xr3:uid="{ECD6AF5D-2A2C-4C36-BAE6-9D86E4683DF0}" name="% of Solo Streams" dataDxfId="47"/>
    <tableColumn id="17" xr3:uid="{BEABFF21-D8AF-467C-A1E4-1EDF20132ADA}" name="% of Solo Streams2" dataDxfId="46">
      <calculatedColumnFormula>Table2[[#This Row],[% of Solo Streams]]/100</calculatedColumnFormula>
    </tableColumn>
    <tableColumn id="13" xr3:uid="{FF415EE7-C477-40F3-A266-91CB4C826866}" name="Collaborative Streams (in millions)" dataDxfId="45"/>
    <tableColumn id="14" xr3:uid="{5B57B74E-AD55-4040-9DCC-6ED0F4AC420C}" name="% of Collaborative Streams" dataDxfId="44"/>
    <tableColumn id="19" xr3:uid="{56786740-F359-40A7-846F-25149E3C4F82}" name="% of Collaborative streams2" dataDxfId="43">
      <calculatedColumnFormula>Table2[[#This Row],[% of Collaborative Streams]]/100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0760EC-7620-4E24-83F0-6F03F0AFD166}" name="Table3" displayName="Table3" ref="A1:T502" totalsRowCount="1" tableBorderDxfId="42">
  <autoFilter ref="A1:T501" xr:uid="{950760EC-7620-4E24-83F0-6F03F0AFD166}"/>
  <tableColumns count="20">
    <tableColumn id="1" xr3:uid="{59388E64-439C-46F5-B4AA-B8849649B80B}" name="Artist Name" totalsRowFunction="custom" dataDxfId="41" totalsRowDxfId="40">
      <totalsRowFormula>COUNTA(Table3[Artist Name])</totalsRowFormula>
    </tableColumn>
    <tableColumn id="2" xr3:uid="{D32F8081-708B-4054-B6AF-463AC44B4501}" name="Gender" dataDxfId="39" totalsRowDxfId="38"/>
    <tableColumn id="3" xr3:uid="{6F5124AA-FFF6-4DBF-852A-3D6BA9CB2D7E}" name="Country of Origin" dataDxfId="37" totalsRowDxfId="36"/>
    <tableColumn id="4" xr3:uid="{00505F9F-94D5-45AE-B92E-551101EE12FE}" name="Primary Language" dataDxfId="35" totalsRowDxfId="34"/>
    <tableColumn id="5" xr3:uid="{4179347B-93D9-4F62-A975-4CA5C1E25F8F}" name="Primary Genre" totalsRowFunction="custom" dataDxfId="33" totalsRowDxfId="32">
      <totalsRowFormula>COUNTA(_xlfn.UNIQUE(Table3[Primary Genre]))</totalsRowFormula>
    </tableColumn>
    <tableColumn id="6" xr3:uid="{E632CC71-7A5C-4C46-ACB0-7A4F079B2DD7}" name=" Artist Type" dataDxfId="31" totalsRowDxfId="30"/>
    <tableColumn id="7" xr3:uid="{7783AF0A-AD2F-4485-B5BD-BF20C3E06A45}" name="Debut Year" dataDxfId="29" totalsRowDxfId="28"/>
    <tableColumn id="19" xr3:uid="{54025599-6E2F-4E6E-B108-FA23E3D7E364}" name="Debut Year Group" dataDxfId="27" totalsRowDxfId="26">
      <calculatedColumnFormula>IF(Table3[[#This Row],[Debut Year]]&lt;=2000,"1999–2000",
IF(Table3[[#This Row],[Debut Year]]&lt;=2005,"2001–2005",
IF(Table3[[#This Row],[Debut Year]]&lt;=2010,"2006–2010",
IF(Table3[[#This Row],[Debut Year]]&lt;=2015,"2011–2015",
IF(Table3[[#This Row],[Debut Year]]&lt;=2020,"2016–2020",
"2021–2025")))))</calculatedColumnFormula>
    </tableColumn>
    <tableColumn id="8" xr3:uid="{0898B789-B091-4D29-AFCA-B3205E409FC6}" name="Total Streams (in millions)" totalsRowFunction="sum" dataDxfId="25" totalsRowDxfId="24"/>
    <tableColumn id="9" xr3:uid="{7B63EF10-046A-4331-BD48-D697F17D9552}" name="Lead Streams (in millions)" dataDxfId="23" totalsRowDxfId="22"/>
    <tableColumn id="10" xr3:uid="{A88FE3E6-78AD-4B8C-BEA2-3535B7580943}" name="Feature Streams (in millions)" dataDxfId="21" totalsRowDxfId="20"/>
    <tableColumn id="11" xr3:uid="{D49A047E-D18C-4503-824A-029C78E78815}" name="Solo Streams (in millions)" dataDxfId="19" totalsRowDxfId="18"/>
    <tableColumn id="12" xr3:uid="{40B02EC5-C4BB-4404-9C9C-27A685932329}" name="% of Solo Streams2" dataDxfId="17" totalsRowDxfId="16">
      <calculatedColumnFormula>Table2[[#This Row],[% of Solo Streams]]/100</calculatedColumnFormula>
    </tableColumn>
    <tableColumn id="13" xr3:uid="{759FD620-E92E-4863-877D-95FB21FDCF56}" name="Collaborative Streams (in millions)" dataDxfId="15" totalsRowDxfId="14"/>
    <tableColumn id="14" xr3:uid="{8759A181-D9B5-4422-A0B3-EBCECB3C92FB}" name="% of Collaborative streams2" dataDxfId="13" totalsRowDxfId="12">
      <calculatedColumnFormula>Table2[[#This Row],[% of Collaborative Streams]]/100</calculatedColumnFormula>
    </tableColumn>
    <tableColumn id="15" xr3:uid="{881BD57A-1106-4673-9EAB-524635005357}" name="Total Stream" totalsRowFunction="average" dataDxfId="11" totalsRowDxfId="10">
      <calculatedColumnFormula>Table3[[#This Row],[Lead Streams (in millions)]]+Table3[[#This Row],[Feature Streams (in millions)]]</calculatedColumnFormula>
    </tableColumn>
    <tableColumn id="20" xr3:uid="{96305E24-5307-49A7-B666-82ED8854B0D1}" name="Ranks" dataDxfId="9" totalsRowDxfId="8">
      <calculatedColumnFormula>_xlfn.RANK.EQ(Table3[[#This Row],[Total Stream]],Table3[Total Stream],0)</calculatedColumnFormula>
    </tableColumn>
    <tableColumn id="16" xr3:uid="{797C8C5E-AA6B-4953-A4F2-BA065EBBA4DD}" name="Stream differences" dataDxfId="7" totalsRowDxfId="6">
      <calculatedColumnFormula>Table3[[#This Row],[Total Streams (in millions)]]-Table3[[#This Row],[Total Stream]]</calculatedColumnFormula>
    </tableColumn>
    <tableColumn id="17" xr3:uid="{6E726BBD-83D0-4CA3-BD3A-78AFC5D6A20F}" name="Collaborative Rate" totalsRowFunction="average" totalsRowDxfId="5" dataCellStyle="Percent">
      <calculatedColumnFormula>IFERROR(Table3[[#This Row],[Collaborative Streams (in millions)]]/Table3[[#This Row],[Total Stream]],0)</calculatedColumnFormula>
    </tableColumn>
    <tableColumn id="18" xr3:uid="{0C61B214-48AD-4006-9773-5DF2A6322565}" name="Artist Performance Caterogy" dataDxfId="4">
      <calculatedColumnFormula>IF(Table3[[#This Row],[Total Streams (in millions)]]&gt;=50000,"High Performer",IF(Table3[[#This Row],[Total Streams (in millions)]]&gt;=20000,"Medium Performer","Low Performer"))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EFF0A-E241-4CFF-BDF0-0D68FEDE637F}">
  <sheetPr codeName="Sheet1"/>
  <dimension ref="A1:N501"/>
  <sheetViews>
    <sheetView showFormulas="1" zoomScale="64" workbookViewId="0">
      <selection activeCell="A17" sqref="A17"/>
    </sheetView>
  </sheetViews>
  <sheetFormatPr defaultRowHeight="14.4" x14ac:dyDescent="0.3"/>
  <cols>
    <col min="1" max="1" width="42.33203125" bestFit="1" customWidth="1"/>
    <col min="2" max="2" width="6.88671875" bestFit="1" customWidth="1"/>
    <col min="3" max="3" width="17.77734375" bestFit="1" customWidth="1"/>
    <col min="4" max="5" width="15.44140625" bestFit="1" customWidth="1"/>
    <col min="6" max="6" width="10.109375" bestFit="1" customWidth="1"/>
    <col min="7" max="7" width="10" bestFit="1" customWidth="1"/>
    <col min="8" max="8" width="22.21875" bestFit="1" customWidth="1"/>
    <col min="9" max="9" width="21.88671875" bestFit="1" customWidth="1"/>
    <col min="10" max="10" width="24.21875" bestFit="1" customWidth="1"/>
    <col min="11" max="11" width="21.5546875" bestFit="1" customWidth="1"/>
    <col min="12" max="12" width="15.77734375" bestFit="1" customWidth="1"/>
    <col min="13" max="13" width="29" bestFit="1" customWidth="1"/>
    <col min="14" max="14" width="23.33203125" bestFit="1" customWidth="1"/>
  </cols>
  <sheetData>
    <row r="1" spans="1:14" x14ac:dyDescent="0.3">
      <c r="A1" t="s">
        <v>0</v>
      </c>
      <c r="B1" t="s">
        <v>595</v>
      </c>
      <c r="C1" t="s">
        <v>1</v>
      </c>
      <c r="D1" t="s">
        <v>2</v>
      </c>
      <c r="E1" t="s">
        <v>3</v>
      </c>
      <c r="F1" t="s">
        <v>596</v>
      </c>
      <c r="G1" t="s">
        <v>5</v>
      </c>
      <c r="H1" t="s">
        <v>6</v>
      </c>
      <c r="I1" t="s">
        <v>7</v>
      </c>
      <c r="J1" t="s">
        <v>8</v>
      </c>
      <c r="K1" t="s">
        <v>9</v>
      </c>
      <c r="L1" t="s">
        <v>10</v>
      </c>
      <c r="M1" t="s">
        <v>11</v>
      </c>
      <c r="N1" t="s">
        <v>12</v>
      </c>
    </row>
    <row r="2" spans="1:14" x14ac:dyDescent="0.3">
      <c r="A2" t="s">
        <v>13</v>
      </c>
      <c r="B2" t="s">
        <v>14</v>
      </c>
      <c r="C2" t="s">
        <v>15</v>
      </c>
      <c r="D2" t="s">
        <v>16</v>
      </c>
      <c r="E2" t="s">
        <v>17</v>
      </c>
      <c r="F2" t="s">
        <v>18</v>
      </c>
      <c r="G2">
        <v>2006</v>
      </c>
      <c r="H2">
        <v>137492.1</v>
      </c>
      <c r="I2">
        <v>94851.1</v>
      </c>
      <c r="J2">
        <v>42640.9</v>
      </c>
      <c r="K2">
        <v>53323.9</v>
      </c>
      <c r="L2">
        <v>38.783246460000001</v>
      </c>
      <c r="M2">
        <v>84168.2</v>
      </c>
      <c r="N2">
        <v>61.216753539999999</v>
      </c>
    </row>
    <row r="3" spans="1:14" x14ac:dyDescent="0.3">
      <c r="A3" t="s">
        <v>19</v>
      </c>
      <c r="B3" t="s">
        <v>20</v>
      </c>
      <c r="C3" t="s">
        <v>21</v>
      </c>
      <c r="D3" t="s">
        <v>16</v>
      </c>
      <c r="E3" t="s">
        <v>22</v>
      </c>
      <c r="F3" t="s">
        <v>18</v>
      </c>
      <c r="G3">
        <v>2006</v>
      </c>
      <c r="H3">
        <v>127861</v>
      </c>
      <c r="I3">
        <v>126177.3</v>
      </c>
      <c r="J3">
        <v>1683.8</v>
      </c>
      <c r="K3">
        <v>113421.5</v>
      </c>
      <c r="L3">
        <v>88.706877000000006</v>
      </c>
      <c r="M3">
        <v>14439.5</v>
      </c>
      <c r="N3">
        <v>11.293123</v>
      </c>
    </row>
    <row r="4" spans="1:14" x14ac:dyDescent="0.3">
      <c r="A4" t="s">
        <v>23</v>
      </c>
      <c r="B4" t="s">
        <v>14</v>
      </c>
      <c r="C4" t="s">
        <v>21</v>
      </c>
      <c r="D4" t="s">
        <v>24</v>
      </c>
      <c r="E4" t="s">
        <v>25</v>
      </c>
      <c r="F4" t="s">
        <v>18</v>
      </c>
      <c r="G4">
        <v>2013</v>
      </c>
      <c r="H4">
        <v>125899.8</v>
      </c>
      <c r="I4">
        <v>82189.3</v>
      </c>
      <c r="J4">
        <v>43710.5</v>
      </c>
      <c r="K4">
        <v>48887</v>
      </c>
      <c r="L4">
        <v>38.830085510000004</v>
      </c>
      <c r="M4">
        <v>77012.800000000003</v>
      </c>
      <c r="N4">
        <v>61.169914489999996</v>
      </c>
    </row>
    <row r="5" spans="1:14" x14ac:dyDescent="0.3">
      <c r="A5" t="s">
        <v>26</v>
      </c>
      <c r="B5" t="s">
        <v>14</v>
      </c>
      <c r="C5" t="s">
        <v>15</v>
      </c>
      <c r="D5" t="s">
        <v>16</v>
      </c>
      <c r="E5" t="s">
        <v>27</v>
      </c>
      <c r="F5" t="s">
        <v>18</v>
      </c>
      <c r="G5">
        <v>2009</v>
      </c>
      <c r="H5">
        <v>95703.2</v>
      </c>
      <c r="I5">
        <v>77189.399999999994</v>
      </c>
      <c r="J5">
        <v>18513.8</v>
      </c>
      <c r="K5">
        <v>51020</v>
      </c>
      <c r="L5">
        <v>53.310652099999999</v>
      </c>
      <c r="M5">
        <v>44683.199999999997</v>
      </c>
      <c r="N5">
        <v>46.689347900000001</v>
      </c>
    </row>
    <row r="6" spans="1:14" x14ac:dyDescent="0.3">
      <c r="A6" t="s">
        <v>28</v>
      </c>
      <c r="B6" t="s">
        <v>14</v>
      </c>
      <c r="C6" t="s">
        <v>15</v>
      </c>
      <c r="D6" t="s">
        <v>16</v>
      </c>
      <c r="E6" t="s">
        <v>22</v>
      </c>
      <c r="F6" t="s">
        <v>18</v>
      </c>
      <c r="G6">
        <v>2009</v>
      </c>
      <c r="H6">
        <v>78104.399999999994</v>
      </c>
      <c r="I6">
        <v>48316.2</v>
      </c>
      <c r="J6">
        <v>29788.2</v>
      </c>
      <c r="K6">
        <v>29638.3</v>
      </c>
      <c r="L6">
        <v>37.947029870000001</v>
      </c>
      <c r="M6">
        <v>48466.1</v>
      </c>
      <c r="N6">
        <v>62.052970129999999</v>
      </c>
    </row>
    <row r="7" spans="1:14" x14ac:dyDescent="0.3">
      <c r="A7" t="s">
        <v>29</v>
      </c>
      <c r="B7" t="s">
        <v>20</v>
      </c>
      <c r="C7" t="s">
        <v>21</v>
      </c>
      <c r="D7" t="s">
        <v>16</v>
      </c>
      <c r="E7" t="s">
        <v>22</v>
      </c>
      <c r="F7" t="s">
        <v>18</v>
      </c>
      <c r="G7">
        <v>2013</v>
      </c>
      <c r="H7">
        <v>68298.899999999994</v>
      </c>
      <c r="I7">
        <v>57097.5</v>
      </c>
      <c r="J7">
        <v>11201.4</v>
      </c>
      <c r="K7">
        <v>41615.5</v>
      </c>
      <c r="L7">
        <v>60.931435209999997</v>
      </c>
      <c r="M7">
        <v>26683.4</v>
      </c>
      <c r="N7">
        <v>39.068564790000003</v>
      </c>
    </row>
    <row r="8" spans="1:14" x14ac:dyDescent="0.3">
      <c r="A8" t="s">
        <v>30</v>
      </c>
      <c r="B8" t="s">
        <v>14</v>
      </c>
      <c r="C8" t="s">
        <v>21</v>
      </c>
      <c r="D8" t="s">
        <v>16</v>
      </c>
      <c r="E8" t="s">
        <v>17</v>
      </c>
      <c r="F8" t="s">
        <v>18</v>
      </c>
      <c r="G8">
        <v>2013</v>
      </c>
      <c r="H8">
        <v>65349.7</v>
      </c>
      <c r="I8">
        <v>35338.699999999997</v>
      </c>
      <c r="J8">
        <v>30027</v>
      </c>
      <c r="K8">
        <v>25309.9</v>
      </c>
      <c r="L8">
        <v>38.72994061</v>
      </c>
      <c r="M8">
        <v>40039.800000000003</v>
      </c>
      <c r="N8">
        <v>61.27005939</v>
      </c>
    </row>
    <row r="9" spans="1:14" x14ac:dyDescent="0.3">
      <c r="A9" t="s">
        <v>31</v>
      </c>
      <c r="B9" t="s">
        <v>14</v>
      </c>
      <c r="C9" t="s">
        <v>21</v>
      </c>
      <c r="D9" t="s">
        <v>16</v>
      </c>
      <c r="E9" t="s">
        <v>17</v>
      </c>
      <c r="F9" t="s">
        <v>18</v>
      </c>
      <c r="G9">
        <v>2004</v>
      </c>
      <c r="H9">
        <v>65142.9</v>
      </c>
      <c r="I9">
        <v>46558.400000000001</v>
      </c>
      <c r="J9">
        <v>18584.5</v>
      </c>
      <c r="K9">
        <v>28473</v>
      </c>
      <c r="L9">
        <v>43.708523880000001</v>
      </c>
      <c r="M9">
        <v>36669.9</v>
      </c>
      <c r="N9">
        <v>56.291476119999999</v>
      </c>
    </row>
    <row r="10" spans="1:14" x14ac:dyDescent="0.3">
      <c r="A10" t="s">
        <v>32</v>
      </c>
      <c r="B10" t="s">
        <v>14</v>
      </c>
      <c r="C10" t="s">
        <v>33</v>
      </c>
      <c r="D10" t="s">
        <v>16</v>
      </c>
      <c r="E10" t="s">
        <v>22</v>
      </c>
      <c r="F10" t="s">
        <v>18</v>
      </c>
      <c r="G10">
        <v>2011</v>
      </c>
      <c r="H10">
        <v>64656.9</v>
      </c>
      <c r="I10">
        <v>57704</v>
      </c>
      <c r="J10">
        <v>6967.8</v>
      </c>
      <c r="K10">
        <v>46700</v>
      </c>
      <c r="L10">
        <v>72.227403420000002</v>
      </c>
      <c r="M10">
        <v>17956.900000000001</v>
      </c>
      <c r="N10">
        <v>27.772596579999998</v>
      </c>
    </row>
    <row r="11" spans="1:14" x14ac:dyDescent="0.3">
      <c r="A11" t="s">
        <v>34</v>
      </c>
      <c r="B11" t="s">
        <v>14</v>
      </c>
      <c r="C11" t="s">
        <v>21</v>
      </c>
      <c r="D11" t="s">
        <v>16</v>
      </c>
      <c r="E11" t="s">
        <v>17</v>
      </c>
      <c r="F11" t="s">
        <v>18</v>
      </c>
      <c r="G11">
        <v>1996</v>
      </c>
      <c r="H11">
        <v>64549</v>
      </c>
      <c r="I11">
        <v>54466.8</v>
      </c>
      <c r="J11">
        <v>10100.700000000001</v>
      </c>
      <c r="K11">
        <v>32940</v>
      </c>
      <c r="L11">
        <v>51.030999710000003</v>
      </c>
      <c r="M11">
        <v>31609</v>
      </c>
      <c r="N11">
        <v>48.969000289999997</v>
      </c>
    </row>
    <row r="12" spans="1:14" x14ac:dyDescent="0.3">
      <c r="A12" t="s">
        <v>35</v>
      </c>
      <c r="B12" t="s">
        <v>20</v>
      </c>
      <c r="C12" t="s">
        <v>36</v>
      </c>
      <c r="D12" t="s">
        <v>16</v>
      </c>
      <c r="E12" t="s">
        <v>22</v>
      </c>
      <c r="F12" t="s">
        <v>18</v>
      </c>
      <c r="G12">
        <v>2005</v>
      </c>
      <c r="H12">
        <v>60670.7</v>
      </c>
      <c r="I12">
        <v>44824.4</v>
      </c>
      <c r="J12">
        <v>15846.4</v>
      </c>
      <c r="K12">
        <v>30261.8</v>
      </c>
      <c r="L12">
        <v>49.878771800000003</v>
      </c>
      <c r="M12">
        <v>30408.9</v>
      </c>
      <c r="N12">
        <v>50.121228199999997</v>
      </c>
    </row>
    <row r="13" spans="1:14" x14ac:dyDescent="0.3">
      <c r="A13" t="s">
        <v>37</v>
      </c>
      <c r="B13" t="s">
        <v>20</v>
      </c>
      <c r="C13" t="s">
        <v>21</v>
      </c>
      <c r="D13" t="s">
        <v>16</v>
      </c>
      <c r="E13" t="s">
        <v>22</v>
      </c>
      <c r="F13" t="s">
        <v>18</v>
      </c>
      <c r="G13">
        <v>2015</v>
      </c>
      <c r="H13">
        <v>58049.5</v>
      </c>
      <c r="I13">
        <v>57160.1</v>
      </c>
      <c r="J13">
        <v>889.4</v>
      </c>
      <c r="K13">
        <v>51567.9</v>
      </c>
      <c r="L13">
        <v>88.834356889999995</v>
      </c>
      <c r="M13">
        <v>6481.6</v>
      </c>
      <c r="N13">
        <v>11.16564311</v>
      </c>
    </row>
    <row r="14" spans="1:14" x14ac:dyDescent="0.3">
      <c r="A14" t="s">
        <v>38</v>
      </c>
      <c r="B14" t="s">
        <v>14</v>
      </c>
      <c r="C14" t="s">
        <v>21</v>
      </c>
      <c r="D14" t="s">
        <v>16</v>
      </c>
      <c r="E14" t="s">
        <v>22</v>
      </c>
      <c r="F14" t="s">
        <v>18</v>
      </c>
      <c r="G14">
        <v>2010</v>
      </c>
      <c r="H14">
        <v>56727.1</v>
      </c>
      <c r="I14">
        <v>40714</v>
      </c>
      <c r="J14">
        <v>16013.1</v>
      </c>
      <c r="K14">
        <v>33618.1</v>
      </c>
      <c r="L14">
        <v>59.262856730000003</v>
      </c>
      <c r="M14">
        <v>23109</v>
      </c>
      <c r="N14">
        <v>40.737143269999997</v>
      </c>
    </row>
    <row r="15" spans="1:14" x14ac:dyDescent="0.3">
      <c r="A15" t="s">
        <v>39</v>
      </c>
      <c r="B15" t="s">
        <v>14</v>
      </c>
      <c r="C15" t="s">
        <v>21</v>
      </c>
      <c r="D15" t="s">
        <v>16</v>
      </c>
      <c r="E15" t="s">
        <v>17</v>
      </c>
      <c r="F15" t="s">
        <v>18</v>
      </c>
      <c r="G15">
        <v>2009</v>
      </c>
      <c r="H15">
        <v>56459.5</v>
      </c>
      <c r="I15">
        <v>40752.199999999997</v>
      </c>
      <c r="J15">
        <v>15725</v>
      </c>
      <c r="K15">
        <v>23403.5</v>
      </c>
      <c r="L15">
        <v>41.451837159999997</v>
      </c>
      <c r="M15">
        <v>33056</v>
      </c>
      <c r="N15">
        <v>58.548162840000003</v>
      </c>
    </row>
    <row r="16" spans="1:14" x14ac:dyDescent="0.3">
      <c r="A16" t="s">
        <v>40</v>
      </c>
      <c r="B16" t="s">
        <v>14</v>
      </c>
      <c r="C16" t="s">
        <v>21</v>
      </c>
      <c r="D16" t="s">
        <v>16</v>
      </c>
      <c r="E16" t="s">
        <v>22</v>
      </c>
      <c r="F16" t="s">
        <v>18</v>
      </c>
      <c r="G16">
        <v>2011</v>
      </c>
      <c r="H16">
        <v>55028.3</v>
      </c>
      <c r="I16">
        <v>48805.599999999999</v>
      </c>
      <c r="J16">
        <v>6235.6</v>
      </c>
      <c r="K16">
        <v>25419.4</v>
      </c>
      <c r="L16">
        <v>46.193322350000003</v>
      </c>
      <c r="M16">
        <v>29608.9</v>
      </c>
      <c r="N16">
        <v>53.806677649999997</v>
      </c>
    </row>
    <row r="17" spans="1:14" x14ac:dyDescent="0.3">
      <c r="A17" t="s">
        <v>41</v>
      </c>
      <c r="B17" t="s">
        <v>14</v>
      </c>
      <c r="C17" t="s">
        <v>42</v>
      </c>
      <c r="D17" t="s">
        <v>24</v>
      </c>
      <c r="E17" t="s">
        <v>25</v>
      </c>
      <c r="F17" t="s">
        <v>18</v>
      </c>
      <c r="G17">
        <v>2004</v>
      </c>
      <c r="H17">
        <v>54649.2</v>
      </c>
      <c r="I17">
        <v>25333.3</v>
      </c>
      <c r="J17">
        <v>29334</v>
      </c>
      <c r="K17">
        <v>7844.5</v>
      </c>
      <c r="L17">
        <v>14.35428149</v>
      </c>
      <c r="M17">
        <v>46804.7</v>
      </c>
      <c r="N17">
        <v>85.645718509999995</v>
      </c>
    </row>
    <row r="18" spans="1:14" x14ac:dyDescent="0.3">
      <c r="A18" t="s">
        <v>43</v>
      </c>
      <c r="B18" t="s">
        <v>14</v>
      </c>
      <c r="C18" t="s">
        <v>21</v>
      </c>
      <c r="D18" t="s">
        <v>16</v>
      </c>
      <c r="E18" t="s">
        <v>17</v>
      </c>
      <c r="F18" t="s">
        <v>18</v>
      </c>
      <c r="G18">
        <v>2010</v>
      </c>
      <c r="H18">
        <v>53951.5</v>
      </c>
      <c r="I18">
        <v>27879</v>
      </c>
      <c r="J18">
        <v>26072.5</v>
      </c>
      <c r="K18">
        <v>12647.5</v>
      </c>
      <c r="L18">
        <v>23.442350999999999</v>
      </c>
      <c r="M18">
        <v>41304</v>
      </c>
      <c r="N18">
        <v>76.557648999999998</v>
      </c>
    </row>
    <row r="19" spans="1:14" x14ac:dyDescent="0.3">
      <c r="A19" t="s">
        <v>44</v>
      </c>
      <c r="B19" t="s">
        <v>14</v>
      </c>
      <c r="C19" t="s">
        <v>45</v>
      </c>
      <c r="D19" t="s">
        <v>46</v>
      </c>
      <c r="E19" t="s">
        <v>47</v>
      </c>
      <c r="F19" t="s">
        <v>48</v>
      </c>
      <c r="G19">
        <v>2013</v>
      </c>
      <c r="H19">
        <v>53308.9</v>
      </c>
      <c r="I19">
        <v>47969.9</v>
      </c>
      <c r="J19">
        <v>5339</v>
      </c>
      <c r="K19">
        <v>44114.400000000001</v>
      </c>
      <c r="L19">
        <v>82.752410949999998</v>
      </c>
      <c r="M19">
        <v>9194.5</v>
      </c>
      <c r="N19">
        <v>17.247589049999998</v>
      </c>
    </row>
    <row r="20" spans="1:14" x14ac:dyDescent="0.3">
      <c r="A20" t="s">
        <v>49</v>
      </c>
      <c r="B20" t="s">
        <v>14</v>
      </c>
      <c r="C20" t="s">
        <v>21</v>
      </c>
      <c r="D20" t="s">
        <v>24</v>
      </c>
      <c r="E20" t="s">
        <v>25</v>
      </c>
      <c r="F20" t="s">
        <v>18</v>
      </c>
      <c r="G20">
        <v>2012</v>
      </c>
      <c r="H20">
        <v>47649.2</v>
      </c>
      <c r="I20">
        <v>20247.099999999999</v>
      </c>
      <c r="J20">
        <v>27418.9</v>
      </c>
      <c r="K20">
        <v>8621.1</v>
      </c>
      <c r="L20">
        <v>18.092853609999999</v>
      </c>
      <c r="M20">
        <v>39028.1</v>
      </c>
      <c r="N20">
        <v>81.907146389999994</v>
      </c>
    </row>
    <row r="21" spans="1:14" x14ac:dyDescent="0.3">
      <c r="A21" t="s">
        <v>50</v>
      </c>
      <c r="B21" t="s">
        <v>14</v>
      </c>
      <c r="C21" t="s">
        <v>33</v>
      </c>
      <c r="D21" t="s">
        <v>16</v>
      </c>
      <c r="E21" t="s">
        <v>51</v>
      </c>
      <c r="F21" t="s">
        <v>48</v>
      </c>
      <c r="G21">
        <v>1999</v>
      </c>
      <c r="H21">
        <v>46720.4</v>
      </c>
      <c r="I21">
        <v>42837.1</v>
      </c>
      <c r="J21">
        <v>3901.3</v>
      </c>
      <c r="K21">
        <v>38535.199999999997</v>
      </c>
      <c r="L21">
        <v>82.480458220000003</v>
      </c>
      <c r="M21">
        <v>8185.2</v>
      </c>
      <c r="N21">
        <v>17.519541780000001</v>
      </c>
    </row>
    <row r="22" spans="1:14" x14ac:dyDescent="0.3">
      <c r="A22" t="s">
        <v>52</v>
      </c>
      <c r="B22" t="s">
        <v>14</v>
      </c>
      <c r="C22" t="s">
        <v>21</v>
      </c>
      <c r="D22" t="s">
        <v>16</v>
      </c>
      <c r="E22" t="s">
        <v>17</v>
      </c>
      <c r="F22" t="s">
        <v>18</v>
      </c>
      <c r="G22">
        <v>2015</v>
      </c>
      <c r="H22">
        <v>46276.4</v>
      </c>
      <c r="I22">
        <v>34132.1</v>
      </c>
      <c r="J22">
        <v>12155.1</v>
      </c>
      <c r="K22">
        <v>26675.7</v>
      </c>
      <c r="L22">
        <v>57.64428521</v>
      </c>
      <c r="M22">
        <v>19600.7</v>
      </c>
      <c r="N22">
        <v>42.35571479</v>
      </c>
    </row>
    <row r="23" spans="1:14" x14ac:dyDescent="0.3">
      <c r="A23" t="s">
        <v>53</v>
      </c>
      <c r="B23" t="s">
        <v>14</v>
      </c>
      <c r="C23" t="s">
        <v>21</v>
      </c>
      <c r="D23" t="s">
        <v>16</v>
      </c>
      <c r="E23" t="s">
        <v>27</v>
      </c>
      <c r="F23" t="s">
        <v>18</v>
      </c>
      <c r="G23">
        <v>2005</v>
      </c>
      <c r="H23">
        <v>43963.8</v>
      </c>
      <c r="I23">
        <v>24455.7</v>
      </c>
      <c r="J23">
        <v>19523.900000000001</v>
      </c>
      <c r="K23">
        <v>12219.3</v>
      </c>
      <c r="L23">
        <v>27.794003249999999</v>
      </c>
      <c r="M23">
        <v>31744.5</v>
      </c>
      <c r="N23">
        <v>72.205996749999997</v>
      </c>
    </row>
    <row r="24" spans="1:14" x14ac:dyDescent="0.3">
      <c r="A24" t="s">
        <v>54</v>
      </c>
      <c r="B24" t="s">
        <v>20</v>
      </c>
      <c r="C24" t="s">
        <v>55</v>
      </c>
      <c r="D24" t="s">
        <v>16</v>
      </c>
      <c r="E24" t="s">
        <v>17</v>
      </c>
      <c r="F24" t="s">
        <v>18</v>
      </c>
      <c r="G24">
        <v>2007</v>
      </c>
      <c r="H24">
        <v>43330.3</v>
      </c>
      <c r="I24">
        <v>16316.4</v>
      </c>
      <c r="J24">
        <v>27027.9</v>
      </c>
      <c r="K24">
        <v>9618.2000000000007</v>
      </c>
      <c r="L24">
        <v>22.197399969999999</v>
      </c>
      <c r="M24">
        <v>33712.1</v>
      </c>
      <c r="N24">
        <v>77.802600029999994</v>
      </c>
    </row>
    <row r="25" spans="1:14" x14ac:dyDescent="0.3">
      <c r="A25" t="s">
        <v>56</v>
      </c>
      <c r="B25" t="s">
        <v>20</v>
      </c>
      <c r="C25" t="s">
        <v>21</v>
      </c>
      <c r="D25" t="s">
        <v>16</v>
      </c>
      <c r="E25" t="s">
        <v>57</v>
      </c>
      <c r="F25" t="s">
        <v>18</v>
      </c>
      <c r="G25">
        <v>2010</v>
      </c>
      <c r="H25">
        <v>42464.1</v>
      </c>
      <c r="I25">
        <v>38477.300000000003</v>
      </c>
      <c r="J25">
        <v>3986.8</v>
      </c>
      <c r="K25">
        <v>34578.400000000001</v>
      </c>
      <c r="L25">
        <v>81.429725340000005</v>
      </c>
      <c r="M25">
        <v>7885.7</v>
      </c>
      <c r="N25">
        <v>18.570274659999999</v>
      </c>
    </row>
    <row r="26" spans="1:14" x14ac:dyDescent="0.3">
      <c r="A26" t="s">
        <v>58</v>
      </c>
      <c r="B26" t="s">
        <v>14</v>
      </c>
      <c r="C26" t="s">
        <v>59</v>
      </c>
      <c r="D26" t="s">
        <v>16</v>
      </c>
      <c r="E26" t="s">
        <v>60</v>
      </c>
      <c r="F26" t="s">
        <v>18</v>
      </c>
      <c r="G26">
        <v>1990</v>
      </c>
      <c r="H26">
        <v>42059.5</v>
      </c>
      <c r="I26">
        <v>30750.799999999999</v>
      </c>
      <c r="J26">
        <v>11325.3</v>
      </c>
      <c r="K26">
        <v>406.8</v>
      </c>
      <c r="L26">
        <v>0.96720122679999998</v>
      </c>
      <c r="M26">
        <v>41652.699999999997</v>
      </c>
      <c r="N26">
        <v>99.032798769999999</v>
      </c>
    </row>
    <row r="27" spans="1:14" x14ac:dyDescent="0.3">
      <c r="A27" t="s">
        <v>61</v>
      </c>
      <c r="B27" t="s">
        <v>20</v>
      </c>
      <c r="C27" t="s">
        <v>33</v>
      </c>
      <c r="D27" t="s">
        <v>16</v>
      </c>
      <c r="E27" t="s">
        <v>22</v>
      </c>
      <c r="F27" t="s">
        <v>18</v>
      </c>
      <c r="G27">
        <v>2015</v>
      </c>
      <c r="H27">
        <v>41944.1</v>
      </c>
      <c r="I27">
        <v>28269.7</v>
      </c>
      <c r="J27">
        <v>13687.6</v>
      </c>
      <c r="K27">
        <v>23133.7</v>
      </c>
      <c r="L27">
        <v>55.153644970000002</v>
      </c>
      <c r="M27">
        <v>18810.400000000001</v>
      </c>
      <c r="N27">
        <v>44.846355029999998</v>
      </c>
    </row>
    <row r="28" spans="1:14" x14ac:dyDescent="0.3">
      <c r="A28" t="s">
        <v>62</v>
      </c>
      <c r="B28" t="s">
        <v>14</v>
      </c>
      <c r="C28" t="s">
        <v>21</v>
      </c>
      <c r="D28" t="s">
        <v>24</v>
      </c>
      <c r="E28" t="s">
        <v>25</v>
      </c>
      <c r="F28" t="s">
        <v>18</v>
      </c>
      <c r="G28">
        <v>1991</v>
      </c>
      <c r="H28">
        <v>41405.4</v>
      </c>
      <c r="I28">
        <v>19772.099999999999</v>
      </c>
      <c r="J28">
        <v>21650</v>
      </c>
      <c r="K28">
        <v>10692.8</v>
      </c>
      <c r="L28">
        <v>25.824650890000001</v>
      </c>
      <c r="M28">
        <v>30712.6</v>
      </c>
      <c r="N28">
        <v>74.175349109999999</v>
      </c>
    </row>
    <row r="29" spans="1:14" x14ac:dyDescent="0.3">
      <c r="A29" t="s">
        <v>63</v>
      </c>
      <c r="B29" t="s">
        <v>14</v>
      </c>
      <c r="C29" t="s">
        <v>21</v>
      </c>
      <c r="D29" t="s">
        <v>24</v>
      </c>
      <c r="E29" t="s">
        <v>25</v>
      </c>
      <c r="F29" t="s">
        <v>18</v>
      </c>
      <c r="G29">
        <v>2014</v>
      </c>
      <c r="H29">
        <v>40738.6</v>
      </c>
      <c r="I29">
        <v>24898</v>
      </c>
      <c r="J29">
        <v>15857.7</v>
      </c>
      <c r="K29">
        <v>10432.5</v>
      </c>
      <c r="L29">
        <v>25.608391059999999</v>
      </c>
      <c r="M29">
        <v>30306.1</v>
      </c>
      <c r="N29">
        <v>74.391608939999998</v>
      </c>
    </row>
    <row r="30" spans="1:14" x14ac:dyDescent="0.3">
      <c r="A30" t="s">
        <v>64</v>
      </c>
      <c r="B30" t="s">
        <v>14</v>
      </c>
      <c r="C30" t="s">
        <v>21</v>
      </c>
      <c r="D30" t="s">
        <v>24</v>
      </c>
      <c r="E30" t="s">
        <v>25</v>
      </c>
      <c r="F30" t="s">
        <v>18</v>
      </c>
      <c r="G30">
        <v>2011</v>
      </c>
      <c r="H30">
        <v>40453.300000000003</v>
      </c>
      <c r="I30">
        <v>18355.599999999999</v>
      </c>
      <c r="J30">
        <v>22118.9</v>
      </c>
      <c r="K30">
        <v>6177</v>
      </c>
      <c r="L30">
        <v>15.26945886</v>
      </c>
      <c r="M30">
        <v>34276.300000000003</v>
      </c>
      <c r="N30">
        <v>84.73054114</v>
      </c>
    </row>
    <row r="31" spans="1:14" x14ac:dyDescent="0.3">
      <c r="A31" t="s">
        <v>65</v>
      </c>
      <c r="B31" t="s">
        <v>14</v>
      </c>
      <c r="C31" t="s">
        <v>21</v>
      </c>
      <c r="D31" t="s">
        <v>16</v>
      </c>
      <c r="E31" t="s">
        <v>17</v>
      </c>
      <c r="F31" t="s">
        <v>18</v>
      </c>
      <c r="G31">
        <v>2013</v>
      </c>
      <c r="H31">
        <v>40411.300000000003</v>
      </c>
      <c r="I31">
        <v>34419.9</v>
      </c>
      <c r="J31">
        <v>5998.9</v>
      </c>
      <c r="K31">
        <v>28138.400000000001</v>
      </c>
      <c r="L31">
        <v>69.630029219999997</v>
      </c>
      <c r="M31">
        <v>12272.9</v>
      </c>
      <c r="N31">
        <v>30.369970779999999</v>
      </c>
    </row>
    <row r="32" spans="1:14" x14ac:dyDescent="0.3">
      <c r="A32" t="s">
        <v>66</v>
      </c>
      <c r="B32" t="s">
        <v>14</v>
      </c>
      <c r="C32" t="s">
        <v>21</v>
      </c>
      <c r="D32" t="s">
        <v>16</v>
      </c>
      <c r="E32" t="s">
        <v>51</v>
      </c>
      <c r="F32" t="s">
        <v>48</v>
      </c>
      <c r="G32">
        <v>2012</v>
      </c>
      <c r="H32">
        <v>40279.5</v>
      </c>
      <c r="I32">
        <v>38006.699999999997</v>
      </c>
      <c r="J32">
        <v>2283.1999999999998</v>
      </c>
      <c r="K32">
        <v>33880.400000000001</v>
      </c>
      <c r="L32">
        <v>84.113258610000003</v>
      </c>
      <c r="M32">
        <v>6399.1</v>
      </c>
      <c r="N32">
        <v>15.886741389999999</v>
      </c>
    </row>
    <row r="33" spans="1:14" x14ac:dyDescent="0.3">
      <c r="A33" t="s">
        <v>67</v>
      </c>
      <c r="B33" t="s">
        <v>14</v>
      </c>
      <c r="C33" t="s">
        <v>21</v>
      </c>
      <c r="D33" t="s">
        <v>16</v>
      </c>
      <c r="E33" t="s">
        <v>17</v>
      </c>
      <c r="F33" t="s">
        <v>18</v>
      </c>
      <c r="G33">
        <v>1997</v>
      </c>
      <c r="H33">
        <v>40148.199999999997</v>
      </c>
      <c r="I33">
        <v>15870.4</v>
      </c>
      <c r="J33">
        <v>24279.9</v>
      </c>
      <c r="K33">
        <v>4050.9</v>
      </c>
      <c r="L33">
        <v>10.08986704</v>
      </c>
      <c r="M33">
        <v>36097.300000000003</v>
      </c>
      <c r="N33">
        <v>89.910132959999999</v>
      </c>
    </row>
    <row r="34" spans="1:14" x14ac:dyDescent="0.3">
      <c r="A34" t="s">
        <v>68</v>
      </c>
      <c r="B34" t="s">
        <v>14</v>
      </c>
      <c r="C34" t="s">
        <v>33</v>
      </c>
      <c r="D34" t="s">
        <v>16</v>
      </c>
      <c r="E34" t="s">
        <v>17</v>
      </c>
      <c r="F34" t="s">
        <v>18</v>
      </c>
      <c r="G34">
        <v>2014</v>
      </c>
      <c r="H34">
        <v>39024.300000000003</v>
      </c>
      <c r="I34">
        <v>15878</v>
      </c>
      <c r="J34">
        <v>23155.599999999999</v>
      </c>
      <c r="K34">
        <v>7883.1</v>
      </c>
      <c r="L34">
        <v>20.200490460000001</v>
      </c>
      <c r="M34">
        <v>31141.200000000001</v>
      </c>
      <c r="N34">
        <v>79.799509540000003</v>
      </c>
    </row>
    <row r="35" spans="1:14" x14ac:dyDescent="0.3">
      <c r="A35" t="s">
        <v>69</v>
      </c>
      <c r="B35" t="s">
        <v>20</v>
      </c>
      <c r="C35" t="s">
        <v>21</v>
      </c>
      <c r="D35" t="s">
        <v>16</v>
      </c>
      <c r="E35" t="s">
        <v>27</v>
      </c>
      <c r="F35" t="s">
        <v>18</v>
      </c>
      <c r="G35">
        <v>2012</v>
      </c>
      <c r="H35">
        <v>38879.599999999999</v>
      </c>
      <c r="I35">
        <v>25267.5</v>
      </c>
      <c r="J35">
        <v>13627.2</v>
      </c>
      <c r="K35">
        <v>19804.599999999999</v>
      </c>
      <c r="L35">
        <v>50.938281259999997</v>
      </c>
      <c r="M35">
        <v>19075</v>
      </c>
      <c r="N35">
        <v>49.061718740000003</v>
      </c>
    </row>
    <row r="36" spans="1:14" x14ac:dyDescent="0.3">
      <c r="A36" t="s">
        <v>70</v>
      </c>
      <c r="B36" t="s">
        <v>14</v>
      </c>
      <c r="C36" t="s">
        <v>71</v>
      </c>
      <c r="D36" t="s">
        <v>72</v>
      </c>
      <c r="E36" t="s">
        <v>73</v>
      </c>
      <c r="F36" t="s">
        <v>18</v>
      </c>
      <c r="G36">
        <v>2011</v>
      </c>
      <c r="H36">
        <v>37687.800000000003</v>
      </c>
      <c r="I36">
        <v>13330.4</v>
      </c>
      <c r="J36">
        <v>24384.799999999999</v>
      </c>
      <c r="K36">
        <v>4537.3999999999996</v>
      </c>
      <c r="L36">
        <v>12.03943982</v>
      </c>
      <c r="M36">
        <v>33150.400000000001</v>
      </c>
      <c r="N36">
        <v>87.960560180000002</v>
      </c>
    </row>
    <row r="37" spans="1:14" x14ac:dyDescent="0.3">
      <c r="A37" t="s">
        <v>74</v>
      </c>
      <c r="B37" t="s">
        <v>20</v>
      </c>
      <c r="C37" t="s">
        <v>21</v>
      </c>
      <c r="D37" t="s">
        <v>16</v>
      </c>
      <c r="E37" t="s">
        <v>22</v>
      </c>
      <c r="F37" t="s">
        <v>18</v>
      </c>
      <c r="G37">
        <v>2008</v>
      </c>
      <c r="H37">
        <v>37565.4</v>
      </c>
      <c r="I37">
        <v>37009.699999999997</v>
      </c>
      <c r="J37">
        <v>572</v>
      </c>
      <c r="K37">
        <v>23546.2</v>
      </c>
      <c r="L37">
        <v>62.680551780000002</v>
      </c>
      <c r="M37">
        <v>14019.2</v>
      </c>
      <c r="N37">
        <v>37.319448219999998</v>
      </c>
    </row>
    <row r="38" spans="1:14" x14ac:dyDescent="0.3">
      <c r="A38" t="s">
        <v>75</v>
      </c>
      <c r="B38" t="s">
        <v>20</v>
      </c>
      <c r="C38" t="s">
        <v>42</v>
      </c>
      <c r="D38" t="s">
        <v>24</v>
      </c>
      <c r="E38" t="s">
        <v>25</v>
      </c>
      <c r="F38" t="s">
        <v>18</v>
      </c>
      <c r="G38">
        <v>2007</v>
      </c>
      <c r="H38">
        <v>37549.699999999997</v>
      </c>
      <c r="I38">
        <v>29603.8</v>
      </c>
      <c r="J38">
        <v>7961.5</v>
      </c>
      <c r="K38">
        <v>14790.4</v>
      </c>
      <c r="L38">
        <v>39.388863290000003</v>
      </c>
      <c r="M38">
        <v>22759.3</v>
      </c>
      <c r="N38">
        <v>60.611136709999997</v>
      </c>
    </row>
    <row r="39" spans="1:14" x14ac:dyDescent="0.3">
      <c r="A39" t="s">
        <v>76</v>
      </c>
      <c r="B39" t="s">
        <v>14</v>
      </c>
      <c r="C39" t="s">
        <v>21</v>
      </c>
      <c r="D39" t="s">
        <v>16</v>
      </c>
      <c r="E39" t="s">
        <v>17</v>
      </c>
      <c r="F39" t="s">
        <v>18</v>
      </c>
      <c r="G39">
        <v>2017</v>
      </c>
      <c r="H39">
        <v>35931.9</v>
      </c>
      <c r="I39">
        <v>18773.5</v>
      </c>
      <c r="J39">
        <v>17171.5</v>
      </c>
      <c r="K39">
        <v>8928.7999999999993</v>
      </c>
      <c r="L39">
        <v>24.84922868</v>
      </c>
      <c r="M39">
        <v>27003.1</v>
      </c>
      <c r="N39">
        <v>75.150771320000004</v>
      </c>
    </row>
    <row r="40" spans="1:14" x14ac:dyDescent="0.3">
      <c r="A40" t="s">
        <v>77</v>
      </c>
      <c r="B40" t="s">
        <v>78</v>
      </c>
      <c r="C40" t="s">
        <v>21</v>
      </c>
      <c r="D40" t="s">
        <v>16</v>
      </c>
      <c r="E40" t="s">
        <v>22</v>
      </c>
      <c r="F40" t="s">
        <v>48</v>
      </c>
      <c r="G40">
        <v>2002</v>
      </c>
      <c r="H40">
        <v>35794.1</v>
      </c>
      <c r="I40">
        <v>35585.800000000003</v>
      </c>
      <c r="J40">
        <v>222.6</v>
      </c>
      <c r="K40">
        <v>23312.5</v>
      </c>
      <c r="L40">
        <v>65.129448710000005</v>
      </c>
      <c r="M40">
        <v>12481.6</v>
      </c>
      <c r="N40">
        <v>34.870551290000002</v>
      </c>
    </row>
    <row r="41" spans="1:14" x14ac:dyDescent="0.3">
      <c r="A41" t="s">
        <v>79</v>
      </c>
      <c r="B41" t="s">
        <v>14</v>
      </c>
      <c r="C41" t="s">
        <v>21</v>
      </c>
      <c r="D41" t="s">
        <v>16</v>
      </c>
      <c r="E41" t="s">
        <v>27</v>
      </c>
      <c r="F41" t="s">
        <v>18</v>
      </c>
      <c r="G41">
        <v>2016</v>
      </c>
      <c r="H41">
        <v>35727.199999999997</v>
      </c>
      <c r="I41">
        <v>18499.900000000001</v>
      </c>
      <c r="J41">
        <v>17234.400000000001</v>
      </c>
      <c r="K41">
        <v>12520.6</v>
      </c>
      <c r="L41">
        <v>35.045007730000002</v>
      </c>
      <c r="M41">
        <v>23206.6</v>
      </c>
      <c r="N41">
        <v>64.954992270000005</v>
      </c>
    </row>
    <row r="42" spans="1:14" x14ac:dyDescent="0.3">
      <c r="A42" t="s">
        <v>80</v>
      </c>
      <c r="B42" t="s">
        <v>20</v>
      </c>
      <c r="C42" t="s">
        <v>21</v>
      </c>
      <c r="D42" t="s">
        <v>16</v>
      </c>
      <c r="E42" t="s">
        <v>22</v>
      </c>
      <c r="F42" t="s">
        <v>18</v>
      </c>
      <c r="G42">
        <v>2003</v>
      </c>
      <c r="H42">
        <v>34975.199999999997</v>
      </c>
      <c r="I42">
        <v>29662.799999999999</v>
      </c>
      <c r="J42">
        <v>5325.3</v>
      </c>
      <c r="K42">
        <v>21863.9</v>
      </c>
      <c r="L42">
        <v>62.51258034</v>
      </c>
      <c r="M42">
        <v>13111.3</v>
      </c>
      <c r="N42">
        <v>37.48741966</v>
      </c>
    </row>
    <row r="43" spans="1:14" x14ac:dyDescent="0.3">
      <c r="A43" t="s">
        <v>81</v>
      </c>
      <c r="B43" t="s">
        <v>14</v>
      </c>
      <c r="C43" t="s">
        <v>42</v>
      </c>
      <c r="D43" t="s">
        <v>24</v>
      </c>
      <c r="E43" t="s">
        <v>82</v>
      </c>
      <c r="F43" t="s">
        <v>18</v>
      </c>
      <c r="G43">
        <v>2010</v>
      </c>
      <c r="H43">
        <v>34841</v>
      </c>
      <c r="I43">
        <v>19449.8</v>
      </c>
      <c r="J43">
        <v>15404.7</v>
      </c>
      <c r="K43">
        <v>11616.3</v>
      </c>
      <c r="L43">
        <v>33.340891480000003</v>
      </c>
      <c r="M43">
        <v>23224.7</v>
      </c>
      <c r="N43">
        <v>66.659108520000004</v>
      </c>
    </row>
    <row r="44" spans="1:14" x14ac:dyDescent="0.3">
      <c r="A44" t="s">
        <v>83</v>
      </c>
      <c r="B44" t="s">
        <v>14</v>
      </c>
      <c r="C44" t="s">
        <v>42</v>
      </c>
      <c r="D44" t="s">
        <v>24</v>
      </c>
      <c r="E44" t="s">
        <v>25</v>
      </c>
      <c r="F44" t="s">
        <v>18</v>
      </c>
      <c r="G44">
        <v>2015</v>
      </c>
      <c r="H44">
        <v>34579.1</v>
      </c>
      <c r="I44">
        <v>18725.599999999999</v>
      </c>
      <c r="J44">
        <v>15774.1</v>
      </c>
      <c r="K44">
        <v>9877.2999999999993</v>
      </c>
      <c r="L44">
        <v>28.564364019999999</v>
      </c>
      <c r="M44">
        <v>24701.8</v>
      </c>
      <c r="N44">
        <v>71.435635980000001</v>
      </c>
    </row>
    <row r="45" spans="1:14" x14ac:dyDescent="0.3">
      <c r="A45" t="s">
        <v>84</v>
      </c>
      <c r="B45" t="s">
        <v>14</v>
      </c>
      <c r="C45" t="s">
        <v>85</v>
      </c>
      <c r="D45" t="s">
        <v>16</v>
      </c>
      <c r="E45" t="s">
        <v>60</v>
      </c>
      <c r="F45" t="s">
        <v>18</v>
      </c>
      <c r="G45">
        <v>2007</v>
      </c>
      <c r="H45">
        <v>34129.699999999997</v>
      </c>
      <c r="I45">
        <v>31846</v>
      </c>
      <c r="J45">
        <v>2298.3000000000002</v>
      </c>
      <c r="K45">
        <v>5998.8</v>
      </c>
      <c r="L45">
        <v>17.576480310000001</v>
      </c>
      <c r="M45">
        <v>28130.9</v>
      </c>
      <c r="N45">
        <v>82.423519690000006</v>
      </c>
    </row>
    <row r="46" spans="1:14" x14ac:dyDescent="0.3">
      <c r="A46" t="s">
        <v>86</v>
      </c>
      <c r="B46" t="s">
        <v>14</v>
      </c>
      <c r="C46" t="s">
        <v>21</v>
      </c>
      <c r="D46" t="s">
        <v>24</v>
      </c>
      <c r="E46" t="s">
        <v>25</v>
      </c>
      <c r="F46" t="s">
        <v>18</v>
      </c>
      <c r="G46">
        <v>2016</v>
      </c>
      <c r="H46">
        <v>33620.699999999997</v>
      </c>
      <c r="I46">
        <v>14022.5</v>
      </c>
      <c r="J46">
        <v>19614.7</v>
      </c>
      <c r="K46">
        <v>9406.6</v>
      </c>
      <c r="L46">
        <v>27.97859652</v>
      </c>
      <c r="M46">
        <v>24214.1</v>
      </c>
      <c r="N46">
        <v>72.021403480000004</v>
      </c>
    </row>
    <row r="47" spans="1:14" x14ac:dyDescent="0.3">
      <c r="A47" t="s">
        <v>87</v>
      </c>
      <c r="B47" t="s">
        <v>78</v>
      </c>
      <c r="C47" t="s">
        <v>21</v>
      </c>
      <c r="D47" t="s">
        <v>16</v>
      </c>
      <c r="E47" t="s">
        <v>51</v>
      </c>
      <c r="F47" t="s">
        <v>48</v>
      </c>
      <c r="G47">
        <v>2000</v>
      </c>
      <c r="H47">
        <v>33224.699999999997</v>
      </c>
      <c r="I47">
        <v>31426.6</v>
      </c>
      <c r="J47">
        <v>1798.1</v>
      </c>
      <c r="K47">
        <v>30151.200000000001</v>
      </c>
      <c r="L47">
        <v>90.749352139999999</v>
      </c>
      <c r="M47">
        <v>3073.5</v>
      </c>
      <c r="N47">
        <v>9.2506478609999991</v>
      </c>
    </row>
    <row r="48" spans="1:14" x14ac:dyDescent="0.3">
      <c r="A48" t="s">
        <v>88</v>
      </c>
      <c r="B48" t="s">
        <v>14</v>
      </c>
      <c r="C48" t="s">
        <v>89</v>
      </c>
      <c r="D48" t="s">
        <v>24</v>
      </c>
      <c r="E48" t="s">
        <v>90</v>
      </c>
      <c r="F48" t="s">
        <v>18</v>
      </c>
      <c r="G48">
        <v>2020</v>
      </c>
      <c r="H48">
        <v>33179.800000000003</v>
      </c>
      <c r="I48">
        <v>18699.099999999999</v>
      </c>
      <c r="J48">
        <v>14501.2</v>
      </c>
      <c r="K48">
        <v>3938.3</v>
      </c>
      <c r="L48">
        <v>11.86957125</v>
      </c>
      <c r="M48">
        <v>29241.5</v>
      </c>
      <c r="N48">
        <v>88.130428749999993</v>
      </c>
    </row>
    <row r="49" spans="1:14" x14ac:dyDescent="0.3">
      <c r="A49" t="s">
        <v>91</v>
      </c>
      <c r="B49" t="s">
        <v>14</v>
      </c>
      <c r="C49" t="s">
        <v>21</v>
      </c>
      <c r="D49" t="s">
        <v>16</v>
      </c>
      <c r="E49" t="s">
        <v>17</v>
      </c>
      <c r="F49" t="s">
        <v>18</v>
      </c>
      <c r="G49">
        <v>2007</v>
      </c>
      <c r="H49">
        <v>32200.9</v>
      </c>
      <c r="I49">
        <v>24334.7</v>
      </c>
      <c r="J49">
        <v>7876.1</v>
      </c>
      <c r="K49">
        <v>18999.5</v>
      </c>
      <c r="L49">
        <v>59.003009230000004</v>
      </c>
      <c r="M49">
        <v>13201.4</v>
      </c>
      <c r="N49">
        <v>40.996990769999996</v>
      </c>
    </row>
    <row r="50" spans="1:14" x14ac:dyDescent="0.3">
      <c r="A50" t="s">
        <v>92</v>
      </c>
      <c r="B50" t="s">
        <v>14</v>
      </c>
      <c r="C50" t="s">
        <v>21</v>
      </c>
      <c r="D50" t="s">
        <v>16</v>
      </c>
      <c r="E50" t="s">
        <v>17</v>
      </c>
      <c r="F50" t="s">
        <v>18</v>
      </c>
      <c r="G50">
        <v>2014</v>
      </c>
      <c r="H50">
        <v>32115.9</v>
      </c>
      <c r="I50">
        <v>21117.5</v>
      </c>
      <c r="J50">
        <v>11006.6</v>
      </c>
      <c r="K50">
        <v>16803.2</v>
      </c>
      <c r="L50">
        <v>52.32050168</v>
      </c>
      <c r="M50">
        <v>15312.7</v>
      </c>
      <c r="N50">
        <v>47.67949832</v>
      </c>
    </row>
    <row r="51" spans="1:14" x14ac:dyDescent="0.3">
      <c r="A51" t="s">
        <v>93</v>
      </c>
      <c r="B51" t="s">
        <v>20</v>
      </c>
      <c r="C51" t="s">
        <v>94</v>
      </c>
      <c r="D51" t="s">
        <v>16</v>
      </c>
      <c r="E51" t="s">
        <v>22</v>
      </c>
      <c r="F51" t="s">
        <v>18</v>
      </c>
      <c r="G51">
        <v>1997</v>
      </c>
      <c r="H51">
        <v>31642.1</v>
      </c>
      <c r="I51">
        <v>21063.200000000001</v>
      </c>
      <c r="J51">
        <v>10588.2</v>
      </c>
      <c r="K51">
        <v>15741.1</v>
      </c>
      <c r="L51">
        <v>49.747330300000002</v>
      </c>
      <c r="M51">
        <v>15901</v>
      </c>
      <c r="N51">
        <v>50.252669699999998</v>
      </c>
    </row>
    <row r="52" spans="1:14" x14ac:dyDescent="0.3">
      <c r="A52" t="s">
        <v>95</v>
      </c>
      <c r="B52" t="s">
        <v>20</v>
      </c>
      <c r="C52" t="s">
        <v>21</v>
      </c>
      <c r="D52" t="s">
        <v>16</v>
      </c>
      <c r="E52" t="s">
        <v>22</v>
      </c>
      <c r="F52" t="s">
        <v>18</v>
      </c>
      <c r="G52">
        <v>2012</v>
      </c>
      <c r="H52">
        <v>31214.3</v>
      </c>
      <c r="I52">
        <v>25574.2</v>
      </c>
      <c r="J52">
        <v>5650.9</v>
      </c>
      <c r="K52">
        <v>18797.099999999999</v>
      </c>
      <c r="L52">
        <v>60.219514770000004</v>
      </c>
      <c r="M52">
        <v>12417.2</v>
      </c>
      <c r="N52">
        <v>39.780485229999996</v>
      </c>
    </row>
    <row r="53" spans="1:14" x14ac:dyDescent="0.3">
      <c r="A53" t="s">
        <v>96</v>
      </c>
      <c r="B53" t="s">
        <v>20</v>
      </c>
      <c r="C53" t="s">
        <v>42</v>
      </c>
      <c r="D53" t="s">
        <v>24</v>
      </c>
      <c r="E53" t="s">
        <v>82</v>
      </c>
      <c r="F53" t="s">
        <v>18</v>
      </c>
      <c r="G53">
        <v>1991</v>
      </c>
      <c r="H53">
        <v>31212.400000000001</v>
      </c>
      <c r="I53">
        <v>24041</v>
      </c>
      <c r="J53">
        <v>7171.5</v>
      </c>
      <c r="K53">
        <v>11661.1</v>
      </c>
      <c r="L53">
        <v>37.360472119999997</v>
      </c>
      <c r="M53">
        <v>19551.3</v>
      </c>
      <c r="N53">
        <v>62.639527880000003</v>
      </c>
    </row>
    <row r="54" spans="1:14" x14ac:dyDescent="0.3">
      <c r="A54" t="s">
        <v>97</v>
      </c>
      <c r="B54" t="s">
        <v>14</v>
      </c>
      <c r="C54" t="s">
        <v>21</v>
      </c>
      <c r="D54" t="s">
        <v>16</v>
      </c>
      <c r="E54" t="s">
        <v>98</v>
      </c>
      <c r="F54" t="s">
        <v>18</v>
      </c>
      <c r="G54">
        <v>2014</v>
      </c>
      <c r="H54">
        <v>31171.1</v>
      </c>
      <c r="I54">
        <v>26589.9</v>
      </c>
      <c r="J54">
        <v>4600.3999999999996</v>
      </c>
      <c r="K54">
        <v>23825.8</v>
      </c>
      <c r="L54">
        <v>76.435544460000003</v>
      </c>
      <c r="M54">
        <v>7345.3</v>
      </c>
      <c r="N54">
        <v>23.564455540000001</v>
      </c>
    </row>
    <row r="55" spans="1:14" x14ac:dyDescent="0.3">
      <c r="A55" t="s">
        <v>99</v>
      </c>
      <c r="B55" t="s">
        <v>14</v>
      </c>
      <c r="C55" t="s">
        <v>21</v>
      </c>
      <c r="D55" t="s">
        <v>16</v>
      </c>
      <c r="E55" t="s">
        <v>17</v>
      </c>
      <c r="F55" t="s">
        <v>18</v>
      </c>
      <c r="G55">
        <v>2011</v>
      </c>
      <c r="H55">
        <v>30933.8</v>
      </c>
      <c r="I55">
        <v>10464.200000000001</v>
      </c>
      <c r="J55">
        <v>20472.3</v>
      </c>
      <c r="K55">
        <v>2792.1</v>
      </c>
      <c r="L55">
        <v>9.0260491760000008</v>
      </c>
      <c r="M55">
        <v>28141.7</v>
      </c>
      <c r="N55">
        <v>90.973950819999999</v>
      </c>
    </row>
    <row r="56" spans="1:14" x14ac:dyDescent="0.3">
      <c r="A56" t="s">
        <v>100</v>
      </c>
      <c r="B56" t="s">
        <v>14</v>
      </c>
      <c r="C56" t="s">
        <v>21</v>
      </c>
      <c r="D56" t="s">
        <v>24</v>
      </c>
      <c r="E56" t="s">
        <v>25</v>
      </c>
      <c r="F56" t="s">
        <v>18</v>
      </c>
      <c r="G56">
        <v>2009</v>
      </c>
      <c r="H56">
        <v>29775.3</v>
      </c>
      <c r="I56">
        <v>8548.7000000000007</v>
      </c>
      <c r="J56">
        <v>21237.200000000001</v>
      </c>
      <c r="K56">
        <v>4615.8999999999996</v>
      </c>
      <c r="L56">
        <v>15.50244666</v>
      </c>
      <c r="M56">
        <v>25159.4</v>
      </c>
      <c r="N56">
        <v>84.497553339999996</v>
      </c>
    </row>
    <row r="57" spans="1:14" x14ac:dyDescent="0.3">
      <c r="A57" t="s">
        <v>101</v>
      </c>
      <c r="B57" t="s">
        <v>14</v>
      </c>
      <c r="C57" t="s">
        <v>15</v>
      </c>
      <c r="D57" t="s">
        <v>16</v>
      </c>
      <c r="E57" t="s">
        <v>22</v>
      </c>
      <c r="F57" t="s">
        <v>18</v>
      </c>
      <c r="G57">
        <v>2014</v>
      </c>
      <c r="H57">
        <v>29471.1</v>
      </c>
      <c r="I57">
        <v>28781</v>
      </c>
      <c r="J57">
        <v>699</v>
      </c>
      <c r="K57">
        <v>22074.9</v>
      </c>
      <c r="L57">
        <v>74.903549580000004</v>
      </c>
      <c r="M57">
        <v>7396.2</v>
      </c>
      <c r="N57">
        <v>25.09645042</v>
      </c>
    </row>
    <row r="58" spans="1:14" x14ac:dyDescent="0.3">
      <c r="A58" t="s">
        <v>102</v>
      </c>
      <c r="B58" t="s">
        <v>14</v>
      </c>
      <c r="C58" t="s">
        <v>33</v>
      </c>
      <c r="D58" t="s">
        <v>16</v>
      </c>
      <c r="E58" t="s">
        <v>22</v>
      </c>
      <c r="F58" t="s">
        <v>18</v>
      </c>
      <c r="G58">
        <v>2010</v>
      </c>
      <c r="H58">
        <v>29449</v>
      </c>
      <c r="I58">
        <v>29462.799999999999</v>
      </c>
      <c r="J58">
        <v>0</v>
      </c>
      <c r="K58">
        <v>29449</v>
      </c>
      <c r="L58">
        <v>100</v>
      </c>
      <c r="M58">
        <v>0</v>
      </c>
      <c r="N58">
        <v>0</v>
      </c>
    </row>
    <row r="59" spans="1:14" x14ac:dyDescent="0.3">
      <c r="A59" t="s">
        <v>103</v>
      </c>
      <c r="B59" t="s">
        <v>14</v>
      </c>
      <c r="C59" t="s">
        <v>33</v>
      </c>
      <c r="D59" t="s">
        <v>16</v>
      </c>
      <c r="E59" t="s">
        <v>51</v>
      </c>
      <c r="F59" t="s">
        <v>48</v>
      </c>
      <c r="G59">
        <v>1973</v>
      </c>
      <c r="H59">
        <v>29370</v>
      </c>
      <c r="I59">
        <v>29307.599999999999</v>
      </c>
      <c r="J59">
        <v>70.8</v>
      </c>
      <c r="K59">
        <v>26931.7</v>
      </c>
      <c r="L59">
        <v>91.697991149999993</v>
      </c>
      <c r="M59">
        <v>2438.3000000000002</v>
      </c>
      <c r="N59">
        <v>8.3020088530000002</v>
      </c>
    </row>
    <row r="60" spans="1:14" x14ac:dyDescent="0.3">
      <c r="A60" t="s">
        <v>104</v>
      </c>
      <c r="B60" t="s">
        <v>14</v>
      </c>
      <c r="C60" t="s">
        <v>33</v>
      </c>
      <c r="D60" t="s">
        <v>16</v>
      </c>
      <c r="E60" t="s">
        <v>22</v>
      </c>
      <c r="F60" t="s">
        <v>18</v>
      </c>
      <c r="G60">
        <v>2012</v>
      </c>
      <c r="H60">
        <v>29197.200000000001</v>
      </c>
      <c r="I60">
        <v>24125.8</v>
      </c>
      <c r="J60">
        <v>5078.3</v>
      </c>
      <c r="K60">
        <v>17995.2</v>
      </c>
      <c r="L60">
        <v>61.633307299999998</v>
      </c>
      <c r="M60">
        <v>11202</v>
      </c>
      <c r="N60">
        <v>38.366692700000002</v>
      </c>
    </row>
    <row r="61" spans="1:14" x14ac:dyDescent="0.3">
      <c r="A61" t="s">
        <v>105</v>
      </c>
      <c r="B61" t="s">
        <v>78</v>
      </c>
      <c r="C61" t="s">
        <v>33</v>
      </c>
      <c r="D61" t="s">
        <v>16</v>
      </c>
      <c r="E61" t="s">
        <v>22</v>
      </c>
      <c r="F61" t="s">
        <v>48</v>
      </c>
      <c r="G61">
        <v>2011</v>
      </c>
      <c r="H61">
        <v>28889.5</v>
      </c>
      <c r="I61">
        <v>28898.2</v>
      </c>
      <c r="J61">
        <v>0</v>
      </c>
      <c r="K61">
        <v>28801.9</v>
      </c>
      <c r="L61">
        <v>99.696775650000006</v>
      </c>
      <c r="M61">
        <v>87.6</v>
      </c>
      <c r="N61">
        <v>0.30322435489999999</v>
      </c>
    </row>
    <row r="62" spans="1:14" x14ac:dyDescent="0.3">
      <c r="A62" t="s">
        <v>106</v>
      </c>
      <c r="B62" t="s">
        <v>14</v>
      </c>
      <c r="C62" t="s">
        <v>21</v>
      </c>
      <c r="D62" t="s">
        <v>16</v>
      </c>
      <c r="E62" t="s">
        <v>17</v>
      </c>
      <c r="F62" t="s">
        <v>18</v>
      </c>
      <c r="G62">
        <v>2013</v>
      </c>
      <c r="H62">
        <v>28848.7</v>
      </c>
      <c r="I62">
        <v>13945.2</v>
      </c>
      <c r="J62">
        <v>14911.9</v>
      </c>
      <c r="K62">
        <v>119.7</v>
      </c>
      <c r="L62">
        <v>0.41492337610000002</v>
      </c>
      <c r="M62">
        <v>28729</v>
      </c>
      <c r="N62">
        <v>99.585076619999995</v>
      </c>
    </row>
    <row r="63" spans="1:14" x14ac:dyDescent="0.3">
      <c r="A63" t="s">
        <v>107</v>
      </c>
      <c r="B63" t="s">
        <v>20</v>
      </c>
      <c r="C63" t="s">
        <v>21</v>
      </c>
      <c r="D63" t="s">
        <v>16</v>
      </c>
      <c r="E63" t="s">
        <v>22</v>
      </c>
      <c r="F63" t="s">
        <v>18</v>
      </c>
      <c r="G63">
        <v>2021</v>
      </c>
      <c r="H63">
        <v>28799.7</v>
      </c>
      <c r="I63">
        <v>28797.599999999999</v>
      </c>
      <c r="J63">
        <v>2.2000000000000002</v>
      </c>
      <c r="K63">
        <v>26750.5</v>
      </c>
      <c r="L63">
        <v>92.884648100000007</v>
      </c>
      <c r="M63">
        <v>2049.1999999999998</v>
      </c>
      <c r="N63">
        <v>7.115351896</v>
      </c>
    </row>
    <row r="64" spans="1:14" x14ac:dyDescent="0.3">
      <c r="A64" t="s">
        <v>108</v>
      </c>
      <c r="B64" t="s">
        <v>20</v>
      </c>
      <c r="C64" t="s">
        <v>33</v>
      </c>
      <c r="D64" t="s">
        <v>16</v>
      </c>
      <c r="E64" t="s">
        <v>22</v>
      </c>
      <c r="F64" t="s">
        <v>18</v>
      </c>
      <c r="G64">
        <v>2008</v>
      </c>
      <c r="H64">
        <v>28690.5</v>
      </c>
      <c r="I64">
        <v>28699.5</v>
      </c>
      <c r="J64">
        <v>0</v>
      </c>
      <c r="K64">
        <v>28537.7</v>
      </c>
      <c r="L64">
        <v>99.467419530000001</v>
      </c>
      <c r="M64">
        <v>152.80000000000001</v>
      </c>
      <c r="N64">
        <v>0.53258047090000005</v>
      </c>
    </row>
    <row r="65" spans="1:14" x14ac:dyDescent="0.3">
      <c r="A65" t="s">
        <v>109</v>
      </c>
      <c r="B65" t="s">
        <v>14</v>
      </c>
      <c r="C65" t="s">
        <v>71</v>
      </c>
      <c r="D65" t="s">
        <v>72</v>
      </c>
      <c r="E65" t="s">
        <v>22</v>
      </c>
      <c r="F65" t="s">
        <v>18</v>
      </c>
      <c r="G65">
        <v>2001</v>
      </c>
      <c r="H65">
        <v>28543.9</v>
      </c>
      <c r="I65">
        <v>25181.4</v>
      </c>
      <c r="J65">
        <v>3362.5</v>
      </c>
      <c r="K65">
        <v>11.7</v>
      </c>
      <c r="L65">
        <v>4.0989493379999999E-2</v>
      </c>
      <c r="M65">
        <v>28532.2</v>
      </c>
      <c r="N65">
        <v>99.959010509999999</v>
      </c>
    </row>
    <row r="66" spans="1:14" x14ac:dyDescent="0.3">
      <c r="A66" t="s">
        <v>110</v>
      </c>
      <c r="B66" t="s">
        <v>20</v>
      </c>
      <c r="C66" t="s">
        <v>21</v>
      </c>
      <c r="D66" t="s">
        <v>16</v>
      </c>
      <c r="E66" t="s">
        <v>22</v>
      </c>
      <c r="F66" t="s">
        <v>18</v>
      </c>
      <c r="G66">
        <v>2001</v>
      </c>
      <c r="H66">
        <v>28248</v>
      </c>
      <c r="I66">
        <v>25287.5</v>
      </c>
      <c r="J66">
        <v>2977.8</v>
      </c>
      <c r="K66">
        <v>19629.7</v>
      </c>
      <c r="L66">
        <v>69.490583400000006</v>
      </c>
      <c r="M66">
        <v>8618.2999999999993</v>
      </c>
      <c r="N66">
        <v>30.509416600000002</v>
      </c>
    </row>
    <row r="67" spans="1:14" x14ac:dyDescent="0.3">
      <c r="A67" t="s">
        <v>111</v>
      </c>
      <c r="B67" t="s">
        <v>14</v>
      </c>
      <c r="C67" t="s">
        <v>21</v>
      </c>
      <c r="D67" t="s">
        <v>16</v>
      </c>
      <c r="E67" t="s">
        <v>17</v>
      </c>
      <c r="F67" t="s">
        <v>18</v>
      </c>
      <c r="G67">
        <v>2013</v>
      </c>
      <c r="H67">
        <v>28195.8</v>
      </c>
      <c r="I67">
        <v>12491.3</v>
      </c>
      <c r="J67">
        <v>15715.6</v>
      </c>
      <c r="K67">
        <v>7949.8</v>
      </c>
      <c r="L67">
        <v>28.19497939</v>
      </c>
      <c r="M67">
        <v>20246</v>
      </c>
      <c r="N67">
        <v>71.80502061</v>
      </c>
    </row>
    <row r="68" spans="1:14" x14ac:dyDescent="0.3">
      <c r="A68" t="s">
        <v>112</v>
      </c>
      <c r="B68" t="s">
        <v>14</v>
      </c>
      <c r="C68" t="s">
        <v>33</v>
      </c>
      <c r="D68" t="s">
        <v>16</v>
      </c>
      <c r="E68" t="s">
        <v>51</v>
      </c>
      <c r="F68" t="s">
        <v>48</v>
      </c>
      <c r="G68">
        <v>2005</v>
      </c>
      <c r="H68">
        <v>28155.4</v>
      </c>
      <c r="I68">
        <v>28166.2</v>
      </c>
      <c r="J68">
        <v>0</v>
      </c>
      <c r="K68">
        <v>28130.400000000001</v>
      </c>
      <c r="L68">
        <v>99.911207090000005</v>
      </c>
      <c r="M68">
        <v>25</v>
      </c>
      <c r="N68">
        <v>8.8792913619999997E-2</v>
      </c>
    </row>
    <row r="69" spans="1:14" x14ac:dyDescent="0.3">
      <c r="A69" t="s">
        <v>113</v>
      </c>
      <c r="B69" t="s">
        <v>14</v>
      </c>
      <c r="C69" t="s">
        <v>21</v>
      </c>
      <c r="D69" t="s">
        <v>24</v>
      </c>
      <c r="E69" t="s">
        <v>82</v>
      </c>
      <c r="F69" t="s">
        <v>48</v>
      </c>
      <c r="G69">
        <v>2018</v>
      </c>
      <c r="H69">
        <v>27466.799999999999</v>
      </c>
      <c r="I69">
        <v>19814.7</v>
      </c>
      <c r="J69">
        <v>7652.1</v>
      </c>
      <c r="K69">
        <v>11576.2</v>
      </c>
      <c r="L69">
        <v>42.146154629999998</v>
      </c>
      <c r="M69">
        <v>15890.6</v>
      </c>
      <c r="N69">
        <v>57.853845370000002</v>
      </c>
    </row>
    <row r="70" spans="1:14" x14ac:dyDescent="0.3">
      <c r="A70" t="s">
        <v>114</v>
      </c>
      <c r="B70" t="s">
        <v>14</v>
      </c>
      <c r="C70" t="s">
        <v>89</v>
      </c>
      <c r="D70" t="s">
        <v>24</v>
      </c>
      <c r="E70" t="s">
        <v>90</v>
      </c>
      <c r="F70" t="s">
        <v>18</v>
      </c>
      <c r="G70">
        <v>2019</v>
      </c>
      <c r="H70">
        <v>27406.799999999999</v>
      </c>
      <c r="I70">
        <v>18341.2</v>
      </c>
      <c r="J70">
        <v>9084.4</v>
      </c>
      <c r="K70">
        <v>13658.7</v>
      </c>
      <c r="L70">
        <v>49.836901789999999</v>
      </c>
      <c r="M70">
        <v>13748.1</v>
      </c>
      <c r="N70">
        <v>50.163098210000001</v>
      </c>
    </row>
    <row r="71" spans="1:14" x14ac:dyDescent="0.3">
      <c r="A71" t="s">
        <v>115</v>
      </c>
      <c r="B71" t="s">
        <v>14</v>
      </c>
      <c r="C71" t="s">
        <v>21</v>
      </c>
      <c r="D71" t="s">
        <v>16</v>
      </c>
      <c r="E71" t="s">
        <v>17</v>
      </c>
      <c r="F71" t="s">
        <v>18</v>
      </c>
      <c r="G71">
        <v>2009</v>
      </c>
      <c r="H71">
        <v>27125.8</v>
      </c>
      <c r="I71">
        <v>23925.9</v>
      </c>
      <c r="J71">
        <v>3208.7</v>
      </c>
      <c r="K71">
        <v>11656.5</v>
      </c>
      <c r="L71">
        <v>42.972004509999998</v>
      </c>
      <c r="M71">
        <v>15469.3</v>
      </c>
      <c r="N71">
        <v>57.027995490000002</v>
      </c>
    </row>
    <row r="72" spans="1:14" x14ac:dyDescent="0.3">
      <c r="A72" t="s">
        <v>116</v>
      </c>
      <c r="B72" t="s">
        <v>20</v>
      </c>
      <c r="C72" t="s">
        <v>21</v>
      </c>
      <c r="D72" t="s">
        <v>16</v>
      </c>
      <c r="E72" t="s">
        <v>22</v>
      </c>
      <c r="F72" t="s">
        <v>18</v>
      </c>
      <c r="G72">
        <v>2008</v>
      </c>
      <c r="H72">
        <v>26895.1</v>
      </c>
      <c r="I72">
        <v>16017.5</v>
      </c>
      <c r="J72">
        <v>10884.4</v>
      </c>
      <c r="K72">
        <v>10921.5</v>
      </c>
      <c r="L72">
        <v>40.607768700000001</v>
      </c>
      <c r="M72">
        <v>15973.6</v>
      </c>
      <c r="N72">
        <v>59.392231299999999</v>
      </c>
    </row>
    <row r="73" spans="1:14" x14ac:dyDescent="0.3">
      <c r="A73" t="s">
        <v>117</v>
      </c>
      <c r="B73" t="s">
        <v>14</v>
      </c>
      <c r="C73" t="s">
        <v>21</v>
      </c>
      <c r="D73" t="s">
        <v>16</v>
      </c>
      <c r="E73" t="s">
        <v>27</v>
      </c>
      <c r="F73" t="s">
        <v>18</v>
      </c>
      <c r="G73">
        <v>2011</v>
      </c>
      <c r="H73">
        <v>26465.200000000001</v>
      </c>
      <c r="I73">
        <v>5073.8</v>
      </c>
      <c r="J73">
        <v>21394.799999999999</v>
      </c>
      <c r="K73">
        <v>318.39999999999998</v>
      </c>
      <c r="L73">
        <v>1.20308934</v>
      </c>
      <c r="M73">
        <v>26146.799999999999</v>
      </c>
      <c r="N73">
        <v>98.796910659999995</v>
      </c>
    </row>
    <row r="74" spans="1:14" x14ac:dyDescent="0.3">
      <c r="A74" t="s">
        <v>118</v>
      </c>
      <c r="B74" t="s">
        <v>14</v>
      </c>
      <c r="C74" t="s">
        <v>33</v>
      </c>
      <c r="D74" t="s">
        <v>16</v>
      </c>
      <c r="E74" t="s">
        <v>51</v>
      </c>
      <c r="F74" t="s">
        <v>48</v>
      </c>
      <c r="G74">
        <v>1962</v>
      </c>
      <c r="H74">
        <v>26130.5</v>
      </c>
      <c r="I74">
        <v>26138.7</v>
      </c>
      <c r="J74">
        <v>2.2000000000000002</v>
      </c>
      <c r="K74">
        <v>26123</v>
      </c>
      <c r="L74">
        <v>99.971297910000004</v>
      </c>
      <c r="M74">
        <v>7.5</v>
      </c>
      <c r="N74">
        <v>2.870209143E-2</v>
      </c>
    </row>
    <row r="75" spans="1:14" x14ac:dyDescent="0.3">
      <c r="A75" t="s">
        <v>119</v>
      </c>
      <c r="B75" t="s">
        <v>14</v>
      </c>
      <c r="C75" t="s">
        <v>21</v>
      </c>
      <c r="D75" t="s">
        <v>16</v>
      </c>
      <c r="E75" t="s">
        <v>22</v>
      </c>
      <c r="F75" t="s">
        <v>18</v>
      </c>
      <c r="G75">
        <v>2004</v>
      </c>
      <c r="H75">
        <v>25875.8</v>
      </c>
      <c r="I75">
        <v>18250.900000000001</v>
      </c>
      <c r="J75">
        <v>7641</v>
      </c>
      <c r="K75">
        <v>2321.6999999999998</v>
      </c>
      <c r="L75">
        <v>8.9724762130000002</v>
      </c>
      <c r="M75">
        <v>23554.1</v>
      </c>
      <c r="N75">
        <v>91.027523790000004</v>
      </c>
    </row>
    <row r="76" spans="1:14" x14ac:dyDescent="0.3">
      <c r="A76" t="s">
        <v>120</v>
      </c>
      <c r="B76" t="s">
        <v>14</v>
      </c>
      <c r="C76" t="s">
        <v>21</v>
      </c>
      <c r="D76" t="s">
        <v>24</v>
      </c>
      <c r="E76" t="s">
        <v>25</v>
      </c>
      <c r="F76" t="s">
        <v>18</v>
      </c>
      <c r="G76">
        <v>1995</v>
      </c>
      <c r="H76">
        <v>25875.4</v>
      </c>
      <c r="I76">
        <v>11175.4</v>
      </c>
      <c r="J76">
        <v>14672</v>
      </c>
      <c r="K76">
        <v>2972.5</v>
      </c>
      <c r="L76">
        <v>11.48774512</v>
      </c>
      <c r="M76">
        <v>22902.9</v>
      </c>
      <c r="N76">
        <v>88.51225488</v>
      </c>
    </row>
    <row r="77" spans="1:14" x14ac:dyDescent="0.3">
      <c r="A77" t="s">
        <v>121</v>
      </c>
      <c r="B77" t="s">
        <v>14</v>
      </c>
      <c r="C77" t="s">
        <v>21</v>
      </c>
      <c r="D77" t="s">
        <v>16</v>
      </c>
      <c r="E77" t="s">
        <v>17</v>
      </c>
      <c r="F77" t="s">
        <v>18</v>
      </c>
      <c r="G77">
        <v>2011</v>
      </c>
      <c r="H77">
        <v>25818.400000000001</v>
      </c>
      <c r="I77">
        <v>15382.2</v>
      </c>
      <c r="J77">
        <v>10446.9</v>
      </c>
      <c r="K77">
        <v>10109.799999999999</v>
      </c>
      <c r="L77">
        <v>39.157345149999998</v>
      </c>
      <c r="M77">
        <v>15708.6</v>
      </c>
      <c r="N77">
        <v>60.842654850000002</v>
      </c>
    </row>
    <row r="78" spans="1:14" x14ac:dyDescent="0.3">
      <c r="A78" t="s">
        <v>122</v>
      </c>
      <c r="B78" t="s">
        <v>20</v>
      </c>
      <c r="C78" t="s">
        <v>21</v>
      </c>
      <c r="D78" t="s">
        <v>16</v>
      </c>
      <c r="E78" t="s">
        <v>22</v>
      </c>
      <c r="F78" t="s">
        <v>18</v>
      </c>
      <c r="G78">
        <v>2014</v>
      </c>
      <c r="H78">
        <v>25687.5</v>
      </c>
      <c r="I78">
        <v>13902.2</v>
      </c>
      <c r="J78">
        <v>11792.3</v>
      </c>
      <c r="K78">
        <v>12376.1</v>
      </c>
      <c r="L78">
        <v>48.179464719999999</v>
      </c>
      <c r="M78">
        <v>13311.4</v>
      </c>
      <c r="N78">
        <v>51.820535280000001</v>
      </c>
    </row>
    <row r="79" spans="1:14" x14ac:dyDescent="0.3">
      <c r="A79" t="s">
        <v>123</v>
      </c>
      <c r="B79" t="s">
        <v>14</v>
      </c>
      <c r="C79" t="s">
        <v>21</v>
      </c>
      <c r="D79" t="s">
        <v>16</v>
      </c>
      <c r="E79" t="s">
        <v>17</v>
      </c>
      <c r="F79" t="s">
        <v>18</v>
      </c>
      <c r="G79">
        <v>2006</v>
      </c>
      <c r="H79">
        <v>25289.9</v>
      </c>
      <c r="I79">
        <v>11748.9</v>
      </c>
      <c r="J79">
        <v>13549.3</v>
      </c>
      <c r="K79">
        <v>4844.5</v>
      </c>
      <c r="L79">
        <v>19.155868550000001</v>
      </c>
      <c r="M79">
        <v>20445.400000000001</v>
      </c>
      <c r="N79">
        <v>80.844131450000006</v>
      </c>
    </row>
    <row r="80" spans="1:14" x14ac:dyDescent="0.3">
      <c r="A80" t="s">
        <v>124</v>
      </c>
      <c r="B80" t="s">
        <v>14</v>
      </c>
      <c r="C80" t="s">
        <v>21</v>
      </c>
      <c r="D80" t="s">
        <v>16</v>
      </c>
      <c r="E80" t="s">
        <v>22</v>
      </c>
      <c r="F80" t="s">
        <v>18</v>
      </c>
      <c r="G80">
        <v>1964</v>
      </c>
      <c r="H80">
        <v>25264.400000000001</v>
      </c>
      <c r="I80">
        <v>24355.5</v>
      </c>
      <c r="J80">
        <v>908.9</v>
      </c>
      <c r="K80">
        <v>22915.3</v>
      </c>
      <c r="L80">
        <v>90.701936320000002</v>
      </c>
      <c r="M80">
        <v>2349.1</v>
      </c>
      <c r="N80">
        <v>9.2980636790000002</v>
      </c>
    </row>
    <row r="81" spans="1:14" x14ac:dyDescent="0.3">
      <c r="A81" t="s">
        <v>125</v>
      </c>
      <c r="B81" t="s">
        <v>20</v>
      </c>
      <c r="C81" t="s">
        <v>21</v>
      </c>
      <c r="D81" t="s">
        <v>16</v>
      </c>
      <c r="E81" t="s">
        <v>22</v>
      </c>
      <c r="F81" t="s">
        <v>18</v>
      </c>
      <c r="G81">
        <v>2014</v>
      </c>
      <c r="H81">
        <v>24888.6</v>
      </c>
      <c r="I81">
        <v>22789.599999999999</v>
      </c>
      <c r="J81">
        <v>2114.3000000000002</v>
      </c>
      <c r="K81">
        <v>22549.4</v>
      </c>
      <c r="L81">
        <v>90.601319480000001</v>
      </c>
      <c r="M81">
        <v>2339.1999999999998</v>
      </c>
      <c r="N81">
        <v>9.3986805199999992</v>
      </c>
    </row>
    <row r="82" spans="1:14" x14ac:dyDescent="0.3">
      <c r="A82" t="s">
        <v>126</v>
      </c>
      <c r="B82" t="s">
        <v>14</v>
      </c>
      <c r="C82" t="s">
        <v>21</v>
      </c>
      <c r="D82" t="s">
        <v>16</v>
      </c>
      <c r="E82" t="s">
        <v>27</v>
      </c>
      <c r="F82" t="s">
        <v>18</v>
      </c>
      <c r="G82">
        <v>2011</v>
      </c>
      <c r="H82">
        <v>24807.4</v>
      </c>
      <c r="I82">
        <v>20425.400000000001</v>
      </c>
      <c r="J82">
        <v>4391.5</v>
      </c>
      <c r="K82">
        <v>18809.3</v>
      </c>
      <c r="L82">
        <v>75.821327510000003</v>
      </c>
      <c r="M82">
        <v>5998.1</v>
      </c>
      <c r="N82">
        <v>24.17867249</v>
      </c>
    </row>
    <row r="83" spans="1:14" x14ac:dyDescent="0.3">
      <c r="A83" t="s">
        <v>127</v>
      </c>
      <c r="B83" t="s">
        <v>14</v>
      </c>
      <c r="C83" t="s">
        <v>128</v>
      </c>
      <c r="D83" t="s">
        <v>129</v>
      </c>
      <c r="E83" t="s">
        <v>130</v>
      </c>
      <c r="F83" t="s">
        <v>48</v>
      </c>
      <c r="G83">
        <v>1979</v>
      </c>
      <c r="H83">
        <v>24607</v>
      </c>
      <c r="I83">
        <v>24525.4</v>
      </c>
      <c r="J83">
        <v>81.599999999999994</v>
      </c>
      <c r="K83">
        <v>24410.799999999999</v>
      </c>
      <c r="L83">
        <v>99.202665909999993</v>
      </c>
      <c r="M83">
        <v>196.2</v>
      </c>
      <c r="N83">
        <v>0.79733409190000004</v>
      </c>
    </row>
    <row r="84" spans="1:14" x14ac:dyDescent="0.3">
      <c r="A84" t="s">
        <v>131</v>
      </c>
      <c r="B84" t="s">
        <v>14</v>
      </c>
      <c r="C84" t="s">
        <v>21</v>
      </c>
      <c r="D84" t="s">
        <v>16</v>
      </c>
      <c r="E84" t="s">
        <v>17</v>
      </c>
      <c r="F84" t="s">
        <v>18</v>
      </c>
      <c r="G84">
        <v>1996</v>
      </c>
      <c r="H84">
        <v>24440.1</v>
      </c>
      <c r="I84">
        <v>13311.3</v>
      </c>
      <c r="J84">
        <v>11139.9</v>
      </c>
      <c r="K84">
        <v>2764.3</v>
      </c>
      <c r="L84">
        <v>11.31051019</v>
      </c>
      <c r="M84">
        <v>21675.8</v>
      </c>
      <c r="N84">
        <v>88.689489809999998</v>
      </c>
    </row>
    <row r="85" spans="1:14" x14ac:dyDescent="0.3">
      <c r="A85" t="s">
        <v>132</v>
      </c>
      <c r="B85" t="s">
        <v>14</v>
      </c>
      <c r="C85" t="s">
        <v>21</v>
      </c>
      <c r="D85" t="s">
        <v>16</v>
      </c>
      <c r="E85" t="s">
        <v>17</v>
      </c>
      <c r="F85" t="s">
        <v>18</v>
      </c>
      <c r="G85">
        <v>2011</v>
      </c>
      <c r="H85">
        <v>24217.200000000001</v>
      </c>
      <c r="I85">
        <v>14721.3</v>
      </c>
      <c r="J85">
        <v>9504.2999999999993</v>
      </c>
      <c r="K85">
        <v>6253.7</v>
      </c>
      <c r="L85">
        <v>25.823381730000001</v>
      </c>
      <c r="M85">
        <v>17963.5</v>
      </c>
      <c r="N85">
        <v>74.176618270000006</v>
      </c>
    </row>
    <row r="86" spans="1:14" x14ac:dyDescent="0.3">
      <c r="A86" t="s">
        <v>133</v>
      </c>
      <c r="B86" t="s">
        <v>20</v>
      </c>
      <c r="C86" t="s">
        <v>21</v>
      </c>
      <c r="D86" t="s">
        <v>16</v>
      </c>
      <c r="E86" t="s">
        <v>22</v>
      </c>
      <c r="F86" t="s">
        <v>18</v>
      </c>
      <c r="G86">
        <v>2006</v>
      </c>
      <c r="H86">
        <v>23907.599999999999</v>
      </c>
      <c r="I86">
        <v>20739</v>
      </c>
      <c r="J86">
        <v>3175.7</v>
      </c>
      <c r="K86">
        <v>18453.900000000001</v>
      </c>
      <c r="L86">
        <v>77.188425440000003</v>
      </c>
      <c r="M86">
        <v>5453.7</v>
      </c>
      <c r="N86">
        <v>22.81157456</v>
      </c>
    </row>
    <row r="87" spans="1:14" x14ac:dyDescent="0.3">
      <c r="A87" t="s">
        <v>134</v>
      </c>
      <c r="B87" t="s">
        <v>14</v>
      </c>
      <c r="C87" t="s">
        <v>21</v>
      </c>
      <c r="D87" t="s">
        <v>16</v>
      </c>
      <c r="E87" t="s">
        <v>60</v>
      </c>
      <c r="F87" t="s">
        <v>48</v>
      </c>
      <c r="G87">
        <v>2012</v>
      </c>
      <c r="H87">
        <v>23845.1</v>
      </c>
      <c r="I87">
        <v>22661.5</v>
      </c>
      <c r="J87">
        <v>1189.8</v>
      </c>
      <c r="K87">
        <v>3830.9</v>
      </c>
      <c r="L87">
        <v>16.065774520000002</v>
      </c>
      <c r="M87">
        <v>20014.2</v>
      </c>
      <c r="N87">
        <v>83.934225479999995</v>
      </c>
    </row>
    <row r="88" spans="1:14" x14ac:dyDescent="0.3">
      <c r="A88" t="s">
        <v>135</v>
      </c>
      <c r="B88" t="s">
        <v>14</v>
      </c>
      <c r="C88" t="s">
        <v>21</v>
      </c>
      <c r="D88" t="s">
        <v>16</v>
      </c>
      <c r="E88" t="s">
        <v>60</v>
      </c>
      <c r="F88" t="s">
        <v>18</v>
      </c>
      <c r="G88">
        <v>2015</v>
      </c>
      <c r="H88">
        <v>23705.9</v>
      </c>
      <c r="I88">
        <v>17589.400000000001</v>
      </c>
      <c r="J88">
        <v>6122.5</v>
      </c>
      <c r="K88">
        <v>1704.1</v>
      </c>
      <c r="L88">
        <v>7.1885058150000001</v>
      </c>
      <c r="M88">
        <v>22001.8</v>
      </c>
      <c r="N88">
        <v>92.811494179999997</v>
      </c>
    </row>
    <row r="89" spans="1:14" x14ac:dyDescent="0.3">
      <c r="A89" t="s">
        <v>136</v>
      </c>
      <c r="B89" t="s">
        <v>20</v>
      </c>
      <c r="C89" t="s">
        <v>21</v>
      </c>
      <c r="D89" t="s">
        <v>16</v>
      </c>
      <c r="E89" t="s">
        <v>17</v>
      </c>
      <c r="F89" t="s">
        <v>18</v>
      </c>
      <c r="G89">
        <v>2015</v>
      </c>
      <c r="H89">
        <v>22494.9</v>
      </c>
      <c r="I89">
        <v>10833.6</v>
      </c>
      <c r="J89">
        <v>11666.6</v>
      </c>
      <c r="K89">
        <v>4407.8</v>
      </c>
      <c r="L89">
        <v>19.59466368</v>
      </c>
      <c r="M89">
        <v>18087.099999999999</v>
      </c>
      <c r="N89">
        <v>80.405336320000004</v>
      </c>
    </row>
    <row r="90" spans="1:14" x14ac:dyDescent="0.3">
      <c r="A90" t="s">
        <v>137</v>
      </c>
      <c r="B90" t="s">
        <v>14</v>
      </c>
      <c r="C90" t="s">
        <v>21</v>
      </c>
      <c r="D90" t="s">
        <v>16</v>
      </c>
      <c r="E90" t="s">
        <v>57</v>
      </c>
      <c r="F90" t="s">
        <v>48</v>
      </c>
      <c r="G90">
        <v>2009</v>
      </c>
      <c r="H90">
        <v>22475.8</v>
      </c>
      <c r="I90">
        <v>22215.200000000001</v>
      </c>
      <c r="J90">
        <v>269.10000000000002</v>
      </c>
      <c r="K90">
        <v>22142.6</v>
      </c>
      <c r="L90">
        <v>98.517516619999995</v>
      </c>
      <c r="M90">
        <v>333.2</v>
      </c>
      <c r="N90">
        <v>1.4824833820000001</v>
      </c>
    </row>
    <row r="91" spans="1:14" x14ac:dyDescent="0.3">
      <c r="A91" t="s">
        <v>138</v>
      </c>
      <c r="B91" t="s">
        <v>78</v>
      </c>
      <c r="C91" t="s">
        <v>21</v>
      </c>
      <c r="D91" t="s">
        <v>16</v>
      </c>
      <c r="E91" t="s">
        <v>139</v>
      </c>
      <c r="F91" t="s">
        <v>48</v>
      </c>
      <c r="G91">
        <v>1949</v>
      </c>
      <c r="H91">
        <v>22236.1</v>
      </c>
      <c r="I91">
        <v>287.8</v>
      </c>
      <c r="J91">
        <v>21966.6</v>
      </c>
      <c r="K91">
        <v>0</v>
      </c>
      <c r="L91">
        <v>0</v>
      </c>
      <c r="M91">
        <v>22236.1</v>
      </c>
      <c r="N91">
        <v>100</v>
      </c>
    </row>
    <row r="92" spans="1:14" x14ac:dyDescent="0.3">
      <c r="A92" t="s">
        <v>140</v>
      </c>
      <c r="B92" t="s">
        <v>14</v>
      </c>
      <c r="C92" t="s">
        <v>21</v>
      </c>
      <c r="D92" t="s">
        <v>24</v>
      </c>
      <c r="E92" t="s">
        <v>25</v>
      </c>
      <c r="F92" t="s">
        <v>18</v>
      </c>
      <c r="G92">
        <v>2004</v>
      </c>
      <c r="H92">
        <v>21937.3</v>
      </c>
      <c r="I92">
        <v>8927.4</v>
      </c>
      <c r="J92">
        <v>13023.3</v>
      </c>
      <c r="K92">
        <v>3007</v>
      </c>
      <c r="L92">
        <v>13.70724747</v>
      </c>
      <c r="M92">
        <v>18930.3</v>
      </c>
      <c r="N92">
        <v>86.292752530000001</v>
      </c>
    </row>
    <row r="93" spans="1:14" x14ac:dyDescent="0.3">
      <c r="A93" t="s">
        <v>141</v>
      </c>
      <c r="B93" t="s">
        <v>78</v>
      </c>
      <c r="C93" t="s">
        <v>21</v>
      </c>
      <c r="D93" t="s">
        <v>16</v>
      </c>
      <c r="E93" t="s">
        <v>51</v>
      </c>
      <c r="F93" t="s">
        <v>48</v>
      </c>
      <c r="G93">
        <v>1984</v>
      </c>
      <c r="H93">
        <v>21873.8</v>
      </c>
      <c r="I93">
        <v>21884.2</v>
      </c>
      <c r="J93">
        <v>0</v>
      </c>
      <c r="K93">
        <v>21872.400000000001</v>
      </c>
      <c r="L93">
        <v>99.993599649999993</v>
      </c>
      <c r="M93">
        <v>1.4</v>
      </c>
      <c r="N93">
        <v>6.4003511050000003E-3</v>
      </c>
    </row>
    <row r="94" spans="1:14" x14ac:dyDescent="0.3">
      <c r="A94" t="s">
        <v>142</v>
      </c>
      <c r="B94" t="s">
        <v>20</v>
      </c>
      <c r="C94" t="s">
        <v>143</v>
      </c>
      <c r="D94" t="s">
        <v>16</v>
      </c>
      <c r="E94" t="s">
        <v>22</v>
      </c>
      <c r="F94" t="s">
        <v>18</v>
      </c>
      <c r="G94">
        <v>2012</v>
      </c>
      <c r="H94">
        <v>21546.2</v>
      </c>
      <c r="I94">
        <v>12365.6</v>
      </c>
      <c r="J94">
        <v>9186</v>
      </c>
      <c r="K94">
        <v>6409.3</v>
      </c>
      <c r="L94">
        <v>29.746776690000001</v>
      </c>
      <c r="M94">
        <v>15136.9</v>
      </c>
      <c r="N94">
        <v>70.253223309999996</v>
      </c>
    </row>
    <row r="95" spans="1:14" x14ac:dyDescent="0.3">
      <c r="A95" t="s">
        <v>144</v>
      </c>
      <c r="B95" t="s">
        <v>14</v>
      </c>
      <c r="C95" t="s">
        <v>21</v>
      </c>
      <c r="D95" t="s">
        <v>16</v>
      </c>
      <c r="E95" t="s">
        <v>17</v>
      </c>
      <c r="F95" t="s">
        <v>48</v>
      </c>
      <c r="G95">
        <v>2014</v>
      </c>
      <c r="H95">
        <v>21202.3</v>
      </c>
      <c r="I95">
        <v>20357.3</v>
      </c>
      <c r="J95">
        <v>851.6</v>
      </c>
      <c r="K95">
        <v>16646.900000000001</v>
      </c>
      <c r="L95">
        <v>78.514595110000002</v>
      </c>
      <c r="M95">
        <v>4555.3999999999996</v>
      </c>
      <c r="N95">
        <v>21.485404890000002</v>
      </c>
    </row>
    <row r="96" spans="1:14" x14ac:dyDescent="0.3">
      <c r="A96" t="s">
        <v>145</v>
      </c>
      <c r="B96" t="s">
        <v>78</v>
      </c>
      <c r="C96" t="s">
        <v>21</v>
      </c>
      <c r="D96" t="s">
        <v>16</v>
      </c>
      <c r="E96" t="s">
        <v>22</v>
      </c>
      <c r="F96" t="s">
        <v>48</v>
      </c>
      <c r="G96">
        <v>2007</v>
      </c>
      <c r="H96">
        <v>21182.2</v>
      </c>
      <c r="I96">
        <v>19519.400000000001</v>
      </c>
      <c r="J96">
        <v>1669.7</v>
      </c>
      <c r="K96">
        <v>17506.599999999999</v>
      </c>
      <c r="L96">
        <v>82.647694759999993</v>
      </c>
      <c r="M96">
        <v>3675.6</v>
      </c>
      <c r="N96">
        <v>17.35230524</v>
      </c>
    </row>
    <row r="97" spans="1:14" x14ac:dyDescent="0.3">
      <c r="A97" t="s">
        <v>146</v>
      </c>
      <c r="B97" t="s">
        <v>14</v>
      </c>
      <c r="C97" t="s">
        <v>147</v>
      </c>
      <c r="D97" t="s">
        <v>16</v>
      </c>
      <c r="E97" t="s">
        <v>60</v>
      </c>
      <c r="F97" t="s">
        <v>18</v>
      </c>
      <c r="G97">
        <v>2006</v>
      </c>
      <c r="H97">
        <v>21003.5</v>
      </c>
      <c r="I97">
        <v>20142.3</v>
      </c>
      <c r="J97">
        <v>867.4</v>
      </c>
      <c r="K97">
        <v>14179.7</v>
      </c>
      <c r="L97">
        <v>67.511129100000005</v>
      </c>
      <c r="M97">
        <v>6823.8</v>
      </c>
      <c r="N97">
        <v>32.488870900000002</v>
      </c>
    </row>
    <row r="98" spans="1:14" x14ac:dyDescent="0.3">
      <c r="A98" t="s">
        <v>148</v>
      </c>
      <c r="B98" t="s">
        <v>14</v>
      </c>
      <c r="C98" t="s">
        <v>21</v>
      </c>
      <c r="D98" t="s">
        <v>16</v>
      </c>
      <c r="E98" t="s">
        <v>60</v>
      </c>
      <c r="F98" t="s">
        <v>18</v>
      </c>
      <c r="G98">
        <v>2002</v>
      </c>
      <c r="H98">
        <v>20670.8</v>
      </c>
      <c r="I98">
        <v>5352.4</v>
      </c>
      <c r="J98">
        <v>15318.4</v>
      </c>
      <c r="K98">
        <v>32.5</v>
      </c>
      <c r="L98">
        <v>0.1572266192</v>
      </c>
      <c r="M98">
        <v>20638.3</v>
      </c>
      <c r="N98">
        <v>99.842773379999997</v>
      </c>
    </row>
    <row r="99" spans="1:14" x14ac:dyDescent="0.3">
      <c r="A99" t="s">
        <v>149</v>
      </c>
      <c r="B99" t="s">
        <v>14</v>
      </c>
      <c r="C99" t="s">
        <v>21</v>
      </c>
      <c r="D99" t="s">
        <v>16</v>
      </c>
      <c r="E99" t="s">
        <v>17</v>
      </c>
      <c r="F99" t="s">
        <v>18</v>
      </c>
      <c r="G99">
        <v>1993</v>
      </c>
      <c r="H99">
        <v>20644.8</v>
      </c>
      <c r="I99">
        <v>7762</v>
      </c>
      <c r="J99">
        <v>12890.7</v>
      </c>
      <c r="K99">
        <v>1744.2</v>
      </c>
      <c r="L99">
        <v>8.4486166009999994</v>
      </c>
      <c r="M99">
        <v>18900.599999999999</v>
      </c>
      <c r="N99">
        <v>91.551383400000006</v>
      </c>
    </row>
    <row r="100" spans="1:14" x14ac:dyDescent="0.3">
      <c r="A100" t="s">
        <v>150</v>
      </c>
      <c r="B100" t="s">
        <v>14</v>
      </c>
      <c r="C100" t="s">
        <v>21</v>
      </c>
      <c r="D100" t="s">
        <v>24</v>
      </c>
      <c r="E100" t="s">
        <v>151</v>
      </c>
      <c r="F100" t="s">
        <v>18</v>
      </c>
      <c r="G100">
        <v>2011</v>
      </c>
      <c r="H100">
        <v>20549.2</v>
      </c>
      <c r="I100">
        <v>14249.8</v>
      </c>
      <c r="J100">
        <v>6311</v>
      </c>
      <c r="K100">
        <v>8225.7000000000007</v>
      </c>
      <c r="L100">
        <v>40.02929554</v>
      </c>
      <c r="M100">
        <v>12323.5</v>
      </c>
      <c r="N100">
        <v>59.97070446</v>
      </c>
    </row>
    <row r="101" spans="1:14" x14ac:dyDescent="0.3">
      <c r="A101" t="s">
        <v>152</v>
      </c>
      <c r="B101" t="s">
        <v>14</v>
      </c>
      <c r="C101" t="s">
        <v>21</v>
      </c>
      <c r="D101" t="s">
        <v>16</v>
      </c>
      <c r="E101" t="s">
        <v>17</v>
      </c>
      <c r="F101" t="s">
        <v>18</v>
      </c>
      <c r="G101">
        <v>2003</v>
      </c>
      <c r="H101">
        <v>20444.599999999999</v>
      </c>
      <c r="I101">
        <v>14112.2</v>
      </c>
      <c r="J101">
        <v>6342</v>
      </c>
      <c r="K101">
        <v>8484.4</v>
      </c>
      <c r="L101">
        <v>41.499466849999997</v>
      </c>
      <c r="M101">
        <v>11960.2</v>
      </c>
      <c r="N101">
        <v>58.500533150000003</v>
      </c>
    </row>
    <row r="102" spans="1:14" x14ac:dyDescent="0.3">
      <c r="A102" t="s">
        <v>153</v>
      </c>
      <c r="B102" t="s">
        <v>14</v>
      </c>
      <c r="C102" t="s">
        <v>89</v>
      </c>
      <c r="D102" t="s">
        <v>24</v>
      </c>
      <c r="E102" t="s">
        <v>90</v>
      </c>
      <c r="F102" t="s">
        <v>18</v>
      </c>
      <c r="G102">
        <v>2018</v>
      </c>
      <c r="H102">
        <v>20300.7</v>
      </c>
      <c r="I102">
        <v>13993.4</v>
      </c>
      <c r="J102">
        <v>6316.3</v>
      </c>
      <c r="K102">
        <v>7574.2</v>
      </c>
      <c r="L102">
        <v>37.310043499999999</v>
      </c>
      <c r="M102">
        <v>12726.5</v>
      </c>
      <c r="N102">
        <v>62.689956500000001</v>
      </c>
    </row>
    <row r="103" spans="1:14" x14ac:dyDescent="0.3">
      <c r="A103" t="s">
        <v>154</v>
      </c>
      <c r="B103" t="s">
        <v>14</v>
      </c>
      <c r="C103" t="s">
        <v>21</v>
      </c>
      <c r="D103" t="s">
        <v>16</v>
      </c>
      <c r="E103" t="s">
        <v>17</v>
      </c>
      <c r="F103" t="s">
        <v>18</v>
      </c>
      <c r="G103">
        <v>2015</v>
      </c>
      <c r="H103">
        <v>20138.099999999999</v>
      </c>
      <c r="I103">
        <v>15305.8</v>
      </c>
      <c r="J103">
        <v>4841.7</v>
      </c>
      <c r="K103">
        <v>13558.6</v>
      </c>
      <c r="L103">
        <v>67.328099469999998</v>
      </c>
      <c r="M103">
        <v>6579.5</v>
      </c>
      <c r="N103">
        <v>32.671900530000002</v>
      </c>
    </row>
    <row r="104" spans="1:14" x14ac:dyDescent="0.3">
      <c r="A104" t="s">
        <v>155</v>
      </c>
      <c r="B104" t="s">
        <v>14</v>
      </c>
      <c r="C104" t="s">
        <v>21</v>
      </c>
      <c r="D104" t="s">
        <v>16</v>
      </c>
      <c r="E104" t="s">
        <v>17</v>
      </c>
      <c r="F104" t="s">
        <v>18</v>
      </c>
      <c r="G104">
        <v>2007</v>
      </c>
      <c r="H104">
        <v>20091.099999999999</v>
      </c>
      <c r="I104">
        <v>18765.5</v>
      </c>
      <c r="J104">
        <v>1328</v>
      </c>
      <c r="K104">
        <v>12865.2</v>
      </c>
      <c r="L104">
        <v>64.034323659999998</v>
      </c>
      <c r="M104">
        <v>7225.9</v>
      </c>
      <c r="N104">
        <v>35.965676340000002</v>
      </c>
    </row>
    <row r="105" spans="1:14" x14ac:dyDescent="0.3">
      <c r="A105" t="s">
        <v>156</v>
      </c>
      <c r="B105" t="s">
        <v>14</v>
      </c>
      <c r="C105" t="s">
        <v>21</v>
      </c>
      <c r="D105" t="s">
        <v>16</v>
      </c>
      <c r="E105" t="s">
        <v>17</v>
      </c>
      <c r="F105" t="s">
        <v>18</v>
      </c>
      <c r="G105">
        <v>2015</v>
      </c>
      <c r="H105">
        <v>19977.5</v>
      </c>
      <c r="I105">
        <v>9365.1</v>
      </c>
      <c r="J105">
        <v>10617.1</v>
      </c>
      <c r="K105">
        <v>5320.2</v>
      </c>
      <c r="L105">
        <v>26.630959829999998</v>
      </c>
      <c r="M105">
        <v>14657.3</v>
      </c>
      <c r="N105">
        <v>73.369040170000005</v>
      </c>
    </row>
    <row r="106" spans="1:14" x14ac:dyDescent="0.3">
      <c r="A106" t="s">
        <v>157</v>
      </c>
      <c r="B106" t="s">
        <v>14</v>
      </c>
      <c r="C106" t="s">
        <v>21</v>
      </c>
      <c r="D106" t="s">
        <v>16</v>
      </c>
      <c r="E106" t="s">
        <v>17</v>
      </c>
      <c r="F106" t="s">
        <v>18</v>
      </c>
      <c r="G106">
        <v>2017</v>
      </c>
      <c r="H106">
        <v>19830.5</v>
      </c>
      <c r="I106">
        <v>12351.9</v>
      </c>
      <c r="J106">
        <v>7494</v>
      </c>
      <c r="K106">
        <v>8302.6</v>
      </c>
      <c r="L106">
        <v>41.867829860000001</v>
      </c>
      <c r="M106">
        <v>11527.9</v>
      </c>
      <c r="N106">
        <v>58.132170139999999</v>
      </c>
    </row>
    <row r="107" spans="1:14" x14ac:dyDescent="0.3">
      <c r="A107" t="s">
        <v>158</v>
      </c>
      <c r="B107" t="s">
        <v>14</v>
      </c>
      <c r="C107" t="s">
        <v>21</v>
      </c>
      <c r="D107" t="s">
        <v>16</v>
      </c>
      <c r="E107" t="s">
        <v>98</v>
      </c>
      <c r="F107" t="s">
        <v>18</v>
      </c>
      <c r="G107">
        <v>2019</v>
      </c>
      <c r="H107">
        <v>19727.2</v>
      </c>
      <c r="I107">
        <v>19690.8</v>
      </c>
      <c r="J107">
        <v>47.3</v>
      </c>
      <c r="K107">
        <v>15838.7</v>
      </c>
      <c r="L107">
        <v>80.288637010000002</v>
      </c>
      <c r="M107">
        <v>3888.5</v>
      </c>
      <c r="N107">
        <v>19.711362990000001</v>
      </c>
    </row>
    <row r="108" spans="1:14" x14ac:dyDescent="0.3">
      <c r="A108" t="s">
        <v>159</v>
      </c>
      <c r="B108" t="s">
        <v>14</v>
      </c>
      <c r="C108" t="s">
        <v>160</v>
      </c>
      <c r="D108" t="s">
        <v>16</v>
      </c>
      <c r="E108" t="s">
        <v>60</v>
      </c>
      <c r="F108" t="s">
        <v>18</v>
      </c>
      <c r="G108">
        <v>2013</v>
      </c>
      <c r="H108">
        <v>19707.8</v>
      </c>
      <c r="I108">
        <v>17829.8</v>
      </c>
      <c r="J108">
        <v>1883.3</v>
      </c>
      <c r="K108">
        <v>250.7</v>
      </c>
      <c r="L108">
        <v>1.2720851639999999</v>
      </c>
      <c r="M108">
        <v>19457.099999999999</v>
      </c>
      <c r="N108">
        <v>98.727914839999997</v>
      </c>
    </row>
    <row r="109" spans="1:14" x14ac:dyDescent="0.3">
      <c r="A109" t="s">
        <v>161</v>
      </c>
      <c r="B109" t="s">
        <v>14</v>
      </c>
      <c r="C109" t="s">
        <v>162</v>
      </c>
      <c r="D109" t="s">
        <v>24</v>
      </c>
      <c r="E109" t="s">
        <v>25</v>
      </c>
      <c r="F109" t="s">
        <v>18</v>
      </c>
      <c r="G109">
        <v>2014</v>
      </c>
      <c r="H109">
        <v>19528.3</v>
      </c>
      <c r="I109">
        <v>7512.9</v>
      </c>
      <c r="J109">
        <v>12015.4</v>
      </c>
      <c r="K109">
        <v>2397.8000000000002</v>
      </c>
      <c r="L109">
        <v>12.27859056</v>
      </c>
      <c r="M109">
        <v>17130.5</v>
      </c>
      <c r="N109">
        <v>87.721409440000002</v>
      </c>
    </row>
    <row r="110" spans="1:14" x14ac:dyDescent="0.3">
      <c r="A110" t="s">
        <v>163</v>
      </c>
      <c r="B110" t="s">
        <v>14</v>
      </c>
      <c r="C110" t="s">
        <v>21</v>
      </c>
      <c r="D110" t="s">
        <v>16</v>
      </c>
      <c r="E110" t="s">
        <v>57</v>
      </c>
      <c r="F110" t="s">
        <v>48</v>
      </c>
      <c r="G110">
        <v>2011</v>
      </c>
      <c r="H110">
        <v>19440.5</v>
      </c>
      <c r="I110">
        <v>19435.599999999999</v>
      </c>
      <c r="J110">
        <v>14.3</v>
      </c>
      <c r="K110">
        <v>18793.5</v>
      </c>
      <c r="L110">
        <v>96.6718963</v>
      </c>
      <c r="M110">
        <v>647</v>
      </c>
      <c r="N110">
        <v>3.3281037009999999</v>
      </c>
    </row>
    <row r="111" spans="1:14" x14ac:dyDescent="0.3">
      <c r="A111" t="s">
        <v>164</v>
      </c>
      <c r="B111" t="s">
        <v>14</v>
      </c>
      <c r="C111" t="s">
        <v>21</v>
      </c>
      <c r="D111" t="s">
        <v>16</v>
      </c>
      <c r="E111" t="s">
        <v>17</v>
      </c>
      <c r="F111" t="s">
        <v>18</v>
      </c>
      <c r="G111">
        <v>2008</v>
      </c>
      <c r="H111">
        <v>19383.5</v>
      </c>
      <c r="I111">
        <v>2977.3</v>
      </c>
      <c r="J111">
        <v>16406.099999999999</v>
      </c>
      <c r="K111">
        <v>809.7</v>
      </c>
      <c r="L111">
        <v>4.1772641679999998</v>
      </c>
      <c r="M111">
        <v>18573.8</v>
      </c>
      <c r="N111">
        <v>95.822735829999999</v>
      </c>
    </row>
    <row r="112" spans="1:14" x14ac:dyDescent="0.3">
      <c r="A112" t="s">
        <v>165</v>
      </c>
      <c r="B112" t="s">
        <v>14</v>
      </c>
      <c r="C112" t="s">
        <v>166</v>
      </c>
      <c r="D112" t="s">
        <v>167</v>
      </c>
      <c r="E112" t="s">
        <v>168</v>
      </c>
      <c r="F112" t="s">
        <v>48</v>
      </c>
      <c r="G112">
        <v>2008</v>
      </c>
      <c r="H112">
        <v>19231.7</v>
      </c>
      <c r="I112">
        <v>15881.4</v>
      </c>
      <c r="J112">
        <v>3360.5</v>
      </c>
      <c r="K112">
        <v>15399.4</v>
      </c>
      <c r="L112">
        <v>80.073004470000001</v>
      </c>
      <c r="M112">
        <v>3832.3</v>
      </c>
      <c r="N112">
        <v>19.926995529999999</v>
      </c>
    </row>
    <row r="113" spans="1:14" x14ac:dyDescent="0.3">
      <c r="A113" t="s">
        <v>169</v>
      </c>
      <c r="B113" t="s">
        <v>14</v>
      </c>
      <c r="C113" t="s">
        <v>21</v>
      </c>
      <c r="D113" t="s">
        <v>16</v>
      </c>
      <c r="E113" t="s">
        <v>98</v>
      </c>
      <c r="F113" t="s">
        <v>18</v>
      </c>
      <c r="G113">
        <v>2014</v>
      </c>
      <c r="H113">
        <v>19101.599999999999</v>
      </c>
      <c r="I113">
        <v>17465.400000000001</v>
      </c>
      <c r="J113">
        <v>1647.2</v>
      </c>
      <c r="K113">
        <v>16648</v>
      </c>
      <c r="L113">
        <v>87.155002719999999</v>
      </c>
      <c r="M113">
        <v>2453.6</v>
      </c>
      <c r="N113">
        <v>12.844997279999999</v>
      </c>
    </row>
    <row r="114" spans="1:14" x14ac:dyDescent="0.3">
      <c r="A114" t="s">
        <v>170</v>
      </c>
      <c r="B114" t="s">
        <v>14</v>
      </c>
      <c r="C114" t="s">
        <v>33</v>
      </c>
      <c r="D114" t="s">
        <v>16</v>
      </c>
      <c r="E114" t="s">
        <v>51</v>
      </c>
      <c r="F114" t="s">
        <v>18</v>
      </c>
      <c r="G114">
        <v>1969</v>
      </c>
      <c r="H114">
        <v>19090.400000000001</v>
      </c>
      <c r="I114">
        <v>17435.400000000001</v>
      </c>
      <c r="J114">
        <v>1662.4</v>
      </c>
      <c r="K114">
        <v>12211.1</v>
      </c>
      <c r="L114">
        <v>63.964610479999997</v>
      </c>
      <c r="M114">
        <v>6879.3</v>
      </c>
      <c r="N114">
        <v>36.035389520000003</v>
      </c>
    </row>
    <row r="115" spans="1:14" x14ac:dyDescent="0.3">
      <c r="A115" t="s">
        <v>171</v>
      </c>
      <c r="B115" t="s">
        <v>14</v>
      </c>
      <c r="C115" t="s">
        <v>42</v>
      </c>
      <c r="D115" t="s">
        <v>24</v>
      </c>
      <c r="E115" t="s">
        <v>82</v>
      </c>
      <c r="F115" t="s">
        <v>18</v>
      </c>
      <c r="G115">
        <v>2016</v>
      </c>
      <c r="H115">
        <v>18912.7</v>
      </c>
      <c r="I115">
        <v>8490.9</v>
      </c>
      <c r="J115">
        <v>10429.4</v>
      </c>
      <c r="K115">
        <v>5716.7</v>
      </c>
      <c r="L115">
        <v>30.226778830000001</v>
      </c>
      <c r="M115">
        <v>13196</v>
      </c>
      <c r="N115">
        <v>69.773221169999999</v>
      </c>
    </row>
    <row r="116" spans="1:14" x14ac:dyDescent="0.3">
      <c r="A116" t="s">
        <v>172</v>
      </c>
      <c r="B116" t="s">
        <v>14</v>
      </c>
      <c r="C116" t="s">
        <v>21</v>
      </c>
      <c r="D116" t="s">
        <v>16</v>
      </c>
      <c r="E116" t="s">
        <v>17</v>
      </c>
      <c r="F116" t="s">
        <v>18</v>
      </c>
      <c r="G116">
        <v>2016</v>
      </c>
      <c r="H116">
        <v>18889.599999999999</v>
      </c>
      <c r="I116">
        <v>11762.8</v>
      </c>
      <c r="J116">
        <v>7126.8</v>
      </c>
      <c r="K116">
        <v>5822.1</v>
      </c>
      <c r="L116">
        <v>30.821722009999998</v>
      </c>
      <c r="M116">
        <v>13067.5</v>
      </c>
      <c r="N116">
        <v>69.178277989999998</v>
      </c>
    </row>
    <row r="117" spans="1:14" x14ac:dyDescent="0.3">
      <c r="A117" t="s">
        <v>173</v>
      </c>
      <c r="B117" t="s">
        <v>20</v>
      </c>
      <c r="C117" t="s">
        <v>15</v>
      </c>
      <c r="D117" t="s">
        <v>16</v>
      </c>
      <c r="E117" t="s">
        <v>22</v>
      </c>
      <c r="F117" t="s">
        <v>18</v>
      </c>
      <c r="G117">
        <v>2017</v>
      </c>
      <c r="H117">
        <v>18707.3</v>
      </c>
      <c r="I117">
        <v>16893.7</v>
      </c>
      <c r="J117">
        <v>1823.3</v>
      </c>
      <c r="K117">
        <v>15280.9</v>
      </c>
      <c r="L117">
        <v>81.684155380000007</v>
      </c>
      <c r="M117">
        <v>3426.4</v>
      </c>
      <c r="N117">
        <v>18.31584462</v>
      </c>
    </row>
    <row r="118" spans="1:14" x14ac:dyDescent="0.3">
      <c r="A118" t="s">
        <v>174</v>
      </c>
      <c r="B118" t="s">
        <v>14</v>
      </c>
      <c r="C118" t="s">
        <v>21</v>
      </c>
      <c r="D118" t="s">
        <v>16</v>
      </c>
      <c r="E118" t="s">
        <v>17</v>
      </c>
      <c r="F118" t="s">
        <v>18</v>
      </c>
      <c r="G118">
        <v>2014</v>
      </c>
      <c r="H118">
        <v>18649.5</v>
      </c>
      <c r="I118">
        <v>17855.2</v>
      </c>
      <c r="J118">
        <v>801</v>
      </c>
      <c r="K118">
        <v>9452.7000000000007</v>
      </c>
      <c r="L118">
        <v>50.68607737</v>
      </c>
      <c r="M118">
        <v>9196.7999999999993</v>
      </c>
      <c r="N118">
        <v>49.31392263</v>
      </c>
    </row>
    <row r="119" spans="1:14" x14ac:dyDescent="0.3">
      <c r="A119" t="s">
        <v>175</v>
      </c>
      <c r="B119" t="s">
        <v>14</v>
      </c>
      <c r="C119" t="s">
        <v>21</v>
      </c>
      <c r="D119" t="s">
        <v>16</v>
      </c>
      <c r="E119" t="s">
        <v>51</v>
      </c>
      <c r="F119" t="s">
        <v>48</v>
      </c>
      <c r="G119">
        <v>1983</v>
      </c>
      <c r="H119">
        <v>18627</v>
      </c>
      <c r="I119">
        <v>18557</v>
      </c>
      <c r="J119">
        <v>77.900000000000006</v>
      </c>
      <c r="K119">
        <v>18283.099999999999</v>
      </c>
      <c r="L119">
        <v>98.1537553</v>
      </c>
      <c r="M119">
        <v>343.9</v>
      </c>
      <c r="N119">
        <v>1.8462446990000001</v>
      </c>
    </row>
    <row r="120" spans="1:14" x14ac:dyDescent="0.3">
      <c r="A120" t="s">
        <v>176</v>
      </c>
      <c r="B120" t="s">
        <v>14</v>
      </c>
      <c r="C120" t="s">
        <v>21</v>
      </c>
      <c r="D120" t="s">
        <v>24</v>
      </c>
      <c r="E120" t="s">
        <v>25</v>
      </c>
      <c r="F120" t="s">
        <v>18</v>
      </c>
      <c r="G120">
        <v>2003</v>
      </c>
      <c r="H120">
        <v>18580.599999999999</v>
      </c>
      <c r="I120">
        <v>14990.8</v>
      </c>
      <c r="J120">
        <v>3601.2</v>
      </c>
      <c r="K120">
        <v>8321.9</v>
      </c>
      <c r="L120">
        <v>44.788112329999997</v>
      </c>
      <c r="M120">
        <v>10258.700000000001</v>
      </c>
      <c r="N120">
        <v>55.211887670000003</v>
      </c>
    </row>
    <row r="121" spans="1:14" x14ac:dyDescent="0.3">
      <c r="A121" t="s">
        <v>177</v>
      </c>
      <c r="B121" t="s">
        <v>14</v>
      </c>
      <c r="C121" t="s">
        <v>21</v>
      </c>
      <c r="D121" t="s">
        <v>16</v>
      </c>
      <c r="E121" t="s">
        <v>27</v>
      </c>
      <c r="F121" t="s">
        <v>18</v>
      </c>
      <c r="G121">
        <v>1994</v>
      </c>
      <c r="H121">
        <v>18413.2</v>
      </c>
      <c r="I121">
        <v>12525.4</v>
      </c>
      <c r="J121">
        <v>5896.3</v>
      </c>
      <c r="K121">
        <v>5222.1000000000004</v>
      </c>
      <c r="L121">
        <v>28.360632590000002</v>
      </c>
      <c r="M121">
        <v>13191.1</v>
      </c>
      <c r="N121">
        <v>71.639367410000006</v>
      </c>
    </row>
    <row r="122" spans="1:14" x14ac:dyDescent="0.3">
      <c r="A122" t="s">
        <v>178</v>
      </c>
      <c r="B122" t="s">
        <v>14</v>
      </c>
      <c r="C122" t="s">
        <v>21</v>
      </c>
      <c r="D122" t="s">
        <v>16</v>
      </c>
      <c r="E122" t="s">
        <v>22</v>
      </c>
      <c r="F122" t="s">
        <v>18</v>
      </c>
      <c r="G122">
        <v>2015</v>
      </c>
      <c r="H122">
        <v>18309.3</v>
      </c>
      <c r="I122">
        <v>14642.3</v>
      </c>
      <c r="J122">
        <v>3673.3</v>
      </c>
      <c r="K122">
        <v>8613.7000000000007</v>
      </c>
      <c r="L122">
        <v>47.045490540000003</v>
      </c>
      <c r="M122">
        <v>9695.6</v>
      </c>
      <c r="N122">
        <v>52.954509459999997</v>
      </c>
    </row>
    <row r="123" spans="1:14" x14ac:dyDescent="0.3">
      <c r="A123" t="s">
        <v>179</v>
      </c>
      <c r="B123" t="s">
        <v>14</v>
      </c>
      <c r="C123" t="s">
        <v>21</v>
      </c>
      <c r="D123" t="s">
        <v>16</v>
      </c>
      <c r="E123" t="s">
        <v>22</v>
      </c>
      <c r="F123" t="s">
        <v>18</v>
      </c>
      <c r="G123">
        <v>2002</v>
      </c>
      <c r="H123">
        <v>18270.8</v>
      </c>
      <c r="I123">
        <v>13165.8</v>
      </c>
      <c r="J123">
        <v>5114.8999999999996</v>
      </c>
      <c r="K123">
        <v>8899.2000000000007</v>
      </c>
      <c r="L123">
        <v>48.707226830000003</v>
      </c>
      <c r="M123">
        <v>9371.6</v>
      </c>
      <c r="N123">
        <v>51.292773169999997</v>
      </c>
    </row>
    <row r="124" spans="1:14" x14ac:dyDescent="0.3">
      <c r="A124" t="s">
        <v>180</v>
      </c>
      <c r="B124" t="s">
        <v>14</v>
      </c>
      <c r="C124" t="s">
        <v>181</v>
      </c>
      <c r="D124" t="s">
        <v>16</v>
      </c>
      <c r="E124" t="s">
        <v>60</v>
      </c>
      <c r="F124" t="s">
        <v>18</v>
      </c>
      <c r="G124">
        <v>1994</v>
      </c>
      <c r="H124">
        <v>18217.099999999999</v>
      </c>
      <c r="I124">
        <v>13653.1</v>
      </c>
      <c r="J124">
        <v>4569.1000000000004</v>
      </c>
      <c r="K124">
        <v>3490.5</v>
      </c>
      <c r="L124">
        <v>19.160568919999999</v>
      </c>
      <c r="M124">
        <v>14726.6</v>
      </c>
      <c r="N124">
        <v>80.839431079999997</v>
      </c>
    </row>
    <row r="125" spans="1:14" x14ac:dyDescent="0.3">
      <c r="A125" t="s">
        <v>182</v>
      </c>
      <c r="B125" t="s">
        <v>14</v>
      </c>
      <c r="C125" t="s">
        <v>183</v>
      </c>
      <c r="D125" t="s">
        <v>16</v>
      </c>
      <c r="E125" t="s">
        <v>184</v>
      </c>
      <c r="F125" t="s">
        <v>18</v>
      </c>
      <c r="G125">
        <v>1996</v>
      </c>
      <c r="H125">
        <v>18203.3</v>
      </c>
      <c r="I125">
        <v>9674.9</v>
      </c>
      <c r="J125">
        <v>8539.4</v>
      </c>
      <c r="K125">
        <v>4460.6000000000004</v>
      </c>
      <c r="L125">
        <v>24.504348109999999</v>
      </c>
      <c r="M125">
        <v>13742.7</v>
      </c>
      <c r="N125">
        <v>75.495651890000005</v>
      </c>
    </row>
    <row r="126" spans="1:14" x14ac:dyDescent="0.3">
      <c r="A126" t="s">
        <v>185</v>
      </c>
      <c r="B126" t="s">
        <v>14</v>
      </c>
      <c r="C126" t="s">
        <v>21</v>
      </c>
      <c r="D126" t="s">
        <v>16</v>
      </c>
      <c r="E126" t="s">
        <v>17</v>
      </c>
      <c r="F126" t="s">
        <v>18</v>
      </c>
      <c r="G126">
        <v>2008</v>
      </c>
      <c r="H126">
        <v>18064.3</v>
      </c>
      <c r="I126">
        <v>7403</v>
      </c>
      <c r="J126">
        <v>10664.8</v>
      </c>
      <c r="K126">
        <v>2757.4</v>
      </c>
      <c r="L126">
        <v>15.2643612</v>
      </c>
      <c r="M126">
        <v>15306.9</v>
      </c>
      <c r="N126">
        <v>84.735638800000004</v>
      </c>
    </row>
    <row r="127" spans="1:14" x14ac:dyDescent="0.3">
      <c r="A127" t="s">
        <v>186</v>
      </c>
      <c r="B127" t="s">
        <v>20</v>
      </c>
      <c r="C127" t="s">
        <v>42</v>
      </c>
      <c r="D127" t="s">
        <v>16</v>
      </c>
      <c r="E127" t="s">
        <v>27</v>
      </c>
      <c r="F127" t="s">
        <v>18</v>
      </c>
      <c r="G127">
        <v>2012</v>
      </c>
      <c r="H127">
        <v>18005.3</v>
      </c>
      <c r="I127">
        <v>10367</v>
      </c>
      <c r="J127">
        <v>7646.6</v>
      </c>
      <c r="K127">
        <v>7259.1</v>
      </c>
      <c r="L127">
        <v>40.316462370000004</v>
      </c>
      <c r="M127">
        <v>10746.2</v>
      </c>
      <c r="N127">
        <v>59.683537629999996</v>
      </c>
    </row>
    <row r="128" spans="1:14" x14ac:dyDescent="0.3">
      <c r="A128" t="s">
        <v>187</v>
      </c>
      <c r="B128" t="s">
        <v>14</v>
      </c>
      <c r="C128" t="s">
        <v>21</v>
      </c>
      <c r="D128" t="s">
        <v>16</v>
      </c>
      <c r="E128" t="s">
        <v>17</v>
      </c>
      <c r="F128" t="s">
        <v>18</v>
      </c>
      <c r="G128">
        <v>2009</v>
      </c>
      <c r="H128">
        <v>17738.8</v>
      </c>
      <c r="I128">
        <v>11748.1</v>
      </c>
      <c r="J128">
        <v>5997.1</v>
      </c>
      <c r="K128">
        <v>7693.4</v>
      </c>
      <c r="L128">
        <v>43.370464740000003</v>
      </c>
      <c r="M128">
        <v>10045.4</v>
      </c>
      <c r="N128">
        <v>56.629535259999997</v>
      </c>
    </row>
    <row r="129" spans="1:14" x14ac:dyDescent="0.3">
      <c r="A129" t="s">
        <v>188</v>
      </c>
      <c r="B129" t="s">
        <v>14</v>
      </c>
      <c r="C129" t="s">
        <v>21</v>
      </c>
      <c r="D129" t="s">
        <v>16</v>
      </c>
      <c r="E129" t="s">
        <v>22</v>
      </c>
      <c r="F129" t="s">
        <v>18</v>
      </c>
      <c r="G129">
        <v>2009</v>
      </c>
      <c r="H129">
        <v>17720.2</v>
      </c>
      <c r="I129">
        <v>13610.1</v>
      </c>
      <c r="J129">
        <v>4116.2</v>
      </c>
      <c r="K129">
        <v>8342.7000000000007</v>
      </c>
      <c r="L129">
        <v>47.080168399999998</v>
      </c>
      <c r="M129">
        <v>9377.5</v>
      </c>
      <c r="N129">
        <v>52.919831600000002</v>
      </c>
    </row>
    <row r="130" spans="1:14" x14ac:dyDescent="0.3">
      <c r="A130" t="s">
        <v>189</v>
      </c>
      <c r="B130" t="s">
        <v>20</v>
      </c>
      <c r="C130" t="s">
        <v>45</v>
      </c>
      <c r="D130" t="s">
        <v>46</v>
      </c>
      <c r="E130" t="s">
        <v>47</v>
      </c>
      <c r="F130" t="s">
        <v>48</v>
      </c>
      <c r="G130">
        <v>2016</v>
      </c>
      <c r="H130">
        <v>17517.400000000001</v>
      </c>
      <c r="I130">
        <v>7595.2</v>
      </c>
      <c r="J130">
        <v>9927.7999999999993</v>
      </c>
      <c r="K130">
        <v>15415.4</v>
      </c>
      <c r="L130">
        <v>88.000502359999999</v>
      </c>
      <c r="M130">
        <v>2102</v>
      </c>
      <c r="N130">
        <v>11.99949764</v>
      </c>
    </row>
    <row r="131" spans="1:14" x14ac:dyDescent="0.3">
      <c r="A131" t="s">
        <v>190</v>
      </c>
      <c r="B131" t="s">
        <v>14</v>
      </c>
      <c r="C131" t="s">
        <v>21</v>
      </c>
      <c r="D131" t="s">
        <v>24</v>
      </c>
      <c r="E131" t="s">
        <v>25</v>
      </c>
      <c r="F131" t="s">
        <v>18</v>
      </c>
      <c r="G131">
        <v>2017</v>
      </c>
      <c r="H131">
        <v>17516.099999999999</v>
      </c>
      <c r="I131">
        <v>16311.4</v>
      </c>
      <c r="J131">
        <v>1210.7</v>
      </c>
      <c r="K131">
        <v>2137.8000000000002</v>
      </c>
      <c r="L131">
        <v>12.20477161</v>
      </c>
      <c r="M131">
        <v>15378.3</v>
      </c>
      <c r="N131">
        <v>87.795228390000005</v>
      </c>
    </row>
    <row r="132" spans="1:14" x14ac:dyDescent="0.3">
      <c r="A132" t="s">
        <v>191</v>
      </c>
      <c r="B132" t="s">
        <v>20</v>
      </c>
      <c r="C132" t="s">
        <v>21</v>
      </c>
      <c r="D132" t="s">
        <v>16</v>
      </c>
      <c r="E132" t="s">
        <v>22</v>
      </c>
      <c r="F132" t="s">
        <v>18</v>
      </c>
      <c r="G132">
        <v>2014</v>
      </c>
      <c r="H132">
        <v>17440.2</v>
      </c>
      <c r="I132">
        <v>5933.3</v>
      </c>
      <c r="J132">
        <v>11512.1</v>
      </c>
      <c r="K132">
        <v>2784</v>
      </c>
      <c r="L132">
        <v>15.963119689999999</v>
      </c>
      <c r="M132">
        <v>14656.2</v>
      </c>
      <c r="N132">
        <v>84.036880310000001</v>
      </c>
    </row>
    <row r="133" spans="1:14" x14ac:dyDescent="0.3">
      <c r="A133" t="s">
        <v>192</v>
      </c>
      <c r="B133" t="s">
        <v>14</v>
      </c>
      <c r="C133" t="s">
        <v>59</v>
      </c>
      <c r="D133" t="s">
        <v>16</v>
      </c>
      <c r="E133" t="s">
        <v>60</v>
      </c>
      <c r="F133" t="s">
        <v>48</v>
      </c>
      <c r="G133">
        <v>1994</v>
      </c>
      <c r="H133">
        <v>17316.599999999999</v>
      </c>
      <c r="I133">
        <v>10309.700000000001</v>
      </c>
      <c r="J133">
        <v>7013.9</v>
      </c>
      <c r="K133">
        <v>6283</v>
      </c>
      <c r="L133">
        <v>36.28310407</v>
      </c>
      <c r="M133">
        <v>11033.6</v>
      </c>
      <c r="N133">
        <v>63.71689593</v>
      </c>
    </row>
    <row r="134" spans="1:14" x14ac:dyDescent="0.3">
      <c r="A134" t="s">
        <v>193</v>
      </c>
      <c r="B134" t="s">
        <v>14</v>
      </c>
      <c r="C134" t="s">
        <v>89</v>
      </c>
      <c r="D134" t="s">
        <v>24</v>
      </c>
      <c r="E134" t="s">
        <v>82</v>
      </c>
      <c r="F134" t="s">
        <v>18</v>
      </c>
      <c r="G134">
        <v>1982</v>
      </c>
      <c r="H134">
        <v>17314.099999999999</v>
      </c>
      <c r="I134">
        <v>17301.5</v>
      </c>
      <c r="J134">
        <v>20</v>
      </c>
      <c r="K134">
        <v>17281</v>
      </c>
      <c r="L134">
        <v>99.808826330000002</v>
      </c>
      <c r="M134">
        <v>33.1</v>
      </c>
      <c r="N134">
        <v>0.19117366769999999</v>
      </c>
    </row>
    <row r="135" spans="1:14" x14ac:dyDescent="0.3">
      <c r="A135" t="s">
        <v>194</v>
      </c>
      <c r="B135" t="s">
        <v>20</v>
      </c>
      <c r="C135" t="s">
        <v>21</v>
      </c>
      <c r="D135" t="s">
        <v>16</v>
      </c>
      <c r="E135" t="s">
        <v>22</v>
      </c>
      <c r="F135" t="s">
        <v>18</v>
      </c>
      <c r="G135">
        <v>2008</v>
      </c>
      <c r="H135">
        <v>17119.5</v>
      </c>
      <c r="I135">
        <v>11625.6</v>
      </c>
      <c r="J135">
        <v>5498.6</v>
      </c>
      <c r="K135">
        <v>10006</v>
      </c>
      <c r="L135">
        <v>58.447968690000003</v>
      </c>
      <c r="M135">
        <v>7113.5</v>
      </c>
      <c r="N135">
        <v>41.552031309999997</v>
      </c>
    </row>
    <row r="136" spans="1:14" x14ac:dyDescent="0.3">
      <c r="A136" t="s">
        <v>195</v>
      </c>
      <c r="B136" t="s">
        <v>14</v>
      </c>
      <c r="C136" t="s">
        <v>196</v>
      </c>
      <c r="D136" t="s">
        <v>16</v>
      </c>
      <c r="E136" t="s">
        <v>27</v>
      </c>
      <c r="F136" t="s">
        <v>18</v>
      </c>
      <c r="G136">
        <v>2004</v>
      </c>
      <c r="H136">
        <v>17056</v>
      </c>
      <c r="I136">
        <v>8007.4</v>
      </c>
      <c r="J136">
        <v>9059.5</v>
      </c>
      <c r="K136">
        <v>4403.1000000000004</v>
      </c>
      <c r="L136">
        <v>25.81554878</v>
      </c>
      <c r="M136">
        <v>12652.9</v>
      </c>
      <c r="N136">
        <v>74.18445122</v>
      </c>
    </row>
    <row r="137" spans="1:14" x14ac:dyDescent="0.3">
      <c r="A137" t="s">
        <v>197</v>
      </c>
      <c r="B137" t="s">
        <v>14</v>
      </c>
      <c r="C137" t="s">
        <v>94</v>
      </c>
      <c r="D137" t="s">
        <v>16</v>
      </c>
      <c r="E137" t="s">
        <v>51</v>
      </c>
      <c r="F137" t="s">
        <v>48</v>
      </c>
      <c r="G137">
        <v>1975</v>
      </c>
      <c r="H137">
        <v>17010.5</v>
      </c>
      <c r="I137">
        <v>17018</v>
      </c>
      <c r="J137">
        <v>0</v>
      </c>
      <c r="K137">
        <v>17010.5</v>
      </c>
      <c r="L137">
        <v>100</v>
      </c>
      <c r="M137">
        <v>0</v>
      </c>
      <c r="N137">
        <v>0</v>
      </c>
    </row>
    <row r="138" spans="1:14" x14ac:dyDescent="0.3">
      <c r="A138" t="s">
        <v>198</v>
      </c>
      <c r="B138" t="s">
        <v>14</v>
      </c>
      <c r="C138" t="s">
        <v>42</v>
      </c>
      <c r="D138" t="s">
        <v>24</v>
      </c>
      <c r="E138" t="s">
        <v>82</v>
      </c>
      <c r="F138" t="s">
        <v>18</v>
      </c>
      <c r="G138">
        <v>2013</v>
      </c>
      <c r="H138">
        <v>16984.3</v>
      </c>
      <c r="I138">
        <v>10969.8</v>
      </c>
      <c r="J138">
        <v>6018.9</v>
      </c>
      <c r="K138">
        <v>4419.3</v>
      </c>
      <c r="L138">
        <v>26.019912510000001</v>
      </c>
      <c r="M138">
        <v>12565</v>
      </c>
      <c r="N138">
        <v>73.980087490000003</v>
      </c>
    </row>
    <row r="139" spans="1:14" x14ac:dyDescent="0.3">
      <c r="A139" t="s">
        <v>199</v>
      </c>
      <c r="B139" t="s">
        <v>14</v>
      </c>
      <c r="C139" t="s">
        <v>89</v>
      </c>
      <c r="D139" t="s">
        <v>24</v>
      </c>
      <c r="E139" t="s">
        <v>90</v>
      </c>
      <c r="F139" t="s">
        <v>18</v>
      </c>
      <c r="G139">
        <v>2010</v>
      </c>
      <c r="H139">
        <v>16969.400000000001</v>
      </c>
      <c r="I139">
        <v>10480.799999999999</v>
      </c>
      <c r="J139">
        <v>6497.7</v>
      </c>
      <c r="K139">
        <v>7429.1</v>
      </c>
      <c r="L139">
        <v>43.779391140000001</v>
      </c>
      <c r="M139">
        <v>9540.2999999999993</v>
      </c>
      <c r="N139">
        <v>56.220608859999999</v>
      </c>
    </row>
    <row r="140" spans="1:14" x14ac:dyDescent="0.3">
      <c r="A140" t="s">
        <v>200</v>
      </c>
      <c r="B140" t="s">
        <v>14</v>
      </c>
      <c r="C140" t="s">
        <v>160</v>
      </c>
      <c r="D140" t="s">
        <v>16</v>
      </c>
      <c r="E140" t="s">
        <v>60</v>
      </c>
      <c r="F140" t="s">
        <v>18</v>
      </c>
      <c r="G140">
        <v>2014</v>
      </c>
      <c r="H140">
        <v>16893.400000000001</v>
      </c>
      <c r="I140">
        <v>13879.3</v>
      </c>
      <c r="J140">
        <v>3019.1</v>
      </c>
      <c r="K140">
        <v>5321.5</v>
      </c>
      <c r="L140">
        <v>31.50046764</v>
      </c>
      <c r="M140">
        <v>11571.9</v>
      </c>
      <c r="N140">
        <v>68.499532360000003</v>
      </c>
    </row>
    <row r="141" spans="1:14" x14ac:dyDescent="0.3">
      <c r="A141" t="s">
        <v>201</v>
      </c>
      <c r="B141" t="s">
        <v>14</v>
      </c>
      <c r="C141" t="s">
        <v>21</v>
      </c>
      <c r="D141" t="s">
        <v>16</v>
      </c>
      <c r="E141" t="s">
        <v>17</v>
      </c>
      <c r="F141" t="s">
        <v>18</v>
      </c>
      <c r="G141">
        <v>2016</v>
      </c>
      <c r="H141">
        <v>16877.3</v>
      </c>
      <c r="I141">
        <v>11425.9</v>
      </c>
      <c r="J141">
        <v>5455.1</v>
      </c>
      <c r="K141">
        <v>6395.3</v>
      </c>
      <c r="L141">
        <v>37.892909410000001</v>
      </c>
      <c r="M141">
        <v>10482</v>
      </c>
      <c r="N141">
        <v>62.107090589999999</v>
      </c>
    </row>
    <row r="142" spans="1:14" x14ac:dyDescent="0.3">
      <c r="A142" t="s">
        <v>202</v>
      </c>
      <c r="B142" t="s">
        <v>78</v>
      </c>
      <c r="C142" t="s">
        <v>33</v>
      </c>
      <c r="D142" t="s">
        <v>16</v>
      </c>
      <c r="E142" t="s">
        <v>51</v>
      </c>
      <c r="F142" t="s">
        <v>48</v>
      </c>
      <c r="G142">
        <v>1967</v>
      </c>
      <c r="H142">
        <v>16577.5</v>
      </c>
      <c r="I142">
        <v>16577.5</v>
      </c>
      <c r="J142">
        <v>0.4</v>
      </c>
      <c r="K142">
        <v>16567.400000000001</v>
      </c>
      <c r="L142">
        <v>99.939074050000002</v>
      </c>
      <c r="M142">
        <v>10.1</v>
      </c>
      <c r="N142">
        <v>6.0925953849999999E-2</v>
      </c>
    </row>
    <row r="143" spans="1:14" x14ac:dyDescent="0.3">
      <c r="A143" t="s">
        <v>203</v>
      </c>
      <c r="B143" t="s">
        <v>14</v>
      </c>
      <c r="C143" t="s">
        <v>204</v>
      </c>
      <c r="D143" t="s">
        <v>16</v>
      </c>
      <c r="E143" t="s">
        <v>51</v>
      </c>
      <c r="F143" t="s">
        <v>18</v>
      </c>
      <c r="G143">
        <v>2013</v>
      </c>
      <c r="H143">
        <v>16556.5</v>
      </c>
      <c r="I143">
        <v>15920.4</v>
      </c>
      <c r="J143">
        <v>641.79999999999995</v>
      </c>
      <c r="K143">
        <v>15519.5</v>
      </c>
      <c r="L143">
        <v>93.736598920000006</v>
      </c>
      <c r="M143">
        <v>1037</v>
      </c>
      <c r="N143">
        <v>6.2634010809999996</v>
      </c>
    </row>
    <row r="144" spans="1:14" x14ac:dyDescent="0.3">
      <c r="A144" t="s">
        <v>205</v>
      </c>
      <c r="B144" t="s">
        <v>20</v>
      </c>
      <c r="C144" t="s">
        <v>33</v>
      </c>
      <c r="D144" t="s">
        <v>16</v>
      </c>
      <c r="E144" t="s">
        <v>22</v>
      </c>
      <c r="F144" t="s">
        <v>18</v>
      </c>
      <c r="G144">
        <v>2009</v>
      </c>
      <c r="H144">
        <v>16553.3</v>
      </c>
      <c r="I144">
        <v>11362.1</v>
      </c>
      <c r="J144">
        <v>5197.6000000000004</v>
      </c>
      <c r="K144">
        <v>8685.9</v>
      </c>
      <c r="L144">
        <v>52.4723167</v>
      </c>
      <c r="M144">
        <v>7867.4</v>
      </c>
      <c r="N144">
        <v>47.5276833</v>
      </c>
    </row>
    <row r="145" spans="1:14" x14ac:dyDescent="0.3">
      <c r="A145" t="s">
        <v>206</v>
      </c>
      <c r="B145" t="s">
        <v>14</v>
      </c>
      <c r="C145" t="s">
        <v>33</v>
      </c>
      <c r="D145" t="s">
        <v>16</v>
      </c>
      <c r="E145" t="s">
        <v>51</v>
      </c>
      <c r="F145" t="s">
        <v>48</v>
      </c>
      <c r="G145">
        <v>1992</v>
      </c>
      <c r="H145">
        <v>16454.900000000001</v>
      </c>
      <c r="I145">
        <v>16461.5</v>
      </c>
      <c r="J145">
        <v>3</v>
      </c>
      <c r="K145">
        <v>16382.5</v>
      </c>
      <c r="L145">
        <v>99.560009480000005</v>
      </c>
      <c r="M145">
        <v>72.400000000000006</v>
      </c>
      <c r="N145">
        <v>0.43999051950000001</v>
      </c>
    </row>
    <row r="146" spans="1:14" x14ac:dyDescent="0.3">
      <c r="A146" t="s">
        <v>207</v>
      </c>
      <c r="B146" t="s">
        <v>14</v>
      </c>
      <c r="C146" t="s">
        <v>21</v>
      </c>
      <c r="D146" t="s">
        <v>16</v>
      </c>
      <c r="E146" t="s">
        <v>17</v>
      </c>
      <c r="F146" t="s">
        <v>18</v>
      </c>
      <c r="G146">
        <v>2007</v>
      </c>
      <c r="H146">
        <v>16428.900000000001</v>
      </c>
      <c r="I146">
        <v>12009.4</v>
      </c>
      <c r="J146">
        <v>4364.5</v>
      </c>
      <c r="K146">
        <v>2139</v>
      </c>
      <c r="L146">
        <v>13.01973961</v>
      </c>
      <c r="M146">
        <v>14289.9</v>
      </c>
      <c r="N146">
        <v>86.980260389999998</v>
      </c>
    </row>
    <row r="147" spans="1:14" x14ac:dyDescent="0.3">
      <c r="A147" t="s">
        <v>208</v>
      </c>
      <c r="B147" t="s">
        <v>14</v>
      </c>
      <c r="C147" t="s">
        <v>21</v>
      </c>
      <c r="D147" t="s">
        <v>16</v>
      </c>
      <c r="E147" t="s">
        <v>17</v>
      </c>
      <c r="F147" t="s">
        <v>18</v>
      </c>
      <c r="G147">
        <v>2007</v>
      </c>
      <c r="H147">
        <v>16366.1</v>
      </c>
      <c r="I147">
        <v>14784.2</v>
      </c>
      <c r="J147">
        <v>1492.7</v>
      </c>
      <c r="K147">
        <v>4359.8</v>
      </c>
      <c r="L147">
        <v>26.639211540000002</v>
      </c>
      <c r="M147">
        <v>12006.3</v>
      </c>
      <c r="N147">
        <v>73.360788459999995</v>
      </c>
    </row>
    <row r="148" spans="1:14" x14ac:dyDescent="0.3">
      <c r="A148" t="s">
        <v>209</v>
      </c>
      <c r="B148" t="s">
        <v>20</v>
      </c>
      <c r="C148" t="s">
        <v>21</v>
      </c>
      <c r="D148" t="s">
        <v>16</v>
      </c>
      <c r="E148" t="s">
        <v>22</v>
      </c>
      <c r="F148" t="s">
        <v>18</v>
      </c>
      <c r="G148">
        <v>2000</v>
      </c>
      <c r="H148">
        <v>16271.6</v>
      </c>
      <c r="I148">
        <v>7125.4</v>
      </c>
      <c r="J148">
        <v>9125</v>
      </c>
      <c r="K148">
        <v>11023</v>
      </c>
      <c r="L148">
        <v>67.743799010000004</v>
      </c>
      <c r="M148">
        <v>5248.6</v>
      </c>
      <c r="N148">
        <v>32.256200990000004</v>
      </c>
    </row>
    <row r="149" spans="1:14" x14ac:dyDescent="0.3">
      <c r="A149" t="s">
        <v>210</v>
      </c>
      <c r="B149" t="s">
        <v>14</v>
      </c>
      <c r="C149" t="s">
        <v>21</v>
      </c>
      <c r="D149" t="s">
        <v>16</v>
      </c>
      <c r="E149" t="s">
        <v>51</v>
      </c>
      <c r="F149" t="s">
        <v>48</v>
      </c>
      <c r="G149">
        <v>1989</v>
      </c>
      <c r="H149">
        <v>16228.7</v>
      </c>
      <c r="I149">
        <v>16236</v>
      </c>
      <c r="J149">
        <v>0</v>
      </c>
      <c r="K149">
        <v>16228.7</v>
      </c>
      <c r="L149">
        <v>100</v>
      </c>
      <c r="M149">
        <v>0</v>
      </c>
      <c r="N149">
        <v>0</v>
      </c>
    </row>
    <row r="150" spans="1:14" x14ac:dyDescent="0.3">
      <c r="A150" t="s">
        <v>211</v>
      </c>
      <c r="B150" t="s">
        <v>14</v>
      </c>
      <c r="C150" t="s">
        <v>21</v>
      </c>
      <c r="D150" t="s">
        <v>16</v>
      </c>
      <c r="E150" t="s">
        <v>17</v>
      </c>
      <c r="F150" t="s">
        <v>18</v>
      </c>
      <c r="G150">
        <v>2018</v>
      </c>
      <c r="H150">
        <v>16217.4</v>
      </c>
      <c r="I150">
        <v>14631.5</v>
      </c>
      <c r="J150">
        <v>1588.4</v>
      </c>
      <c r="K150">
        <v>7841.6</v>
      </c>
      <c r="L150">
        <v>48.353003559999998</v>
      </c>
      <c r="M150">
        <v>8375.7999999999993</v>
      </c>
      <c r="N150">
        <v>51.646996440000002</v>
      </c>
    </row>
    <row r="151" spans="1:14" x14ac:dyDescent="0.3">
      <c r="A151" t="s">
        <v>212</v>
      </c>
      <c r="B151" t="s">
        <v>20</v>
      </c>
      <c r="C151" t="s">
        <v>21</v>
      </c>
      <c r="D151" t="s">
        <v>16</v>
      </c>
      <c r="E151" t="s">
        <v>22</v>
      </c>
      <c r="F151" t="s">
        <v>18</v>
      </c>
      <c r="G151">
        <v>1998</v>
      </c>
      <c r="H151">
        <v>16148.3</v>
      </c>
      <c r="I151">
        <v>14108.3</v>
      </c>
      <c r="J151">
        <v>2048.1</v>
      </c>
      <c r="K151">
        <v>13480.8</v>
      </c>
      <c r="L151">
        <v>83.481233320000001</v>
      </c>
      <c r="M151">
        <v>2667.5</v>
      </c>
      <c r="N151">
        <v>16.518766679999999</v>
      </c>
    </row>
    <row r="152" spans="1:14" x14ac:dyDescent="0.3">
      <c r="A152" t="s">
        <v>213</v>
      </c>
      <c r="B152" t="s">
        <v>14</v>
      </c>
      <c r="C152" t="s">
        <v>33</v>
      </c>
      <c r="D152" t="s">
        <v>16</v>
      </c>
      <c r="E152" t="s">
        <v>22</v>
      </c>
      <c r="F152" t="s">
        <v>18</v>
      </c>
      <c r="G152">
        <v>2012</v>
      </c>
      <c r="H152">
        <v>16111.6</v>
      </c>
      <c r="I152">
        <v>14817.7</v>
      </c>
      <c r="J152">
        <v>1297.5999999999999</v>
      </c>
      <c r="K152">
        <v>12881.3</v>
      </c>
      <c r="L152">
        <v>79.950470469999999</v>
      </c>
      <c r="M152">
        <v>3230.3</v>
      </c>
      <c r="N152">
        <v>20.049529530000001</v>
      </c>
    </row>
    <row r="153" spans="1:14" x14ac:dyDescent="0.3">
      <c r="A153" t="s">
        <v>214</v>
      </c>
      <c r="B153" t="s">
        <v>14</v>
      </c>
      <c r="C153" t="s">
        <v>15</v>
      </c>
      <c r="D153" t="s">
        <v>16</v>
      </c>
      <c r="E153" t="s">
        <v>17</v>
      </c>
      <c r="F153" t="s">
        <v>18</v>
      </c>
      <c r="G153">
        <v>2009</v>
      </c>
      <c r="H153">
        <v>16021.1</v>
      </c>
      <c r="I153">
        <v>11602.1</v>
      </c>
      <c r="J153">
        <v>4424.8</v>
      </c>
      <c r="K153">
        <v>8229.4</v>
      </c>
      <c r="L153">
        <v>51.366011069999999</v>
      </c>
      <c r="M153">
        <v>7791.7</v>
      </c>
      <c r="N153">
        <v>48.633988930000001</v>
      </c>
    </row>
    <row r="154" spans="1:14" x14ac:dyDescent="0.3">
      <c r="A154" t="s">
        <v>215</v>
      </c>
      <c r="B154" t="s">
        <v>14</v>
      </c>
      <c r="C154" t="s">
        <v>21</v>
      </c>
      <c r="D154" t="s">
        <v>16</v>
      </c>
      <c r="E154" t="s">
        <v>17</v>
      </c>
      <c r="F154" t="s">
        <v>18</v>
      </c>
      <c r="G154">
        <v>2006</v>
      </c>
      <c r="H154">
        <v>15952.2</v>
      </c>
      <c r="I154">
        <v>4000.7</v>
      </c>
      <c r="J154">
        <v>11957.2</v>
      </c>
      <c r="K154">
        <v>2951.3</v>
      </c>
      <c r="L154">
        <v>18.500896430000001</v>
      </c>
      <c r="M154">
        <v>13000.9</v>
      </c>
      <c r="N154">
        <v>81.499103570000003</v>
      </c>
    </row>
    <row r="155" spans="1:14" x14ac:dyDescent="0.3">
      <c r="A155" t="s">
        <v>216</v>
      </c>
      <c r="B155" t="s">
        <v>14</v>
      </c>
      <c r="C155" t="s">
        <v>59</v>
      </c>
      <c r="D155" t="s">
        <v>16</v>
      </c>
      <c r="E155" t="s">
        <v>60</v>
      </c>
      <c r="F155" t="s">
        <v>18</v>
      </c>
      <c r="G155">
        <v>2013</v>
      </c>
      <c r="H155">
        <v>15921.1</v>
      </c>
      <c r="I155">
        <v>12030.1</v>
      </c>
      <c r="J155">
        <v>3896.3</v>
      </c>
      <c r="K155">
        <v>527.5</v>
      </c>
      <c r="L155">
        <v>3.3132132830000001</v>
      </c>
      <c r="M155">
        <v>15393.6</v>
      </c>
      <c r="N155">
        <v>96.686786720000001</v>
      </c>
    </row>
    <row r="156" spans="1:14" x14ac:dyDescent="0.3">
      <c r="A156" t="s">
        <v>217</v>
      </c>
      <c r="B156" t="s">
        <v>14</v>
      </c>
      <c r="C156" t="s">
        <v>15</v>
      </c>
      <c r="D156" t="s">
        <v>16</v>
      </c>
      <c r="E156" t="s">
        <v>27</v>
      </c>
      <c r="F156" t="s">
        <v>18</v>
      </c>
      <c r="G156">
        <v>2014</v>
      </c>
      <c r="H156">
        <v>15876.2</v>
      </c>
      <c r="I156">
        <v>12905.1</v>
      </c>
      <c r="J156">
        <v>2982.4</v>
      </c>
      <c r="K156">
        <v>7353.2</v>
      </c>
      <c r="L156">
        <v>46.315869040000003</v>
      </c>
      <c r="M156">
        <v>8523</v>
      </c>
      <c r="N156">
        <v>53.684130959999997</v>
      </c>
    </row>
    <row r="157" spans="1:14" x14ac:dyDescent="0.3">
      <c r="A157" t="s">
        <v>218</v>
      </c>
      <c r="B157" t="s">
        <v>78</v>
      </c>
      <c r="C157" t="s">
        <v>21</v>
      </c>
      <c r="D157" t="s">
        <v>16</v>
      </c>
      <c r="E157" t="s">
        <v>17</v>
      </c>
      <c r="F157" t="s">
        <v>48</v>
      </c>
      <c r="G157">
        <v>1998</v>
      </c>
      <c r="H157">
        <v>15775.7</v>
      </c>
      <c r="I157">
        <v>15257.4</v>
      </c>
      <c r="J157">
        <v>527.70000000000005</v>
      </c>
      <c r="K157">
        <v>11623</v>
      </c>
      <c r="L157">
        <v>73.676603889999996</v>
      </c>
      <c r="M157">
        <v>4152.7</v>
      </c>
      <c r="N157">
        <v>26.323396110000001</v>
      </c>
    </row>
    <row r="158" spans="1:14" x14ac:dyDescent="0.3">
      <c r="A158" t="s">
        <v>219</v>
      </c>
      <c r="B158" t="s">
        <v>14</v>
      </c>
      <c r="C158" t="s">
        <v>21</v>
      </c>
      <c r="D158" t="s">
        <v>16</v>
      </c>
      <c r="E158" t="s">
        <v>17</v>
      </c>
      <c r="F158" t="s">
        <v>18</v>
      </c>
      <c r="G158">
        <v>2010</v>
      </c>
      <c r="H158">
        <v>15746</v>
      </c>
      <c r="I158">
        <v>502.4</v>
      </c>
      <c r="J158">
        <v>15243.6</v>
      </c>
      <c r="K158">
        <v>142.80000000000001</v>
      </c>
      <c r="L158">
        <v>0.90689698969999999</v>
      </c>
      <c r="M158">
        <v>15603.2</v>
      </c>
      <c r="N158">
        <v>99.093103009999993</v>
      </c>
    </row>
    <row r="159" spans="1:14" x14ac:dyDescent="0.3">
      <c r="A159" t="s">
        <v>220</v>
      </c>
      <c r="B159" t="s">
        <v>20</v>
      </c>
      <c r="C159" t="s">
        <v>71</v>
      </c>
      <c r="D159" t="s">
        <v>72</v>
      </c>
      <c r="E159" t="s">
        <v>73</v>
      </c>
      <c r="F159" t="s">
        <v>18</v>
      </c>
      <c r="G159">
        <v>2002</v>
      </c>
      <c r="H159">
        <v>15723</v>
      </c>
      <c r="I159">
        <v>2035.3</v>
      </c>
      <c r="J159">
        <v>13703.9</v>
      </c>
      <c r="K159">
        <v>690.5</v>
      </c>
      <c r="L159">
        <v>4.391655536</v>
      </c>
      <c r="M159">
        <v>15032.5</v>
      </c>
      <c r="N159">
        <v>95.608344459999998</v>
      </c>
    </row>
    <row r="160" spans="1:14" x14ac:dyDescent="0.3">
      <c r="A160" t="s">
        <v>221</v>
      </c>
      <c r="B160" t="s">
        <v>14</v>
      </c>
      <c r="C160" t="s">
        <v>222</v>
      </c>
      <c r="D160" t="s">
        <v>24</v>
      </c>
      <c r="E160" t="s">
        <v>17</v>
      </c>
      <c r="F160" t="s">
        <v>18</v>
      </c>
      <c r="G160">
        <v>2016</v>
      </c>
      <c r="H160">
        <v>15684.7</v>
      </c>
      <c r="I160">
        <v>7885.7</v>
      </c>
      <c r="J160">
        <v>7799</v>
      </c>
      <c r="K160">
        <v>3430.6</v>
      </c>
      <c r="L160">
        <v>21.87227043</v>
      </c>
      <c r="M160">
        <v>12254.1</v>
      </c>
      <c r="N160">
        <v>78.12772957</v>
      </c>
    </row>
    <row r="161" spans="1:14" x14ac:dyDescent="0.3">
      <c r="A161" t="s">
        <v>223</v>
      </c>
      <c r="B161" t="s">
        <v>14</v>
      </c>
      <c r="C161" t="s">
        <v>222</v>
      </c>
      <c r="D161" t="s">
        <v>24</v>
      </c>
      <c r="E161" t="s">
        <v>82</v>
      </c>
      <c r="F161" t="s">
        <v>18</v>
      </c>
      <c r="G161">
        <v>2017</v>
      </c>
      <c r="H161">
        <v>15638.8</v>
      </c>
      <c r="I161">
        <v>13216.1</v>
      </c>
      <c r="J161">
        <v>2427.1999999999998</v>
      </c>
      <c r="K161">
        <v>84.5</v>
      </c>
      <c r="L161">
        <v>0.54032278690000002</v>
      </c>
      <c r="M161">
        <v>15554.3</v>
      </c>
      <c r="N161">
        <v>99.459677209999995</v>
      </c>
    </row>
    <row r="162" spans="1:14" x14ac:dyDescent="0.3">
      <c r="A162" t="s">
        <v>224</v>
      </c>
      <c r="B162" t="s">
        <v>14</v>
      </c>
      <c r="C162" t="s">
        <v>21</v>
      </c>
      <c r="D162" t="s">
        <v>16</v>
      </c>
      <c r="E162" t="s">
        <v>17</v>
      </c>
      <c r="F162" t="s">
        <v>48</v>
      </c>
      <c r="G162">
        <v>2013</v>
      </c>
      <c r="H162">
        <v>15562.1</v>
      </c>
      <c r="I162">
        <v>13694</v>
      </c>
      <c r="J162">
        <v>1874.1</v>
      </c>
      <c r="K162">
        <v>4814.8999999999996</v>
      </c>
      <c r="L162">
        <v>30.939911710000001</v>
      </c>
      <c r="M162">
        <v>10747.2</v>
      </c>
      <c r="N162">
        <v>69.060088289999996</v>
      </c>
    </row>
    <row r="163" spans="1:14" x14ac:dyDescent="0.3">
      <c r="A163" t="s">
        <v>225</v>
      </c>
      <c r="B163" t="s">
        <v>14</v>
      </c>
      <c r="C163" t="s">
        <v>94</v>
      </c>
      <c r="D163" t="s">
        <v>16</v>
      </c>
      <c r="E163" t="s">
        <v>17</v>
      </c>
      <c r="F163" t="s">
        <v>18</v>
      </c>
      <c r="G163">
        <v>2018</v>
      </c>
      <c r="H163">
        <v>15561.7</v>
      </c>
      <c r="I163">
        <v>10487.9</v>
      </c>
      <c r="J163">
        <v>5077.6000000000004</v>
      </c>
      <c r="K163">
        <v>6776.1</v>
      </c>
      <c r="L163">
        <v>43.543443199999999</v>
      </c>
      <c r="M163">
        <v>8785.6</v>
      </c>
      <c r="N163">
        <v>56.456556800000001</v>
      </c>
    </row>
    <row r="164" spans="1:14" x14ac:dyDescent="0.3">
      <c r="A164" t="s">
        <v>226</v>
      </c>
      <c r="B164" t="s">
        <v>20</v>
      </c>
      <c r="C164" t="s">
        <v>166</v>
      </c>
      <c r="D164" t="s">
        <v>167</v>
      </c>
      <c r="E164" t="s">
        <v>168</v>
      </c>
      <c r="F164" t="s">
        <v>18</v>
      </c>
      <c r="G164">
        <v>2011</v>
      </c>
      <c r="H164">
        <v>15528.2</v>
      </c>
      <c r="I164">
        <v>7743.7</v>
      </c>
      <c r="J164">
        <v>7783.6</v>
      </c>
      <c r="K164">
        <v>7736.5</v>
      </c>
      <c r="L164">
        <v>49.822258859999998</v>
      </c>
      <c r="M164">
        <v>7791.7</v>
      </c>
      <c r="N164">
        <v>50.177741140000002</v>
      </c>
    </row>
    <row r="165" spans="1:14" x14ac:dyDescent="0.3">
      <c r="A165" t="s">
        <v>227</v>
      </c>
      <c r="B165" t="s">
        <v>20</v>
      </c>
      <c r="C165" t="s">
        <v>166</v>
      </c>
      <c r="D165" t="s">
        <v>167</v>
      </c>
      <c r="E165" t="s">
        <v>22</v>
      </c>
      <c r="F165" t="s">
        <v>18</v>
      </c>
      <c r="G165">
        <v>2012</v>
      </c>
      <c r="H165">
        <v>15525.6</v>
      </c>
      <c r="I165">
        <v>11131.7</v>
      </c>
      <c r="J165">
        <v>4374.8</v>
      </c>
      <c r="K165">
        <v>3212</v>
      </c>
      <c r="L165">
        <v>20.6884114</v>
      </c>
      <c r="M165">
        <v>12313.6</v>
      </c>
      <c r="N165">
        <v>79.311588599999993</v>
      </c>
    </row>
    <row r="166" spans="1:14" x14ac:dyDescent="0.3">
      <c r="A166" t="s">
        <v>228</v>
      </c>
      <c r="B166" t="s">
        <v>14</v>
      </c>
      <c r="C166" t="s">
        <v>21</v>
      </c>
      <c r="D166" t="s">
        <v>16</v>
      </c>
      <c r="E166" t="s">
        <v>51</v>
      </c>
      <c r="F166" t="s">
        <v>48</v>
      </c>
      <c r="G166">
        <v>1990</v>
      </c>
      <c r="H166">
        <v>15453.3</v>
      </c>
      <c r="I166">
        <v>15342.6</v>
      </c>
      <c r="J166">
        <v>118.3</v>
      </c>
      <c r="K166">
        <v>15333.7</v>
      </c>
      <c r="L166">
        <v>99.226055279999997</v>
      </c>
      <c r="M166">
        <v>119.6</v>
      </c>
      <c r="N166">
        <v>0.77394472380000001</v>
      </c>
    </row>
    <row r="167" spans="1:14" x14ac:dyDescent="0.3">
      <c r="A167" t="s">
        <v>229</v>
      </c>
      <c r="B167" t="s">
        <v>14</v>
      </c>
      <c r="C167" t="s">
        <v>21</v>
      </c>
      <c r="D167" t="s">
        <v>16</v>
      </c>
      <c r="E167" t="s">
        <v>17</v>
      </c>
      <c r="F167" t="s">
        <v>18</v>
      </c>
      <c r="G167">
        <v>2011</v>
      </c>
      <c r="H167">
        <v>15329.4</v>
      </c>
      <c r="I167">
        <v>6848.7</v>
      </c>
      <c r="J167">
        <v>8480.7000000000007</v>
      </c>
      <c r="K167">
        <v>2898.8</v>
      </c>
      <c r="L167">
        <v>18.91006823</v>
      </c>
      <c r="M167">
        <v>12430.6</v>
      </c>
      <c r="N167">
        <v>81.089931770000007</v>
      </c>
    </row>
    <row r="168" spans="1:14" x14ac:dyDescent="0.3">
      <c r="A168" t="s">
        <v>230</v>
      </c>
      <c r="B168" t="s">
        <v>14</v>
      </c>
      <c r="C168" t="s">
        <v>21</v>
      </c>
      <c r="D168" t="s">
        <v>16</v>
      </c>
      <c r="E168" t="s">
        <v>17</v>
      </c>
      <c r="F168" t="s">
        <v>18</v>
      </c>
      <c r="G168">
        <v>2017</v>
      </c>
      <c r="H168">
        <v>15252.2</v>
      </c>
      <c r="I168">
        <v>13192.5</v>
      </c>
      <c r="J168">
        <v>2067.1</v>
      </c>
      <c r="K168">
        <v>7139.4</v>
      </c>
      <c r="L168">
        <v>46.808984930000001</v>
      </c>
      <c r="M168">
        <v>8112.8</v>
      </c>
      <c r="N168">
        <v>53.191015069999999</v>
      </c>
    </row>
    <row r="169" spans="1:14" x14ac:dyDescent="0.3">
      <c r="A169" t="s">
        <v>231</v>
      </c>
      <c r="B169" t="s">
        <v>14</v>
      </c>
      <c r="C169" t="s">
        <v>71</v>
      </c>
      <c r="D169" t="s">
        <v>232</v>
      </c>
      <c r="E169" t="s">
        <v>73</v>
      </c>
      <c r="F169" t="s">
        <v>18</v>
      </c>
      <c r="G169">
        <v>1992</v>
      </c>
      <c r="H169">
        <v>15240.4</v>
      </c>
      <c r="I169">
        <v>10857.5</v>
      </c>
      <c r="J169">
        <v>4397.5</v>
      </c>
      <c r="K169">
        <v>594.9</v>
      </c>
      <c r="L169">
        <v>3.9034408549999999</v>
      </c>
      <c r="M169">
        <v>14645.5</v>
      </c>
      <c r="N169">
        <v>96.096559150000004</v>
      </c>
    </row>
    <row r="170" spans="1:14" x14ac:dyDescent="0.3">
      <c r="A170" t="s">
        <v>233</v>
      </c>
      <c r="B170" t="s">
        <v>14</v>
      </c>
      <c r="C170" t="s">
        <v>21</v>
      </c>
      <c r="D170" t="s">
        <v>16</v>
      </c>
      <c r="E170" t="s">
        <v>17</v>
      </c>
      <c r="F170" t="s">
        <v>18</v>
      </c>
      <c r="G170">
        <v>2006</v>
      </c>
      <c r="H170">
        <v>15133</v>
      </c>
      <c r="I170">
        <v>11606.5</v>
      </c>
      <c r="J170">
        <v>3518.6</v>
      </c>
      <c r="K170">
        <v>1928.5</v>
      </c>
      <c r="L170">
        <v>12.74367277</v>
      </c>
      <c r="M170">
        <v>13204.5</v>
      </c>
      <c r="N170">
        <v>87.256327229999997</v>
      </c>
    </row>
    <row r="171" spans="1:14" x14ac:dyDescent="0.3">
      <c r="A171" t="s">
        <v>234</v>
      </c>
      <c r="B171" t="s">
        <v>14</v>
      </c>
      <c r="C171" t="s">
        <v>21</v>
      </c>
      <c r="D171" t="s">
        <v>16</v>
      </c>
      <c r="E171" t="s">
        <v>17</v>
      </c>
      <c r="F171" t="s">
        <v>18</v>
      </c>
      <c r="G171">
        <v>2008</v>
      </c>
      <c r="H171">
        <v>15086.8</v>
      </c>
      <c r="I171">
        <v>10607.6</v>
      </c>
      <c r="J171">
        <v>4483.8999999999996</v>
      </c>
      <c r="K171">
        <v>5835.1</v>
      </c>
      <c r="L171">
        <v>38.67685659</v>
      </c>
      <c r="M171">
        <v>9251.7000000000007</v>
      </c>
      <c r="N171">
        <v>61.32314341</v>
      </c>
    </row>
    <row r="172" spans="1:14" x14ac:dyDescent="0.3">
      <c r="A172" t="s">
        <v>235</v>
      </c>
      <c r="B172" t="s">
        <v>14</v>
      </c>
      <c r="C172" t="s">
        <v>21</v>
      </c>
      <c r="D172" t="s">
        <v>24</v>
      </c>
      <c r="E172" t="s">
        <v>25</v>
      </c>
      <c r="F172" t="s">
        <v>18</v>
      </c>
      <c r="G172">
        <v>2010</v>
      </c>
      <c r="H172">
        <v>15041.1</v>
      </c>
      <c r="I172">
        <v>4978.8999999999996</v>
      </c>
      <c r="J172">
        <v>10062.1</v>
      </c>
      <c r="K172">
        <v>2069.9</v>
      </c>
      <c r="L172">
        <v>13.76162648</v>
      </c>
      <c r="M172">
        <v>12971.2</v>
      </c>
      <c r="N172">
        <v>86.238373519999996</v>
      </c>
    </row>
    <row r="173" spans="1:14" x14ac:dyDescent="0.3">
      <c r="A173" t="s">
        <v>236</v>
      </c>
      <c r="B173" t="s">
        <v>14</v>
      </c>
      <c r="C173" t="s">
        <v>183</v>
      </c>
      <c r="D173" t="s">
        <v>16</v>
      </c>
      <c r="E173" t="s">
        <v>184</v>
      </c>
      <c r="F173" t="s">
        <v>48</v>
      </c>
      <c r="G173">
        <v>1962</v>
      </c>
      <c r="H173">
        <v>14992.7</v>
      </c>
      <c r="I173">
        <v>14837.1</v>
      </c>
      <c r="J173">
        <v>161.6</v>
      </c>
      <c r="K173">
        <v>13836</v>
      </c>
      <c r="L173">
        <v>92.284911989999998</v>
      </c>
      <c r="M173">
        <v>1156.7</v>
      </c>
      <c r="N173">
        <v>7.7150880089999996</v>
      </c>
    </row>
    <row r="174" spans="1:14" x14ac:dyDescent="0.3">
      <c r="A174" t="s">
        <v>237</v>
      </c>
      <c r="B174" t="s">
        <v>14</v>
      </c>
      <c r="C174" t="s">
        <v>45</v>
      </c>
      <c r="D174" t="s">
        <v>46</v>
      </c>
      <c r="E174" t="s">
        <v>47</v>
      </c>
      <c r="F174" t="s">
        <v>48</v>
      </c>
      <c r="G174">
        <v>2018</v>
      </c>
      <c r="H174">
        <v>14947.4</v>
      </c>
      <c r="I174">
        <v>14819</v>
      </c>
      <c r="J174">
        <v>136.5</v>
      </c>
      <c r="K174">
        <v>13482.3</v>
      </c>
      <c r="L174">
        <v>90.198295360000003</v>
      </c>
      <c r="M174">
        <v>1465.1</v>
      </c>
      <c r="N174">
        <v>9.8017046440000009</v>
      </c>
    </row>
    <row r="175" spans="1:14" x14ac:dyDescent="0.3">
      <c r="A175" t="s">
        <v>238</v>
      </c>
      <c r="B175" t="s">
        <v>14</v>
      </c>
      <c r="C175" t="s">
        <v>71</v>
      </c>
      <c r="D175" t="s">
        <v>232</v>
      </c>
      <c r="E175" t="s">
        <v>73</v>
      </c>
      <c r="F175" t="s">
        <v>18</v>
      </c>
      <c r="G175">
        <v>2012</v>
      </c>
      <c r="H175">
        <v>14897.8</v>
      </c>
      <c r="I175">
        <v>12456.5</v>
      </c>
      <c r="J175">
        <v>2450</v>
      </c>
      <c r="K175">
        <v>1543.3</v>
      </c>
      <c r="L175">
        <v>10.35924767</v>
      </c>
      <c r="M175">
        <v>13354.5</v>
      </c>
      <c r="N175">
        <v>89.640752329999998</v>
      </c>
    </row>
    <row r="176" spans="1:14" x14ac:dyDescent="0.3">
      <c r="A176" t="s">
        <v>239</v>
      </c>
      <c r="B176" t="s">
        <v>14</v>
      </c>
      <c r="C176" t="s">
        <v>21</v>
      </c>
      <c r="D176" t="s">
        <v>16</v>
      </c>
      <c r="E176" t="s">
        <v>27</v>
      </c>
      <c r="F176" t="s">
        <v>18</v>
      </c>
      <c r="G176">
        <v>2006</v>
      </c>
      <c r="H176">
        <v>14888.6</v>
      </c>
      <c r="I176">
        <v>8808.5</v>
      </c>
      <c r="J176">
        <v>6090.2</v>
      </c>
      <c r="K176">
        <v>8012</v>
      </c>
      <c r="L176">
        <v>53.81298443</v>
      </c>
      <c r="M176">
        <v>6876.6</v>
      </c>
      <c r="N176">
        <v>46.18701557</v>
      </c>
    </row>
    <row r="177" spans="1:14" x14ac:dyDescent="0.3">
      <c r="A177" t="s">
        <v>240</v>
      </c>
      <c r="B177" t="s">
        <v>14</v>
      </c>
      <c r="C177" t="s">
        <v>21</v>
      </c>
      <c r="D177" t="s">
        <v>16</v>
      </c>
      <c r="E177" t="s">
        <v>17</v>
      </c>
      <c r="F177" t="s">
        <v>18</v>
      </c>
      <c r="G177">
        <v>2005</v>
      </c>
      <c r="H177">
        <v>14880.2</v>
      </c>
      <c r="I177">
        <v>7106.1</v>
      </c>
      <c r="J177">
        <v>7779.1</v>
      </c>
      <c r="K177">
        <v>1618.8</v>
      </c>
      <c r="L177">
        <v>10.878886039999999</v>
      </c>
      <c r="M177">
        <v>13261.4</v>
      </c>
      <c r="N177">
        <v>89.121113960000002</v>
      </c>
    </row>
    <row r="178" spans="1:14" x14ac:dyDescent="0.3">
      <c r="A178" t="s">
        <v>241</v>
      </c>
      <c r="B178" t="s">
        <v>20</v>
      </c>
      <c r="C178" t="s">
        <v>242</v>
      </c>
      <c r="D178" t="s">
        <v>24</v>
      </c>
      <c r="E178" t="s">
        <v>22</v>
      </c>
      <c r="F178" t="s">
        <v>18</v>
      </c>
      <c r="G178">
        <v>2016</v>
      </c>
      <c r="H178">
        <v>14558.4</v>
      </c>
      <c r="I178">
        <v>10084</v>
      </c>
      <c r="J178">
        <v>4479.1000000000004</v>
      </c>
      <c r="K178">
        <v>5316.8</v>
      </c>
      <c r="L178">
        <v>36.52049676</v>
      </c>
      <c r="M178">
        <v>9241.6</v>
      </c>
      <c r="N178">
        <v>63.47950324</v>
      </c>
    </row>
    <row r="179" spans="1:14" x14ac:dyDescent="0.3">
      <c r="A179" t="s">
        <v>243</v>
      </c>
      <c r="B179" t="s">
        <v>20</v>
      </c>
      <c r="C179" t="s">
        <v>33</v>
      </c>
      <c r="D179" t="s">
        <v>16</v>
      </c>
      <c r="E179" t="s">
        <v>22</v>
      </c>
      <c r="F179" t="s">
        <v>18</v>
      </c>
      <c r="G179">
        <v>2008</v>
      </c>
      <c r="H179">
        <v>14544.4</v>
      </c>
      <c r="I179">
        <v>10175.299999999999</v>
      </c>
      <c r="J179">
        <v>4376</v>
      </c>
      <c r="K179">
        <v>6747.8</v>
      </c>
      <c r="L179">
        <v>46.394488600000003</v>
      </c>
      <c r="M179">
        <v>7796.6</v>
      </c>
      <c r="N179">
        <v>53.605511399999997</v>
      </c>
    </row>
    <row r="180" spans="1:14" x14ac:dyDescent="0.3">
      <c r="A180" t="s">
        <v>244</v>
      </c>
      <c r="B180" t="s">
        <v>14</v>
      </c>
      <c r="C180" t="s">
        <v>245</v>
      </c>
      <c r="D180" t="s">
        <v>16</v>
      </c>
      <c r="E180" t="s">
        <v>27</v>
      </c>
      <c r="F180" t="s">
        <v>18</v>
      </c>
      <c r="G180">
        <v>2017</v>
      </c>
      <c r="H180">
        <v>14512.1</v>
      </c>
      <c r="I180">
        <v>13579.3</v>
      </c>
      <c r="J180">
        <v>938.4</v>
      </c>
      <c r="K180">
        <v>12111.7</v>
      </c>
      <c r="L180">
        <v>83.459320149999996</v>
      </c>
      <c r="M180">
        <v>2400.4</v>
      </c>
      <c r="N180">
        <v>16.54067985</v>
      </c>
    </row>
    <row r="181" spans="1:14" x14ac:dyDescent="0.3">
      <c r="A181" t="s">
        <v>246</v>
      </c>
      <c r="B181" t="s">
        <v>14</v>
      </c>
      <c r="C181" t="s">
        <v>21</v>
      </c>
      <c r="D181" t="s">
        <v>16</v>
      </c>
      <c r="E181" t="s">
        <v>51</v>
      </c>
      <c r="F181" t="s">
        <v>48</v>
      </c>
      <c r="G181">
        <v>2003</v>
      </c>
      <c r="H181">
        <v>14507.7</v>
      </c>
      <c r="I181">
        <v>10717.2</v>
      </c>
      <c r="J181">
        <v>3796.5</v>
      </c>
      <c r="K181">
        <v>12380.2</v>
      </c>
      <c r="L181">
        <v>85.335373630000007</v>
      </c>
      <c r="M181">
        <v>2127.5</v>
      </c>
      <c r="N181">
        <v>14.664626370000001</v>
      </c>
    </row>
    <row r="182" spans="1:14" x14ac:dyDescent="0.3">
      <c r="A182" t="s">
        <v>247</v>
      </c>
      <c r="B182" t="s">
        <v>14</v>
      </c>
      <c r="C182" t="s">
        <v>15</v>
      </c>
      <c r="D182" t="s">
        <v>16</v>
      </c>
      <c r="E182" t="s">
        <v>27</v>
      </c>
      <c r="F182" t="s">
        <v>18</v>
      </c>
      <c r="G182">
        <v>2013</v>
      </c>
      <c r="H182">
        <v>14506.3</v>
      </c>
      <c r="I182">
        <v>13237.2</v>
      </c>
      <c r="J182">
        <v>1275</v>
      </c>
      <c r="K182">
        <v>7177.2</v>
      </c>
      <c r="L182">
        <v>49.476434380000001</v>
      </c>
      <c r="M182">
        <v>7329.1</v>
      </c>
      <c r="N182">
        <v>50.523565619999999</v>
      </c>
    </row>
    <row r="183" spans="1:14" x14ac:dyDescent="0.3">
      <c r="A183" t="s">
        <v>248</v>
      </c>
      <c r="B183" t="s">
        <v>14</v>
      </c>
      <c r="C183" t="s">
        <v>166</v>
      </c>
      <c r="D183" t="s">
        <v>167</v>
      </c>
      <c r="E183" t="s">
        <v>168</v>
      </c>
      <c r="F183" t="s">
        <v>48</v>
      </c>
      <c r="G183">
        <v>2007</v>
      </c>
      <c r="H183">
        <v>14404.4</v>
      </c>
      <c r="I183">
        <v>11024</v>
      </c>
      <c r="J183">
        <v>3391.4</v>
      </c>
      <c r="K183">
        <v>10484.4</v>
      </c>
      <c r="L183">
        <v>72.786093140000006</v>
      </c>
      <c r="M183">
        <v>3920</v>
      </c>
      <c r="N183">
        <v>27.213906860000002</v>
      </c>
    </row>
    <row r="184" spans="1:14" x14ac:dyDescent="0.3">
      <c r="A184" t="s">
        <v>249</v>
      </c>
      <c r="B184" t="s">
        <v>14</v>
      </c>
      <c r="C184" t="s">
        <v>21</v>
      </c>
      <c r="D184" t="s">
        <v>16</v>
      </c>
      <c r="E184" t="s">
        <v>17</v>
      </c>
      <c r="F184" t="s">
        <v>18</v>
      </c>
      <c r="G184">
        <v>2015</v>
      </c>
      <c r="H184">
        <v>14402.6</v>
      </c>
      <c r="I184">
        <v>13416.1</v>
      </c>
      <c r="J184">
        <v>990</v>
      </c>
      <c r="K184">
        <v>791.1</v>
      </c>
      <c r="L184">
        <v>5.4927582519999998</v>
      </c>
      <c r="M184">
        <v>13611.5</v>
      </c>
      <c r="N184">
        <v>94.507241750000006</v>
      </c>
    </row>
    <row r="185" spans="1:14" x14ac:dyDescent="0.3">
      <c r="A185" t="s">
        <v>250</v>
      </c>
      <c r="B185" t="s">
        <v>14</v>
      </c>
      <c r="C185" t="s">
        <v>21</v>
      </c>
      <c r="D185" t="s">
        <v>16</v>
      </c>
      <c r="E185" t="s">
        <v>51</v>
      </c>
      <c r="F185" t="s">
        <v>48</v>
      </c>
      <c r="G185">
        <v>2005</v>
      </c>
      <c r="H185">
        <v>14402.3</v>
      </c>
      <c r="I185">
        <v>4417.2</v>
      </c>
      <c r="J185">
        <v>9988.5</v>
      </c>
      <c r="K185">
        <v>13038</v>
      </c>
      <c r="L185">
        <v>90.52720746</v>
      </c>
      <c r="M185">
        <v>1364.3</v>
      </c>
      <c r="N185">
        <v>9.4727925400000004</v>
      </c>
    </row>
    <row r="186" spans="1:14" x14ac:dyDescent="0.3">
      <c r="A186" t="s">
        <v>251</v>
      </c>
      <c r="B186" t="s">
        <v>14</v>
      </c>
      <c r="C186" t="s">
        <v>94</v>
      </c>
      <c r="D186" t="s">
        <v>16</v>
      </c>
      <c r="E186" t="s">
        <v>51</v>
      </c>
      <c r="F186" t="s">
        <v>18</v>
      </c>
      <c r="G186">
        <v>2008</v>
      </c>
      <c r="H186">
        <v>14387.1</v>
      </c>
      <c r="I186">
        <v>13232.8</v>
      </c>
      <c r="J186">
        <v>1165.4000000000001</v>
      </c>
      <c r="K186">
        <v>12678.8</v>
      </c>
      <c r="L186">
        <v>88.126168579999998</v>
      </c>
      <c r="M186">
        <v>1708.3</v>
      </c>
      <c r="N186">
        <v>11.87383142</v>
      </c>
    </row>
    <row r="187" spans="1:14" x14ac:dyDescent="0.3">
      <c r="A187" t="s">
        <v>252</v>
      </c>
      <c r="B187" t="s">
        <v>14</v>
      </c>
      <c r="C187" t="s">
        <v>242</v>
      </c>
      <c r="D187" t="s">
        <v>24</v>
      </c>
      <c r="E187" t="s">
        <v>25</v>
      </c>
      <c r="F187" t="s">
        <v>18</v>
      </c>
      <c r="G187">
        <v>2020</v>
      </c>
      <c r="H187">
        <v>14345.2</v>
      </c>
      <c r="I187">
        <v>7659.9</v>
      </c>
      <c r="J187">
        <v>6698.1</v>
      </c>
      <c r="K187">
        <v>4914.8999999999996</v>
      </c>
      <c r="L187">
        <v>34.261634549999997</v>
      </c>
      <c r="M187">
        <v>9430.2999999999993</v>
      </c>
      <c r="N187">
        <v>65.738365450000003</v>
      </c>
    </row>
    <row r="188" spans="1:14" x14ac:dyDescent="0.3">
      <c r="A188" t="s">
        <v>253</v>
      </c>
      <c r="B188" t="s">
        <v>14</v>
      </c>
      <c r="C188" t="s">
        <v>42</v>
      </c>
      <c r="D188" t="s">
        <v>24</v>
      </c>
      <c r="E188" t="s">
        <v>82</v>
      </c>
      <c r="F188" t="s">
        <v>48</v>
      </c>
      <c r="G188">
        <v>2015</v>
      </c>
      <c r="H188">
        <v>14293.7</v>
      </c>
      <c r="I188">
        <v>11695.5</v>
      </c>
      <c r="J188">
        <v>2609</v>
      </c>
      <c r="K188">
        <v>8588.9</v>
      </c>
      <c r="L188">
        <v>60.088710409999997</v>
      </c>
      <c r="M188">
        <v>5704.8</v>
      </c>
      <c r="N188">
        <v>39.911289590000003</v>
      </c>
    </row>
    <row r="189" spans="1:14" x14ac:dyDescent="0.3">
      <c r="A189" t="s">
        <v>254</v>
      </c>
      <c r="B189" t="s">
        <v>20</v>
      </c>
      <c r="C189" t="s">
        <v>147</v>
      </c>
      <c r="D189" t="s">
        <v>16</v>
      </c>
      <c r="E189" t="s">
        <v>22</v>
      </c>
      <c r="F189" t="s">
        <v>18</v>
      </c>
      <c r="G189">
        <v>2008</v>
      </c>
      <c r="H189">
        <v>14221.3</v>
      </c>
      <c r="I189">
        <v>9372.1</v>
      </c>
      <c r="J189">
        <v>4858.7</v>
      </c>
      <c r="K189">
        <v>7138.3</v>
      </c>
      <c r="L189">
        <v>50.194426669999999</v>
      </c>
      <c r="M189">
        <v>7083</v>
      </c>
      <c r="N189">
        <v>49.805573330000001</v>
      </c>
    </row>
    <row r="190" spans="1:14" x14ac:dyDescent="0.3">
      <c r="A190" t="s">
        <v>255</v>
      </c>
      <c r="B190" t="s">
        <v>14</v>
      </c>
      <c r="C190" t="s">
        <v>89</v>
      </c>
      <c r="D190" t="s">
        <v>24</v>
      </c>
      <c r="E190" t="s">
        <v>90</v>
      </c>
      <c r="F190" t="s">
        <v>18</v>
      </c>
      <c r="G190">
        <v>2023</v>
      </c>
      <c r="H190">
        <v>14166.6</v>
      </c>
      <c r="I190">
        <v>7969.4</v>
      </c>
      <c r="J190">
        <v>6215.6</v>
      </c>
      <c r="K190">
        <v>3646.4</v>
      </c>
      <c r="L190">
        <v>25.73941524</v>
      </c>
      <c r="M190">
        <v>10520.2</v>
      </c>
      <c r="N190">
        <v>74.26058476</v>
      </c>
    </row>
    <row r="191" spans="1:14" x14ac:dyDescent="0.3">
      <c r="A191" t="s">
        <v>256</v>
      </c>
      <c r="B191" t="s">
        <v>14</v>
      </c>
      <c r="C191" t="s">
        <v>59</v>
      </c>
      <c r="D191" t="s">
        <v>257</v>
      </c>
      <c r="E191" t="s">
        <v>17</v>
      </c>
      <c r="F191" t="s">
        <v>18</v>
      </c>
      <c r="G191">
        <v>2013</v>
      </c>
      <c r="H191">
        <v>14127.8</v>
      </c>
      <c r="I191">
        <v>11142.3</v>
      </c>
      <c r="J191">
        <v>2993.2</v>
      </c>
      <c r="K191">
        <v>8903.2000000000007</v>
      </c>
      <c r="L191">
        <v>63.019012160000003</v>
      </c>
      <c r="M191">
        <v>5224.6000000000004</v>
      </c>
      <c r="N191">
        <v>36.980987839999997</v>
      </c>
    </row>
    <row r="192" spans="1:14" x14ac:dyDescent="0.3">
      <c r="A192" t="s">
        <v>258</v>
      </c>
      <c r="B192" t="s">
        <v>14</v>
      </c>
      <c r="C192" t="s">
        <v>21</v>
      </c>
      <c r="D192" t="s">
        <v>16</v>
      </c>
      <c r="E192" t="s">
        <v>17</v>
      </c>
      <c r="F192" t="s">
        <v>18</v>
      </c>
      <c r="G192">
        <v>1991</v>
      </c>
      <c r="H192">
        <v>14116.7</v>
      </c>
      <c r="I192">
        <v>13659.9</v>
      </c>
      <c r="J192">
        <v>462.4</v>
      </c>
      <c r="K192">
        <v>5423.2</v>
      </c>
      <c r="L192">
        <v>38.416910469999998</v>
      </c>
      <c r="M192">
        <v>8693.5</v>
      </c>
      <c r="N192">
        <v>61.583089530000002</v>
      </c>
    </row>
    <row r="193" spans="1:14" x14ac:dyDescent="0.3">
      <c r="A193" t="s">
        <v>259</v>
      </c>
      <c r="B193" t="s">
        <v>14</v>
      </c>
      <c r="C193" t="s">
        <v>33</v>
      </c>
      <c r="D193" t="s">
        <v>16</v>
      </c>
      <c r="E193" t="s">
        <v>57</v>
      </c>
      <c r="F193" t="s">
        <v>48</v>
      </c>
      <c r="G193">
        <v>2001</v>
      </c>
      <c r="H193">
        <v>14104.4</v>
      </c>
      <c r="I193">
        <v>14087.5</v>
      </c>
      <c r="J193">
        <v>23.4</v>
      </c>
      <c r="K193">
        <v>3963.9</v>
      </c>
      <c r="L193">
        <v>28.103995919999999</v>
      </c>
      <c r="M193">
        <v>10140.5</v>
      </c>
      <c r="N193">
        <v>71.896004079999997</v>
      </c>
    </row>
    <row r="194" spans="1:14" x14ac:dyDescent="0.3">
      <c r="A194" t="s">
        <v>260</v>
      </c>
      <c r="B194" t="s">
        <v>14</v>
      </c>
      <c r="C194" t="s">
        <v>85</v>
      </c>
      <c r="D194" t="s">
        <v>16</v>
      </c>
      <c r="E194" t="s">
        <v>22</v>
      </c>
      <c r="F194" t="s">
        <v>18</v>
      </c>
      <c r="G194">
        <v>2017</v>
      </c>
      <c r="H194">
        <v>14087.8</v>
      </c>
      <c r="I194">
        <v>14091.2</v>
      </c>
      <c r="J194">
        <v>0</v>
      </c>
      <c r="K194">
        <v>13608.5</v>
      </c>
      <c r="L194">
        <v>96.597765440000003</v>
      </c>
      <c r="M194">
        <v>479.3</v>
      </c>
      <c r="N194">
        <v>3.402234558</v>
      </c>
    </row>
    <row r="195" spans="1:14" x14ac:dyDescent="0.3">
      <c r="A195" t="s">
        <v>261</v>
      </c>
      <c r="B195" t="s">
        <v>14</v>
      </c>
      <c r="C195" t="s">
        <v>21</v>
      </c>
      <c r="D195" t="s">
        <v>24</v>
      </c>
      <c r="E195" t="s">
        <v>90</v>
      </c>
      <c r="F195" t="s">
        <v>48</v>
      </c>
      <c r="G195">
        <v>2022</v>
      </c>
      <c r="H195">
        <v>13999.3</v>
      </c>
      <c r="I195">
        <v>8094.6</v>
      </c>
      <c r="J195">
        <v>5914.6</v>
      </c>
      <c r="K195">
        <v>2001.5</v>
      </c>
      <c r="L195">
        <v>14.29714343</v>
      </c>
      <c r="M195">
        <v>11997.8</v>
      </c>
      <c r="N195">
        <v>85.702856569999994</v>
      </c>
    </row>
    <row r="196" spans="1:14" x14ac:dyDescent="0.3">
      <c r="A196" t="s">
        <v>262</v>
      </c>
      <c r="B196" t="s">
        <v>14</v>
      </c>
      <c r="C196" t="s">
        <v>42</v>
      </c>
      <c r="D196" t="s">
        <v>24</v>
      </c>
      <c r="E196" t="s">
        <v>22</v>
      </c>
      <c r="F196" t="s">
        <v>18</v>
      </c>
      <c r="G196">
        <v>2007</v>
      </c>
      <c r="H196">
        <v>13994.1</v>
      </c>
      <c r="I196">
        <v>8290.1</v>
      </c>
      <c r="J196">
        <v>5703.9</v>
      </c>
      <c r="K196">
        <v>3475.3</v>
      </c>
      <c r="L196">
        <v>24.834037200000001</v>
      </c>
      <c r="M196">
        <v>10518.8</v>
      </c>
      <c r="N196">
        <v>75.165962800000003</v>
      </c>
    </row>
    <row r="197" spans="1:14" x14ac:dyDescent="0.3">
      <c r="A197" t="s">
        <v>263</v>
      </c>
      <c r="B197" t="s">
        <v>14</v>
      </c>
      <c r="C197" t="s">
        <v>21</v>
      </c>
      <c r="D197" t="s">
        <v>24</v>
      </c>
      <c r="E197" t="s">
        <v>25</v>
      </c>
      <c r="F197" t="s">
        <v>18</v>
      </c>
      <c r="G197">
        <v>2009</v>
      </c>
      <c r="H197">
        <v>13994</v>
      </c>
      <c r="I197">
        <v>944.9</v>
      </c>
      <c r="J197">
        <v>13049.1</v>
      </c>
      <c r="K197">
        <v>136</v>
      </c>
      <c r="L197">
        <v>0.97184507649999996</v>
      </c>
      <c r="M197">
        <v>13858</v>
      </c>
      <c r="N197">
        <v>99.028154920000006</v>
      </c>
    </row>
    <row r="198" spans="1:14" x14ac:dyDescent="0.3">
      <c r="A198" t="s">
        <v>264</v>
      </c>
      <c r="B198" t="s">
        <v>14</v>
      </c>
      <c r="C198" t="s">
        <v>21</v>
      </c>
      <c r="D198" t="s">
        <v>16</v>
      </c>
      <c r="E198" t="s">
        <v>17</v>
      </c>
      <c r="F198" t="s">
        <v>18</v>
      </c>
      <c r="G198">
        <v>2007</v>
      </c>
      <c r="H198">
        <v>13978.6</v>
      </c>
      <c r="I198">
        <v>4090.4</v>
      </c>
      <c r="J198">
        <v>9888.1</v>
      </c>
      <c r="K198">
        <v>895.7</v>
      </c>
      <c r="L198">
        <v>6.4076516960000003</v>
      </c>
      <c r="M198">
        <v>13082.9</v>
      </c>
      <c r="N198">
        <v>93.592348299999998</v>
      </c>
    </row>
    <row r="199" spans="1:14" x14ac:dyDescent="0.3">
      <c r="A199" t="s">
        <v>265</v>
      </c>
      <c r="B199" t="s">
        <v>14</v>
      </c>
      <c r="C199" t="s">
        <v>21</v>
      </c>
      <c r="D199" t="s">
        <v>16</v>
      </c>
      <c r="E199" t="s">
        <v>17</v>
      </c>
      <c r="F199" t="s">
        <v>18</v>
      </c>
      <c r="G199">
        <v>2010</v>
      </c>
      <c r="H199">
        <v>13891.9</v>
      </c>
      <c r="I199">
        <v>9309.2000000000007</v>
      </c>
      <c r="J199">
        <v>4586.6000000000004</v>
      </c>
      <c r="K199">
        <v>12293.1</v>
      </c>
      <c r="L199">
        <v>88.491135119999996</v>
      </c>
      <c r="M199">
        <v>1598.8</v>
      </c>
      <c r="N199">
        <v>11.508864880000001</v>
      </c>
    </row>
    <row r="200" spans="1:14" x14ac:dyDescent="0.3">
      <c r="A200" t="s">
        <v>266</v>
      </c>
      <c r="B200" t="s">
        <v>14</v>
      </c>
      <c r="C200" t="s">
        <v>21</v>
      </c>
      <c r="D200" t="s">
        <v>16</v>
      </c>
      <c r="E200" t="s">
        <v>27</v>
      </c>
      <c r="F200" t="s">
        <v>18</v>
      </c>
      <c r="G200">
        <v>2011</v>
      </c>
      <c r="H200">
        <v>13890.6</v>
      </c>
      <c r="I200">
        <v>13739.5</v>
      </c>
      <c r="J200">
        <v>155.6</v>
      </c>
      <c r="K200">
        <v>8915.5</v>
      </c>
      <c r="L200">
        <v>64.183692570000005</v>
      </c>
      <c r="M200">
        <v>4975.1000000000004</v>
      </c>
      <c r="N200">
        <v>35.816307430000002</v>
      </c>
    </row>
    <row r="201" spans="1:14" x14ac:dyDescent="0.3">
      <c r="A201" t="s">
        <v>267</v>
      </c>
      <c r="B201" t="s">
        <v>14</v>
      </c>
      <c r="C201" t="s">
        <v>242</v>
      </c>
      <c r="D201" t="s">
        <v>24</v>
      </c>
      <c r="E201" t="s">
        <v>17</v>
      </c>
      <c r="F201" t="s">
        <v>18</v>
      </c>
      <c r="G201">
        <v>2014</v>
      </c>
      <c r="H201">
        <v>13734.1</v>
      </c>
      <c r="I201">
        <v>11278.9</v>
      </c>
      <c r="J201">
        <v>2462</v>
      </c>
      <c r="K201">
        <v>8953.7000000000007</v>
      </c>
      <c r="L201">
        <v>65.193205230000004</v>
      </c>
      <c r="M201">
        <v>4780.3999999999996</v>
      </c>
      <c r="N201">
        <v>34.806794770000003</v>
      </c>
    </row>
    <row r="202" spans="1:14" x14ac:dyDescent="0.3">
      <c r="A202" t="s">
        <v>268</v>
      </c>
      <c r="B202" t="s">
        <v>14</v>
      </c>
      <c r="C202" t="s">
        <v>21</v>
      </c>
      <c r="D202" t="s">
        <v>16</v>
      </c>
      <c r="E202" t="s">
        <v>17</v>
      </c>
      <c r="F202" t="s">
        <v>18</v>
      </c>
      <c r="G202">
        <v>2017</v>
      </c>
      <c r="H202">
        <v>13692</v>
      </c>
      <c r="I202">
        <v>6665</v>
      </c>
      <c r="J202">
        <v>7030</v>
      </c>
      <c r="K202">
        <v>4971.3</v>
      </c>
      <c r="L202">
        <v>36.308063099999998</v>
      </c>
      <c r="M202">
        <v>8720.7000000000007</v>
      </c>
      <c r="N202">
        <v>63.691936900000002</v>
      </c>
    </row>
    <row r="203" spans="1:14" x14ac:dyDescent="0.3">
      <c r="A203" t="s">
        <v>269</v>
      </c>
      <c r="B203" t="s">
        <v>14</v>
      </c>
      <c r="C203" t="s">
        <v>21</v>
      </c>
      <c r="D203" t="s">
        <v>16</v>
      </c>
      <c r="E203" t="s">
        <v>51</v>
      </c>
      <c r="F203" t="s">
        <v>48</v>
      </c>
      <c r="G203">
        <v>1985</v>
      </c>
      <c r="H203">
        <v>13683</v>
      </c>
      <c r="I203">
        <v>13689.3</v>
      </c>
      <c r="J203">
        <v>0</v>
      </c>
      <c r="K203">
        <v>13682.2</v>
      </c>
      <c r="L203">
        <v>99.994153330000003</v>
      </c>
      <c r="M203">
        <v>0.8</v>
      </c>
      <c r="N203">
        <v>5.8466710520000001E-3</v>
      </c>
    </row>
    <row r="204" spans="1:14" x14ac:dyDescent="0.3">
      <c r="A204" t="s">
        <v>270</v>
      </c>
      <c r="B204" t="s">
        <v>20</v>
      </c>
      <c r="C204" t="s">
        <v>21</v>
      </c>
      <c r="D204" t="s">
        <v>16</v>
      </c>
      <c r="E204" t="s">
        <v>22</v>
      </c>
      <c r="F204" t="s">
        <v>18</v>
      </c>
      <c r="G204">
        <v>1990</v>
      </c>
      <c r="H204">
        <v>13650.2</v>
      </c>
      <c r="I204">
        <v>12396.8</v>
      </c>
      <c r="J204">
        <v>1258.3</v>
      </c>
      <c r="K204">
        <v>10348.700000000001</v>
      </c>
      <c r="L204">
        <v>75.813541189999995</v>
      </c>
      <c r="M204">
        <v>3301.5</v>
      </c>
      <c r="N204">
        <v>24.186458810000001</v>
      </c>
    </row>
    <row r="205" spans="1:14" x14ac:dyDescent="0.3">
      <c r="A205" t="s">
        <v>271</v>
      </c>
      <c r="B205" t="s">
        <v>14</v>
      </c>
      <c r="C205" t="s">
        <v>21</v>
      </c>
      <c r="D205" t="s">
        <v>16</v>
      </c>
      <c r="E205" t="s">
        <v>272</v>
      </c>
      <c r="F205" t="s">
        <v>18</v>
      </c>
      <c r="G205">
        <v>2017</v>
      </c>
      <c r="H205">
        <v>13543.1</v>
      </c>
      <c r="I205">
        <v>12815.1</v>
      </c>
      <c r="J205">
        <v>728</v>
      </c>
      <c r="K205">
        <v>10726.1</v>
      </c>
      <c r="L205">
        <v>79.199740090000006</v>
      </c>
      <c r="M205">
        <v>2817</v>
      </c>
      <c r="N205">
        <v>20.800259910000001</v>
      </c>
    </row>
    <row r="206" spans="1:14" x14ac:dyDescent="0.3">
      <c r="A206" t="s">
        <v>273</v>
      </c>
      <c r="B206" t="s">
        <v>20</v>
      </c>
      <c r="C206" t="s">
        <v>21</v>
      </c>
      <c r="D206" t="s">
        <v>16</v>
      </c>
      <c r="E206" t="s">
        <v>17</v>
      </c>
      <c r="F206" t="s">
        <v>18</v>
      </c>
      <c r="G206">
        <v>2016</v>
      </c>
      <c r="H206">
        <v>13532</v>
      </c>
      <c r="I206">
        <v>7853.3</v>
      </c>
      <c r="J206">
        <v>5683.7</v>
      </c>
      <c r="K206">
        <v>4660.7</v>
      </c>
      <c r="L206">
        <v>34.442063259999998</v>
      </c>
      <c r="M206">
        <v>8871.2999999999993</v>
      </c>
      <c r="N206">
        <v>65.557936740000002</v>
      </c>
    </row>
    <row r="207" spans="1:14" x14ac:dyDescent="0.3">
      <c r="A207" t="s">
        <v>274</v>
      </c>
      <c r="B207" t="s">
        <v>14</v>
      </c>
      <c r="C207" t="s">
        <v>89</v>
      </c>
      <c r="D207" t="s">
        <v>24</v>
      </c>
      <c r="E207" t="s">
        <v>90</v>
      </c>
      <c r="F207" t="s">
        <v>18</v>
      </c>
      <c r="G207">
        <v>2016</v>
      </c>
      <c r="H207">
        <v>13503.4</v>
      </c>
      <c r="I207">
        <v>9602.2999999999993</v>
      </c>
      <c r="J207">
        <v>3932.5</v>
      </c>
      <c r="K207">
        <v>8044.7</v>
      </c>
      <c r="L207">
        <v>59.575366199999998</v>
      </c>
      <c r="M207">
        <v>5458.7</v>
      </c>
      <c r="N207">
        <v>40.424633800000002</v>
      </c>
    </row>
    <row r="208" spans="1:14" x14ac:dyDescent="0.3">
      <c r="A208" t="s">
        <v>275</v>
      </c>
      <c r="B208" t="s">
        <v>14</v>
      </c>
      <c r="C208" t="s">
        <v>21</v>
      </c>
      <c r="D208" t="s">
        <v>16</v>
      </c>
      <c r="E208" t="s">
        <v>27</v>
      </c>
      <c r="F208" t="s">
        <v>18</v>
      </c>
      <c r="G208">
        <v>2013</v>
      </c>
      <c r="H208">
        <v>13490.4</v>
      </c>
      <c r="I208">
        <v>9955.4</v>
      </c>
      <c r="J208">
        <v>3540.8</v>
      </c>
      <c r="K208">
        <v>8582.9</v>
      </c>
      <c r="L208">
        <v>63.622279550000002</v>
      </c>
      <c r="M208">
        <v>4907.5</v>
      </c>
      <c r="N208">
        <v>36.377720449999998</v>
      </c>
    </row>
    <row r="209" spans="1:14" x14ac:dyDescent="0.3">
      <c r="A209" t="s">
        <v>276</v>
      </c>
      <c r="B209" t="s">
        <v>14</v>
      </c>
      <c r="C209" t="s">
        <v>181</v>
      </c>
      <c r="D209" t="s">
        <v>16</v>
      </c>
      <c r="E209" t="s">
        <v>60</v>
      </c>
      <c r="F209" t="s">
        <v>18</v>
      </c>
      <c r="G209">
        <v>2012</v>
      </c>
      <c r="H209">
        <v>13468.7</v>
      </c>
      <c r="I209">
        <v>12222.3</v>
      </c>
      <c r="J209">
        <v>1249.7</v>
      </c>
      <c r="K209">
        <v>1202.8</v>
      </c>
      <c r="L209">
        <v>8.9303347760000005</v>
      </c>
      <c r="M209">
        <v>12265.9</v>
      </c>
      <c r="N209">
        <v>91.069665220000005</v>
      </c>
    </row>
    <row r="210" spans="1:14" x14ac:dyDescent="0.3">
      <c r="A210" t="s">
        <v>277</v>
      </c>
      <c r="B210" t="s">
        <v>14</v>
      </c>
      <c r="C210" t="s">
        <v>89</v>
      </c>
      <c r="D210" t="s">
        <v>24</v>
      </c>
      <c r="E210" t="s">
        <v>90</v>
      </c>
      <c r="F210" t="s">
        <v>48</v>
      </c>
      <c r="G210">
        <v>2003</v>
      </c>
      <c r="H210">
        <v>13433.6</v>
      </c>
      <c r="I210">
        <v>12366.7</v>
      </c>
      <c r="J210">
        <v>1072.9000000000001</v>
      </c>
      <c r="K210">
        <v>11154.7</v>
      </c>
      <c r="L210">
        <v>83.035820630000003</v>
      </c>
      <c r="M210">
        <v>2278.9</v>
      </c>
      <c r="N210">
        <v>16.96417937</v>
      </c>
    </row>
    <row r="211" spans="1:14" x14ac:dyDescent="0.3">
      <c r="A211" t="s">
        <v>278</v>
      </c>
      <c r="B211" t="s">
        <v>14</v>
      </c>
      <c r="C211" t="s">
        <v>33</v>
      </c>
      <c r="D211" t="s">
        <v>16</v>
      </c>
      <c r="E211" t="s">
        <v>51</v>
      </c>
      <c r="F211" t="s">
        <v>48</v>
      </c>
      <c r="G211">
        <v>1967</v>
      </c>
      <c r="H211">
        <v>13404.2</v>
      </c>
      <c r="I211">
        <v>11623.7</v>
      </c>
      <c r="J211">
        <v>1790.5</v>
      </c>
      <c r="K211">
        <v>13400.7</v>
      </c>
      <c r="L211">
        <v>99.973888779999996</v>
      </c>
      <c r="M211">
        <v>3.5</v>
      </c>
      <c r="N211">
        <v>2.6111218870000001E-2</v>
      </c>
    </row>
    <row r="212" spans="1:14" x14ac:dyDescent="0.3">
      <c r="A212" t="s">
        <v>279</v>
      </c>
      <c r="B212" t="s">
        <v>14</v>
      </c>
      <c r="C212" t="s">
        <v>21</v>
      </c>
      <c r="D212" t="s">
        <v>16</v>
      </c>
      <c r="E212" t="s">
        <v>17</v>
      </c>
      <c r="F212" t="s">
        <v>18</v>
      </c>
      <c r="G212">
        <v>2006</v>
      </c>
      <c r="H212">
        <v>13398.3</v>
      </c>
      <c r="I212">
        <v>13409.8</v>
      </c>
      <c r="J212">
        <v>0</v>
      </c>
      <c r="K212">
        <v>4665.5</v>
      </c>
      <c r="L212">
        <v>34.82158184</v>
      </c>
      <c r="M212">
        <v>8732.7999999999993</v>
      </c>
      <c r="N212">
        <v>65.178418160000007</v>
      </c>
    </row>
    <row r="213" spans="1:14" x14ac:dyDescent="0.3">
      <c r="A213" t="s">
        <v>280</v>
      </c>
      <c r="B213" t="s">
        <v>14</v>
      </c>
      <c r="C213" t="s">
        <v>21</v>
      </c>
      <c r="D213" t="s">
        <v>24</v>
      </c>
      <c r="E213" t="s">
        <v>25</v>
      </c>
      <c r="F213" t="s">
        <v>48</v>
      </c>
      <c r="G213">
        <v>1998</v>
      </c>
      <c r="H213">
        <v>13323.2</v>
      </c>
      <c r="I213">
        <v>8971.1</v>
      </c>
      <c r="J213">
        <v>4360.5</v>
      </c>
      <c r="K213">
        <v>5734.4</v>
      </c>
      <c r="L213">
        <v>43.040710939999997</v>
      </c>
      <c r="M213">
        <v>7588.8</v>
      </c>
      <c r="N213">
        <v>56.959289060000003</v>
      </c>
    </row>
    <row r="214" spans="1:14" x14ac:dyDescent="0.3">
      <c r="A214" t="s">
        <v>281</v>
      </c>
      <c r="B214" t="s">
        <v>14</v>
      </c>
      <c r="C214" t="s">
        <v>21</v>
      </c>
      <c r="D214" t="s">
        <v>16</v>
      </c>
      <c r="E214" t="s">
        <v>17</v>
      </c>
      <c r="F214" t="s">
        <v>18</v>
      </c>
      <c r="G214">
        <v>1984</v>
      </c>
      <c r="H214">
        <v>13320.3</v>
      </c>
      <c r="I214">
        <v>8568.7000000000007</v>
      </c>
      <c r="J214">
        <v>4756.2</v>
      </c>
      <c r="K214">
        <v>464.4</v>
      </c>
      <c r="L214">
        <v>3.4864079640000001</v>
      </c>
      <c r="M214">
        <v>12855.9</v>
      </c>
      <c r="N214">
        <v>96.513592040000006</v>
      </c>
    </row>
    <row r="215" spans="1:14" x14ac:dyDescent="0.3">
      <c r="A215" t="s">
        <v>282</v>
      </c>
      <c r="B215" t="s">
        <v>14</v>
      </c>
      <c r="C215" t="s">
        <v>21</v>
      </c>
      <c r="D215" t="s">
        <v>24</v>
      </c>
      <c r="E215" t="s">
        <v>25</v>
      </c>
      <c r="F215" t="s">
        <v>18</v>
      </c>
      <c r="G215">
        <v>2017</v>
      </c>
      <c r="H215">
        <v>13291</v>
      </c>
      <c r="I215">
        <v>10113.700000000001</v>
      </c>
      <c r="J215">
        <v>3183.3</v>
      </c>
      <c r="K215">
        <v>4068.1</v>
      </c>
      <c r="L215">
        <v>30.60793018</v>
      </c>
      <c r="M215">
        <v>9222.9</v>
      </c>
      <c r="N215">
        <v>69.392069820000003</v>
      </c>
    </row>
    <row r="216" spans="1:14" x14ac:dyDescent="0.3">
      <c r="A216" t="s">
        <v>283</v>
      </c>
      <c r="B216" t="s">
        <v>78</v>
      </c>
      <c r="C216" t="s">
        <v>21</v>
      </c>
      <c r="D216" t="s">
        <v>16</v>
      </c>
      <c r="E216" t="s">
        <v>57</v>
      </c>
      <c r="F216" t="s">
        <v>48</v>
      </c>
      <c r="G216">
        <v>2008</v>
      </c>
      <c r="H216">
        <v>13287</v>
      </c>
      <c r="I216">
        <v>13294.9</v>
      </c>
      <c r="J216">
        <v>0</v>
      </c>
      <c r="K216">
        <v>13287</v>
      </c>
      <c r="L216">
        <v>100</v>
      </c>
      <c r="M216">
        <v>0</v>
      </c>
      <c r="N216">
        <v>0</v>
      </c>
    </row>
    <row r="217" spans="1:14" x14ac:dyDescent="0.3">
      <c r="A217" t="s">
        <v>284</v>
      </c>
      <c r="B217" t="s">
        <v>14</v>
      </c>
      <c r="C217" t="s">
        <v>21</v>
      </c>
      <c r="D217" t="s">
        <v>16</v>
      </c>
      <c r="E217" t="s">
        <v>17</v>
      </c>
      <c r="F217" t="s">
        <v>18</v>
      </c>
      <c r="G217">
        <v>2008</v>
      </c>
      <c r="H217">
        <v>13281.8</v>
      </c>
      <c r="I217">
        <v>12309.2</v>
      </c>
      <c r="J217">
        <v>978.1</v>
      </c>
      <c r="K217">
        <v>11171.3</v>
      </c>
      <c r="L217">
        <v>84.109834509999999</v>
      </c>
      <c r="M217">
        <v>2110.5</v>
      </c>
      <c r="N217">
        <v>15.890165489999999</v>
      </c>
    </row>
    <row r="218" spans="1:14" x14ac:dyDescent="0.3">
      <c r="A218" t="s">
        <v>285</v>
      </c>
      <c r="B218" t="s">
        <v>14</v>
      </c>
      <c r="C218" t="s">
        <v>21</v>
      </c>
      <c r="D218" t="s">
        <v>24</v>
      </c>
      <c r="E218" t="s">
        <v>25</v>
      </c>
      <c r="F218" t="s">
        <v>18</v>
      </c>
      <c r="G218">
        <v>2000</v>
      </c>
      <c r="H218">
        <v>13273.4</v>
      </c>
      <c r="I218">
        <v>4702.2</v>
      </c>
      <c r="J218">
        <v>8580.5</v>
      </c>
      <c r="K218">
        <v>575.4</v>
      </c>
      <c r="L218">
        <v>4.3349857610000004</v>
      </c>
      <c r="M218">
        <v>12698</v>
      </c>
      <c r="N218">
        <v>95.665014240000005</v>
      </c>
    </row>
    <row r="219" spans="1:14" x14ac:dyDescent="0.3">
      <c r="A219" t="s">
        <v>286</v>
      </c>
      <c r="B219" t="s">
        <v>78</v>
      </c>
      <c r="C219" t="s">
        <v>21</v>
      </c>
      <c r="D219" t="s">
        <v>16</v>
      </c>
      <c r="E219" t="s">
        <v>60</v>
      </c>
      <c r="F219" t="s">
        <v>48</v>
      </c>
      <c r="G219">
        <v>2009</v>
      </c>
      <c r="H219">
        <v>13220.4</v>
      </c>
      <c r="I219">
        <v>11619.7</v>
      </c>
      <c r="J219">
        <v>1604</v>
      </c>
      <c r="K219">
        <v>45.4</v>
      </c>
      <c r="L219">
        <v>0.34340867139999998</v>
      </c>
      <c r="M219">
        <v>13175</v>
      </c>
      <c r="N219">
        <v>99.656591329999998</v>
      </c>
    </row>
    <row r="220" spans="1:14" x14ac:dyDescent="0.3">
      <c r="A220" t="s">
        <v>287</v>
      </c>
      <c r="B220" t="s">
        <v>14</v>
      </c>
      <c r="C220" t="s">
        <v>21</v>
      </c>
      <c r="D220" t="s">
        <v>16</v>
      </c>
      <c r="E220" t="s">
        <v>22</v>
      </c>
      <c r="F220" t="s">
        <v>18</v>
      </c>
      <c r="G220">
        <v>1999</v>
      </c>
      <c r="H220">
        <v>13208.3</v>
      </c>
      <c r="I220">
        <v>12134.4</v>
      </c>
      <c r="J220">
        <v>1076.8</v>
      </c>
      <c r="K220">
        <v>11821.4</v>
      </c>
      <c r="L220">
        <v>89.499784230000003</v>
      </c>
      <c r="M220">
        <v>1386.9</v>
      </c>
      <c r="N220">
        <v>10.500215770000001</v>
      </c>
    </row>
    <row r="221" spans="1:14" x14ac:dyDescent="0.3">
      <c r="A221" t="s">
        <v>288</v>
      </c>
      <c r="B221" t="s">
        <v>14</v>
      </c>
      <c r="C221" t="s">
        <v>21</v>
      </c>
      <c r="D221" t="s">
        <v>16</v>
      </c>
      <c r="E221" t="s">
        <v>27</v>
      </c>
      <c r="F221" t="s">
        <v>18</v>
      </c>
      <c r="G221">
        <v>2010</v>
      </c>
      <c r="H221">
        <v>13065.7</v>
      </c>
      <c r="I221">
        <v>7612.4</v>
      </c>
      <c r="J221">
        <v>5460.1</v>
      </c>
      <c r="K221">
        <v>5541.7</v>
      </c>
      <c r="L221">
        <v>42.414107170000001</v>
      </c>
      <c r="M221">
        <v>7524</v>
      </c>
      <c r="N221">
        <v>57.585892829999999</v>
      </c>
    </row>
    <row r="222" spans="1:14" x14ac:dyDescent="0.3">
      <c r="A222" t="s">
        <v>289</v>
      </c>
      <c r="B222" t="s">
        <v>14</v>
      </c>
      <c r="C222" t="s">
        <v>21</v>
      </c>
      <c r="D222" t="s">
        <v>16</v>
      </c>
      <c r="E222" t="s">
        <v>17</v>
      </c>
      <c r="F222" t="s">
        <v>18</v>
      </c>
      <c r="G222">
        <v>2018</v>
      </c>
      <c r="H222">
        <v>13039.8</v>
      </c>
      <c r="I222">
        <v>12982.3</v>
      </c>
      <c r="J222">
        <v>59.7</v>
      </c>
      <c r="K222">
        <v>7413.1</v>
      </c>
      <c r="L222">
        <v>56.849798309999997</v>
      </c>
      <c r="M222">
        <v>5626.7</v>
      </c>
      <c r="N222">
        <v>43.150201690000003</v>
      </c>
    </row>
    <row r="223" spans="1:14" x14ac:dyDescent="0.3">
      <c r="A223" t="s">
        <v>290</v>
      </c>
      <c r="B223" t="s">
        <v>14</v>
      </c>
      <c r="C223" t="s">
        <v>21</v>
      </c>
      <c r="D223" t="s">
        <v>16</v>
      </c>
      <c r="E223" t="s">
        <v>291</v>
      </c>
      <c r="F223" t="s">
        <v>48</v>
      </c>
      <c r="G223">
        <v>1998</v>
      </c>
      <c r="H223">
        <v>13009.4</v>
      </c>
      <c r="I223">
        <v>13017.1</v>
      </c>
      <c r="J223">
        <v>0</v>
      </c>
      <c r="K223">
        <v>12963.5</v>
      </c>
      <c r="L223">
        <v>99.647178190000005</v>
      </c>
      <c r="M223">
        <v>45.9</v>
      </c>
      <c r="N223">
        <v>0.3528218058</v>
      </c>
    </row>
    <row r="224" spans="1:14" x14ac:dyDescent="0.3">
      <c r="A224" t="s">
        <v>292</v>
      </c>
      <c r="B224" t="s">
        <v>14</v>
      </c>
      <c r="C224" t="s">
        <v>21</v>
      </c>
      <c r="D224" t="s">
        <v>16</v>
      </c>
      <c r="E224" t="s">
        <v>17</v>
      </c>
      <c r="F224" t="s">
        <v>18</v>
      </c>
      <c r="G224">
        <v>2009</v>
      </c>
      <c r="H224">
        <v>12994.4</v>
      </c>
      <c r="I224">
        <v>12999.7</v>
      </c>
      <c r="J224">
        <v>0</v>
      </c>
      <c r="K224">
        <v>5593.4</v>
      </c>
      <c r="L224">
        <v>43.044696180000003</v>
      </c>
      <c r="M224">
        <v>7401</v>
      </c>
      <c r="N224">
        <v>56.955303819999997</v>
      </c>
    </row>
    <row r="225" spans="1:14" x14ac:dyDescent="0.3">
      <c r="A225" t="s">
        <v>293</v>
      </c>
      <c r="B225" t="s">
        <v>78</v>
      </c>
      <c r="C225" t="s">
        <v>147</v>
      </c>
      <c r="D225" t="s">
        <v>16</v>
      </c>
      <c r="E225" t="s">
        <v>22</v>
      </c>
      <c r="F225" t="s">
        <v>48</v>
      </c>
      <c r="G225">
        <v>1972</v>
      </c>
      <c r="H225">
        <v>12992.2</v>
      </c>
      <c r="I225">
        <v>10479.5</v>
      </c>
      <c r="J225">
        <v>2516.3000000000002</v>
      </c>
      <c r="K225">
        <v>12992.2</v>
      </c>
      <c r="L225">
        <v>100</v>
      </c>
      <c r="M225">
        <v>0</v>
      </c>
      <c r="N225">
        <v>0</v>
      </c>
    </row>
    <row r="226" spans="1:14" x14ac:dyDescent="0.3">
      <c r="A226" t="s">
        <v>294</v>
      </c>
      <c r="B226" t="s">
        <v>20</v>
      </c>
      <c r="C226" t="s">
        <v>21</v>
      </c>
      <c r="D226" t="s">
        <v>24</v>
      </c>
      <c r="E226" t="s">
        <v>82</v>
      </c>
      <c r="F226" t="s">
        <v>18</v>
      </c>
      <c r="G226">
        <v>2013</v>
      </c>
      <c r="H226">
        <v>12985.2</v>
      </c>
      <c r="I226">
        <v>8772.2000000000007</v>
      </c>
      <c r="J226">
        <v>4216.8</v>
      </c>
      <c r="K226">
        <v>2160.8000000000002</v>
      </c>
      <c r="L226">
        <v>16.640483010000001</v>
      </c>
      <c r="M226">
        <v>10824.4</v>
      </c>
      <c r="N226">
        <v>83.359516990000003</v>
      </c>
    </row>
    <row r="227" spans="1:14" x14ac:dyDescent="0.3">
      <c r="A227" t="s">
        <v>295</v>
      </c>
      <c r="B227" t="s">
        <v>14</v>
      </c>
      <c r="C227" t="s">
        <v>21</v>
      </c>
      <c r="D227" t="s">
        <v>24</v>
      </c>
      <c r="E227" t="s">
        <v>25</v>
      </c>
      <c r="F227" t="s">
        <v>18</v>
      </c>
      <c r="G227">
        <v>2003</v>
      </c>
      <c r="H227">
        <v>12929.7</v>
      </c>
      <c r="I227">
        <v>5938.5</v>
      </c>
      <c r="J227">
        <v>6997.8</v>
      </c>
      <c r="K227">
        <v>1490.1</v>
      </c>
      <c r="L227">
        <v>11.524629340000001</v>
      </c>
      <c r="M227">
        <v>11439.6</v>
      </c>
      <c r="N227">
        <v>88.475370659999996</v>
      </c>
    </row>
    <row r="228" spans="1:14" x14ac:dyDescent="0.3">
      <c r="A228" t="s">
        <v>296</v>
      </c>
      <c r="B228" t="s">
        <v>14</v>
      </c>
      <c r="C228" t="s">
        <v>242</v>
      </c>
      <c r="D228" t="s">
        <v>24</v>
      </c>
      <c r="E228" t="s">
        <v>82</v>
      </c>
      <c r="F228" t="s">
        <v>18</v>
      </c>
      <c r="G228">
        <v>1995</v>
      </c>
      <c r="H228">
        <v>12857.9</v>
      </c>
      <c r="I228">
        <v>11010.3</v>
      </c>
      <c r="J228">
        <v>1853</v>
      </c>
      <c r="K228">
        <v>3301</v>
      </c>
      <c r="L228">
        <v>25.672932589999998</v>
      </c>
      <c r="M228">
        <v>9556.9</v>
      </c>
      <c r="N228">
        <v>74.327067409999998</v>
      </c>
    </row>
    <row r="229" spans="1:14" x14ac:dyDescent="0.3">
      <c r="A229" t="s">
        <v>297</v>
      </c>
      <c r="B229" t="s">
        <v>14</v>
      </c>
      <c r="C229" t="s">
        <v>21</v>
      </c>
      <c r="D229" t="s">
        <v>16</v>
      </c>
      <c r="E229" t="s">
        <v>17</v>
      </c>
      <c r="F229" t="s">
        <v>18</v>
      </c>
      <c r="G229">
        <v>2015</v>
      </c>
      <c r="H229">
        <v>12823.8</v>
      </c>
      <c r="I229">
        <v>5535</v>
      </c>
      <c r="J229">
        <v>7288.8</v>
      </c>
      <c r="K229">
        <v>2109.1999999999998</v>
      </c>
      <c r="L229">
        <v>16.447542850000001</v>
      </c>
      <c r="M229">
        <v>10714.6</v>
      </c>
      <c r="N229">
        <v>83.552457149999995</v>
      </c>
    </row>
    <row r="230" spans="1:14" x14ac:dyDescent="0.3">
      <c r="A230" t="s">
        <v>298</v>
      </c>
      <c r="B230" t="s">
        <v>14</v>
      </c>
      <c r="C230" t="s">
        <v>89</v>
      </c>
      <c r="D230" t="s">
        <v>24</v>
      </c>
      <c r="E230" t="s">
        <v>90</v>
      </c>
      <c r="F230" t="s">
        <v>18</v>
      </c>
      <c r="G230">
        <v>2018</v>
      </c>
      <c r="H230">
        <v>12810.9</v>
      </c>
      <c r="I230">
        <v>6582.9</v>
      </c>
      <c r="J230">
        <v>6236.2</v>
      </c>
      <c r="K230">
        <v>1707.5</v>
      </c>
      <c r="L230">
        <v>13.328493699999999</v>
      </c>
      <c r="M230">
        <v>11103.4</v>
      </c>
      <c r="N230">
        <v>86.671506300000004</v>
      </c>
    </row>
    <row r="231" spans="1:14" x14ac:dyDescent="0.3">
      <c r="A231" t="s">
        <v>299</v>
      </c>
      <c r="B231" t="s">
        <v>14</v>
      </c>
      <c r="C231" t="s">
        <v>21</v>
      </c>
      <c r="D231" t="s">
        <v>24</v>
      </c>
      <c r="E231" t="s">
        <v>25</v>
      </c>
      <c r="F231" t="s">
        <v>48</v>
      </c>
      <c r="G231">
        <v>2000</v>
      </c>
      <c r="H231">
        <v>12799.8</v>
      </c>
      <c r="I231">
        <v>5018.3999999999996</v>
      </c>
      <c r="J231">
        <v>7786.4</v>
      </c>
      <c r="K231">
        <v>1713.9</v>
      </c>
      <c r="L231">
        <v>13.390052969999999</v>
      </c>
      <c r="M231">
        <v>11085.9</v>
      </c>
      <c r="N231">
        <v>86.609947030000001</v>
      </c>
    </row>
    <row r="232" spans="1:14" x14ac:dyDescent="0.3">
      <c r="A232" t="s">
        <v>300</v>
      </c>
      <c r="B232" t="s">
        <v>14</v>
      </c>
      <c r="C232" t="s">
        <v>94</v>
      </c>
      <c r="D232" t="s">
        <v>16</v>
      </c>
      <c r="E232" t="s">
        <v>51</v>
      </c>
      <c r="F232" t="s">
        <v>48</v>
      </c>
      <c r="G232">
        <v>2011</v>
      </c>
      <c r="H232">
        <v>12788.3</v>
      </c>
      <c r="I232">
        <v>12025.6</v>
      </c>
      <c r="J232">
        <v>766.3</v>
      </c>
      <c r="K232">
        <v>11526.4</v>
      </c>
      <c r="L232">
        <v>90.132386629999999</v>
      </c>
      <c r="M232">
        <v>1261.9000000000001</v>
      </c>
      <c r="N232">
        <v>9.8676133650000004</v>
      </c>
    </row>
    <row r="233" spans="1:14" x14ac:dyDescent="0.3">
      <c r="A233" t="s">
        <v>301</v>
      </c>
      <c r="B233" t="s">
        <v>14</v>
      </c>
      <c r="C233" t="s">
        <v>21</v>
      </c>
      <c r="D233" t="s">
        <v>16</v>
      </c>
      <c r="E233" t="s">
        <v>17</v>
      </c>
      <c r="F233" t="s">
        <v>18</v>
      </c>
      <c r="G233">
        <v>2015</v>
      </c>
      <c r="H233">
        <v>12751</v>
      </c>
      <c r="I233">
        <v>8481.6</v>
      </c>
      <c r="J233">
        <v>4272.5</v>
      </c>
      <c r="K233">
        <v>5659.8</v>
      </c>
      <c r="L233">
        <v>44.387106889999998</v>
      </c>
      <c r="M233">
        <v>7091.2</v>
      </c>
      <c r="N233">
        <v>55.612893110000002</v>
      </c>
    </row>
    <row r="234" spans="1:14" x14ac:dyDescent="0.3">
      <c r="A234" t="s">
        <v>302</v>
      </c>
      <c r="B234" t="s">
        <v>20</v>
      </c>
      <c r="C234" t="s">
        <v>45</v>
      </c>
      <c r="D234" t="s">
        <v>46</v>
      </c>
      <c r="E234" t="s">
        <v>47</v>
      </c>
      <c r="F234" t="s">
        <v>48</v>
      </c>
      <c r="G234">
        <v>2015</v>
      </c>
      <c r="H234">
        <v>12716.2</v>
      </c>
      <c r="I234">
        <v>2648.7</v>
      </c>
      <c r="J234">
        <v>10073.4</v>
      </c>
      <c r="K234">
        <v>12242.6</v>
      </c>
      <c r="L234">
        <v>96.275616929999998</v>
      </c>
      <c r="M234">
        <v>473.6</v>
      </c>
      <c r="N234">
        <v>3.72438307</v>
      </c>
    </row>
    <row r="235" spans="1:14" x14ac:dyDescent="0.3">
      <c r="A235" t="s">
        <v>303</v>
      </c>
      <c r="B235" t="s">
        <v>14</v>
      </c>
      <c r="C235" t="s">
        <v>21</v>
      </c>
      <c r="D235" t="s">
        <v>24</v>
      </c>
      <c r="E235" t="s">
        <v>25</v>
      </c>
      <c r="F235" t="s">
        <v>18</v>
      </c>
      <c r="G235">
        <v>2004</v>
      </c>
      <c r="H235">
        <v>12713.2</v>
      </c>
      <c r="I235">
        <v>12596.1</v>
      </c>
      <c r="J235">
        <v>124.8</v>
      </c>
      <c r="K235">
        <v>1284.7</v>
      </c>
      <c r="L235">
        <v>10.10524494</v>
      </c>
      <c r="M235">
        <v>11428.5</v>
      </c>
      <c r="N235">
        <v>89.894755059999994</v>
      </c>
    </row>
    <row r="236" spans="1:14" x14ac:dyDescent="0.3">
      <c r="A236" t="s">
        <v>304</v>
      </c>
      <c r="B236" t="s">
        <v>20</v>
      </c>
      <c r="C236" t="s">
        <v>21</v>
      </c>
      <c r="D236" t="s">
        <v>16</v>
      </c>
      <c r="E236" t="s">
        <v>22</v>
      </c>
      <c r="F236" t="s">
        <v>18</v>
      </c>
      <c r="G236">
        <v>2008</v>
      </c>
      <c r="H236">
        <v>12700.7</v>
      </c>
      <c r="I236">
        <v>8281.2000000000007</v>
      </c>
      <c r="J236">
        <v>4423.1000000000004</v>
      </c>
      <c r="K236">
        <v>7763.9</v>
      </c>
      <c r="L236">
        <v>61.129701509999997</v>
      </c>
      <c r="M236">
        <v>4936.8</v>
      </c>
      <c r="N236">
        <v>38.870298490000003</v>
      </c>
    </row>
    <row r="237" spans="1:14" x14ac:dyDescent="0.3">
      <c r="A237" t="s">
        <v>305</v>
      </c>
      <c r="B237" t="s">
        <v>14</v>
      </c>
      <c r="C237" t="s">
        <v>33</v>
      </c>
      <c r="D237" t="s">
        <v>16</v>
      </c>
      <c r="E237" t="s">
        <v>22</v>
      </c>
      <c r="F237" t="s">
        <v>18</v>
      </c>
      <c r="G237">
        <v>2010</v>
      </c>
      <c r="H237">
        <v>12650.8</v>
      </c>
      <c r="I237">
        <v>11398.2</v>
      </c>
      <c r="J237">
        <v>1255.5</v>
      </c>
      <c r="K237">
        <v>5777.3</v>
      </c>
      <c r="L237">
        <v>45.667467670000001</v>
      </c>
      <c r="M237">
        <v>6873.5</v>
      </c>
      <c r="N237">
        <v>54.332532329999999</v>
      </c>
    </row>
    <row r="238" spans="1:14" x14ac:dyDescent="0.3">
      <c r="A238" t="s">
        <v>306</v>
      </c>
      <c r="B238" t="s">
        <v>14</v>
      </c>
      <c r="C238" t="s">
        <v>15</v>
      </c>
      <c r="D238" t="s">
        <v>16</v>
      </c>
      <c r="E238" t="s">
        <v>22</v>
      </c>
      <c r="F238" t="s">
        <v>18</v>
      </c>
      <c r="G238">
        <v>2001</v>
      </c>
      <c r="H238">
        <v>12647.5</v>
      </c>
      <c r="I238">
        <v>11934</v>
      </c>
      <c r="J238">
        <v>715.4</v>
      </c>
      <c r="K238">
        <v>10362.700000000001</v>
      </c>
      <c r="L238">
        <v>81.934769720000006</v>
      </c>
      <c r="M238">
        <v>2284.8000000000002</v>
      </c>
      <c r="N238">
        <v>18.065230280000002</v>
      </c>
    </row>
    <row r="239" spans="1:14" x14ac:dyDescent="0.3">
      <c r="A239" t="s">
        <v>307</v>
      </c>
      <c r="B239" t="s">
        <v>14</v>
      </c>
      <c r="C239" t="s">
        <v>21</v>
      </c>
      <c r="D239" t="s">
        <v>16</v>
      </c>
      <c r="E239" t="s">
        <v>17</v>
      </c>
      <c r="F239" t="s">
        <v>18</v>
      </c>
      <c r="G239">
        <v>2000</v>
      </c>
      <c r="H239">
        <v>12593.2</v>
      </c>
      <c r="I239">
        <v>6266</v>
      </c>
      <c r="J239">
        <v>6330.7</v>
      </c>
      <c r="K239">
        <v>351.5</v>
      </c>
      <c r="L239">
        <v>2.791188896</v>
      </c>
      <c r="M239">
        <v>12241.7</v>
      </c>
      <c r="N239">
        <v>97.208811100000005</v>
      </c>
    </row>
    <row r="240" spans="1:14" x14ac:dyDescent="0.3">
      <c r="A240" t="s">
        <v>308</v>
      </c>
      <c r="B240" t="s">
        <v>20</v>
      </c>
      <c r="C240" t="s">
        <v>33</v>
      </c>
      <c r="D240" t="s">
        <v>16</v>
      </c>
      <c r="E240" t="s">
        <v>22</v>
      </c>
      <c r="F240" t="s">
        <v>18</v>
      </c>
      <c r="G240">
        <v>2013</v>
      </c>
      <c r="H240">
        <v>12593</v>
      </c>
      <c r="I240">
        <v>12542.7</v>
      </c>
      <c r="J240">
        <v>29.5</v>
      </c>
      <c r="K240">
        <v>3706.6</v>
      </c>
      <c r="L240">
        <v>29.433812440000001</v>
      </c>
      <c r="M240">
        <v>8886.4</v>
      </c>
      <c r="N240">
        <v>70.566187560000003</v>
      </c>
    </row>
    <row r="241" spans="1:14" x14ac:dyDescent="0.3">
      <c r="A241" t="s">
        <v>309</v>
      </c>
      <c r="B241" t="s">
        <v>14</v>
      </c>
      <c r="C241" t="s">
        <v>33</v>
      </c>
      <c r="D241" t="s">
        <v>16</v>
      </c>
      <c r="E241" t="s">
        <v>51</v>
      </c>
      <c r="F241" t="s">
        <v>48</v>
      </c>
      <c r="G241">
        <v>1964</v>
      </c>
      <c r="H241">
        <v>12566.2</v>
      </c>
      <c r="I241">
        <v>4905.7</v>
      </c>
      <c r="J241">
        <v>7658.9</v>
      </c>
      <c r="K241">
        <v>12335.7</v>
      </c>
      <c r="L241">
        <v>98.165714379999997</v>
      </c>
      <c r="M241">
        <v>230.5</v>
      </c>
      <c r="N241">
        <v>1.834285623</v>
      </c>
    </row>
    <row r="242" spans="1:14" x14ac:dyDescent="0.3">
      <c r="A242" t="s">
        <v>310</v>
      </c>
      <c r="B242" t="s">
        <v>14</v>
      </c>
      <c r="C242" t="s">
        <v>21</v>
      </c>
      <c r="D242" t="s">
        <v>16</v>
      </c>
      <c r="E242" t="s">
        <v>22</v>
      </c>
      <c r="F242" t="s">
        <v>18</v>
      </c>
      <c r="G242">
        <v>1939</v>
      </c>
      <c r="H242">
        <v>12421.7</v>
      </c>
      <c r="I242">
        <v>11999.7</v>
      </c>
      <c r="J242">
        <v>421.9</v>
      </c>
      <c r="K242">
        <v>9162.6</v>
      </c>
      <c r="L242">
        <v>73.762850499999999</v>
      </c>
      <c r="M242">
        <v>3259.1</v>
      </c>
      <c r="N242">
        <v>26.237149500000001</v>
      </c>
    </row>
    <row r="243" spans="1:14" x14ac:dyDescent="0.3">
      <c r="A243" t="s">
        <v>311</v>
      </c>
      <c r="B243" t="s">
        <v>14</v>
      </c>
      <c r="C243" t="s">
        <v>128</v>
      </c>
      <c r="D243" t="s">
        <v>129</v>
      </c>
      <c r="E243" t="s">
        <v>60</v>
      </c>
      <c r="F243" t="s">
        <v>18</v>
      </c>
      <c r="G243">
        <v>2014</v>
      </c>
      <c r="H243">
        <v>12403.3</v>
      </c>
      <c r="I243">
        <v>7261.2</v>
      </c>
      <c r="J243">
        <v>5145.8</v>
      </c>
      <c r="K243">
        <v>376.4</v>
      </c>
      <c r="L243">
        <v>3.034676256</v>
      </c>
      <c r="M243">
        <v>12026.9</v>
      </c>
      <c r="N243">
        <v>96.965323740000002</v>
      </c>
    </row>
    <row r="244" spans="1:14" x14ac:dyDescent="0.3">
      <c r="A244" t="s">
        <v>312</v>
      </c>
      <c r="B244" t="s">
        <v>14</v>
      </c>
      <c r="C244" t="s">
        <v>21</v>
      </c>
      <c r="D244" t="s">
        <v>24</v>
      </c>
      <c r="E244" t="s">
        <v>25</v>
      </c>
      <c r="F244" t="s">
        <v>18</v>
      </c>
      <c r="G244">
        <v>2015</v>
      </c>
      <c r="H244">
        <v>12394.6</v>
      </c>
      <c r="I244">
        <v>4419.3999999999996</v>
      </c>
      <c r="J244">
        <v>7981.5</v>
      </c>
      <c r="K244">
        <v>1528.1</v>
      </c>
      <c r="L244">
        <v>12.328756070000001</v>
      </c>
      <c r="M244">
        <v>10866.5</v>
      </c>
      <c r="N244">
        <v>87.671243930000003</v>
      </c>
    </row>
    <row r="245" spans="1:14" x14ac:dyDescent="0.3">
      <c r="A245" t="s">
        <v>313</v>
      </c>
      <c r="B245" t="s">
        <v>14</v>
      </c>
      <c r="C245" t="s">
        <v>166</v>
      </c>
      <c r="D245" t="s">
        <v>167</v>
      </c>
      <c r="E245" t="s">
        <v>168</v>
      </c>
      <c r="F245" t="s">
        <v>18</v>
      </c>
      <c r="G245">
        <v>2009</v>
      </c>
      <c r="H245">
        <v>12324.9</v>
      </c>
      <c r="I245">
        <v>10393.6</v>
      </c>
      <c r="J245">
        <v>1924.7</v>
      </c>
      <c r="K245">
        <v>8841.9</v>
      </c>
      <c r="L245">
        <v>71.740135820000006</v>
      </c>
      <c r="M245">
        <v>3483</v>
      </c>
      <c r="N245">
        <v>28.259864180000001</v>
      </c>
    </row>
    <row r="246" spans="1:14" x14ac:dyDescent="0.3">
      <c r="A246" t="s">
        <v>314</v>
      </c>
      <c r="B246" t="s">
        <v>14</v>
      </c>
      <c r="C246" t="s">
        <v>21</v>
      </c>
      <c r="D246" t="s">
        <v>24</v>
      </c>
      <c r="E246" t="s">
        <v>17</v>
      </c>
      <c r="F246" t="s">
        <v>18</v>
      </c>
      <c r="G246">
        <v>2017</v>
      </c>
      <c r="H246">
        <v>12209.5</v>
      </c>
      <c r="I246">
        <v>8937.9</v>
      </c>
      <c r="J246">
        <v>3281.7</v>
      </c>
      <c r="K246">
        <v>3226.5</v>
      </c>
      <c r="L246">
        <v>26.426143580000002</v>
      </c>
      <c r="M246">
        <v>8983</v>
      </c>
      <c r="N246">
        <v>73.573856419999998</v>
      </c>
    </row>
    <row r="247" spans="1:14" x14ac:dyDescent="0.3">
      <c r="A247" t="s">
        <v>315</v>
      </c>
      <c r="B247" t="s">
        <v>14</v>
      </c>
      <c r="C247" t="s">
        <v>89</v>
      </c>
      <c r="D247" t="s">
        <v>24</v>
      </c>
      <c r="E247" t="s">
        <v>90</v>
      </c>
      <c r="F247" t="s">
        <v>48</v>
      </c>
      <c r="G247">
        <v>2014</v>
      </c>
      <c r="H247">
        <v>12151.3</v>
      </c>
      <c r="I247">
        <v>8589.7999999999993</v>
      </c>
      <c r="J247">
        <v>3569.6</v>
      </c>
      <c r="K247">
        <v>2705.2</v>
      </c>
      <c r="L247">
        <v>22.26263857</v>
      </c>
      <c r="M247">
        <v>9446.1</v>
      </c>
      <c r="N247">
        <v>77.737361430000007</v>
      </c>
    </row>
    <row r="248" spans="1:14" x14ac:dyDescent="0.3">
      <c r="A248" t="s">
        <v>316</v>
      </c>
      <c r="B248" t="s">
        <v>14</v>
      </c>
      <c r="C248" t="s">
        <v>71</v>
      </c>
      <c r="D248" t="s">
        <v>72</v>
      </c>
      <c r="E248" t="s">
        <v>73</v>
      </c>
      <c r="F248" t="s">
        <v>18</v>
      </c>
      <c r="G248">
        <v>2008</v>
      </c>
      <c r="H248">
        <v>12136.7</v>
      </c>
      <c r="I248">
        <v>8.4</v>
      </c>
      <c r="J248">
        <v>12135.9</v>
      </c>
      <c r="K248">
        <v>0</v>
      </c>
      <c r="L248">
        <v>0</v>
      </c>
      <c r="M248">
        <v>12136.7</v>
      </c>
      <c r="N248">
        <v>100</v>
      </c>
    </row>
    <row r="249" spans="1:14" x14ac:dyDescent="0.3">
      <c r="A249" t="s">
        <v>317</v>
      </c>
      <c r="B249" t="s">
        <v>20</v>
      </c>
      <c r="C249" t="s">
        <v>21</v>
      </c>
      <c r="D249" t="s">
        <v>16</v>
      </c>
      <c r="E249" t="s">
        <v>27</v>
      </c>
      <c r="F249" t="s">
        <v>18</v>
      </c>
      <c r="G249">
        <v>2001</v>
      </c>
      <c r="H249">
        <v>12099.6</v>
      </c>
      <c r="I249">
        <v>8350.5</v>
      </c>
      <c r="J249">
        <v>3754.7</v>
      </c>
      <c r="K249">
        <v>7341.3</v>
      </c>
      <c r="L249">
        <v>60.673906580000001</v>
      </c>
      <c r="M249">
        <v>4758.3</v>
      </c>
      <c r="N249">
        <v>39.326093419999999</v>
      </c>
    </row>
    <row r="250" spans="1:14" x14ac:dyDescent="0.3">
      <c r="A250" t="s">
        <v>318</v>
      </c>
      <c r="B250" t="s">
        <v>20</v>
      </c>
      <c r="C250" t="s">
        <v>21</v>
      </c>
      <c r="D250" t="s">
        <v>16</v>
      </c>
      <c r="E250" t="s">
        <v>22</v>
      </c>
      <c r="F250" t="s">
        <v>18</v>
      </c>
      <c r="G250">
        <v>2009</v>
      </c>
      <c r="H250">
        <v>12094.7</v>
      </c>
      <c r="I250">
        <v>7821.4</v>
      </c>
      <c r="J250">
        <v>4279.1000000000004</v>
      </c>
      <c r="K250">
        <v>7189.4</v>
      </c>
      <c r="L250">
        <v>59.44256575</v>
      </c>
      <c r="M250">
        <v>4905.3</v>
      </c>
      <c r="N250">
        <v>40.55743425</v>
      </c>
    </row>
    <row r="251" spans="1:14" x14ac:dyDescent="0.3">
      <c r="A251" t="s">
        <v>319</v>
      </c>
      <c r="B251" t="s">
        <v>14</v>
      </c>
      <c r="C251" t="s">
        <v>21</v>
      </c>
      <c r="D251" t="s">
        <v>16</v>
      </c>
      <c r="E251" t="s">
        <v>22</v>
      </c>
      <c r="F251" t="s">
        <v>18</v>
      </c>
      <c r="G251">
        <v>2015</v>
      </c>
      <c r="H251">
        <v>11966.9</v>
      </c>
      <c r="I251">
        <v>10802.2</v>
      </c>
      <c r="J251">
        <v>1167.0999999999999</v>
      </c>
      <c r="K251">
        <v>7423</v>
      </c>
      <c r="L251">
        <v>62.029431180000003</v>
      </c>
      <c r="M251">
        <v>4543.8999999999996</v>
      </c>
      <c r="N251">
        <v>37.970568819999997</v>
      </c>
    </row>
    <row r="252" spans="1:14" x14ac:dyDescent="0.3">
      <c r="A252" t="s">
        <v>320</v>
      </c>
      <c r="B252" t="s">
        <v>20</v>
      </c>
      <c r="C252" t="s">
        <v>21</v>
      </c>
      <c r="D252" t="s">
        <v>16</v>
      </c>
      <c r="E252" t="s">
        <v>22</v>
      </c>
      <c r="F252" t="s">
        <v>18</v>
      </c>
      <c r="G252">
        <v>1982</v>
      </c>
      <c r="H252">
        <v>11879.6</v>
      </c>
      <c r="I252">
        <v>10122.700000000001</v>
      </c>
      <c r="J252">
        <v>1768.2</v>
      </c>
      <c r="K252">
        <v>8527.5</v>
      </c>
      <c r="L252">
        <v>71.782719959999994</v>
      </c>
      <c r="M252">
        <v>3352.1</v>
      </c>
      <c r="N252">
        <v>28.217280039999999</v>
      </c>
    </row>
    <row r="253" spans="1:14" x14ac:dyDescent="0.3">
      <c r="A253" t="s">
        <v>321</v>
      </c>
      <c r="B253" t="s">
        <v>14</v>
      </c>
      <c r="C253" t="s">
        <v>89</v>
      </c>
      <c r="D253" t="s">
        <v>24</v>
      </c>
      <c r="E253" t="s">
        <v>82</v>
      </c>
      <c r="F253" t="s">
        <v>48</v>
      </c>
      <c r="G253">
        <v>2005</v>
      </c>
      <c r="H253">
        <v>11853.7</v>
      </c>
      <c r="I253">
        <v>9900.6</v>
      </c>
      <c r="J253">
        <v>1953.1</v>
      </c>
      <c r="K253">
        <v>5248.7</v>
      </c>
      <c r="L253">
        <v>44.279001489999999</v>
      </c>
      <c r="M253">
        <v>6605</v>
      </c>
      <c r="N253">
        <v>55.720998510000001</v>
      </c>
    </row>
    <row r="254" spans="1:14" x14ac:dyDescent="0.3">
      <c r="A254" t="s">
        <v>322</v>
      </c>
      <c r="B254" t="s">
        <v>14</v>
      </c>
      <c r="C254" t="s">
        <v>21</v>
      </c>
      <c r="D254" t="s">
        <v>16</v>
      </c>
      <c r="E254" t="s">
        <v>27</v>
      </c>
      <c r="F254" t="s">
        <v>18</v>
      </c>
      <c r="G254">
        <v>2004</v>
      </c>
      <c r="H254">
        <v>11821.6</v>
      </c>
      <c r="I254">
        <v>7454.6</v>
      </c>
      <c r="J254">
        <v>4369.1000000000004</v>
      </c>
      <c r="K254">
        <v>5783.2</v>
      </c>
      <c r="L254">
        <v>48.920619879999997</v>
      </c>
      <c r="M254">
        <v>6038.4</v>
      </c>
      <c r="N254">
        <v>51.079380120000003</v>
      </c>
    </row>
    <row r="255" spans="1:14" x14ac:dyDescent="0.3">
      <c r="A255" t="s">
        <v>323</v>
      </c>
      <c r="B255" t="s">
        <v>20</v>
      </c>
      <c r="C255" t="s">
        <v>21</v>
      </c>
      <c r="D255" t="s">
        <v>16</v>
      </c>
      <c r="E255" t="s">
        <v>22</v>
      </c>
      <c r="F255" t="s">
        <v>18</v>
      </c>
      <c r="G255">
        <v>2009</v>
      </c>
      <c r="H255">
        <v>11817.1</v>
      </c>
      <c r="I255">
        <v>9731.6</v>
      </c>
      <c r="J255">
        <v>2088</v>
      </c>
      <c r="K255">
        <v>7684.3</v>
      </c>
      <c r="L255">
        <v>65.026952469999998</v>
      </c>
      <c r="M255">
        <v>4132.8</v>
      </c>
      <c r="N255">
        <v>34.973047530000002</v>
      </c>
    </row>
    <row r="256" spans="1:14" x14ac:dyDescent="0.3">
      <c r="A256" t="s">
        <v>324</v>
      </c>
      <c r="B256" t="s">
        <v>14</v>
      </c>
      <c r="C256" t="s">
        <v>21</v>
      </c>
      <c r="D256" t="s">
        <v>16</v>
      </c>
      <c r="E256" t="s">
        <v>17</v>
      </c>
      <c r="F256" t="s">
        <v>18</v>
      </c>
      <c r="G256">
        <v>2017</v>
      </c>
      <c r="H256">
        <v>11783.3</v>
      </c>
      <c r="I256">
        <v>10687.5</v>
      </c>
      <c r="J256">
        <v>1099.4000000000001</v>
      </c>
      <c r="K256">
        <v>8809.7999999999993</v>
      </c>
      <c r="L256">
        <v>74.765133710000001</v>
      </c>
      <c r="M256">
        <v>2973.5</v>
      </c>
      <c r="N256">
        <v>25.234866289999999</v>
      </c>
    </row>
    <row r="257" spans="1:14" x14ac:dyDescent="0.3">
      <c r="A257" t="s">
        <v>325</v>
      </c>
      <c r="B257" t="s">
        <v>20</v>
      </c>
      <c r="C257" t="s">
        <v>326</v>
      </c>
      <c r="D257" t="s">
        <v>16</v>
      </c>
      <c r="E257" t="s">
        <v>22</v>
      </c>
      <c r="F257" t="s">
        <v>18</v>
      </c>
      <c r="G257">
        <v>2012</v>
      </c>
      <c r="H257">
        <v>11721</v>
      </c>
      <c r="I257">
        <v>11036</v>
      </c>
      <c r="J257">
        <v>689</v>
      </c>
      <c r="K257">
        <v>10605.6</v>
      </c>
      <c r="L257">
        <v>90.483747120000004</v>
      </c>
      <c r="M257">
        <v>1115.4000000000001</v>
      </c>
      <c r="N257">
        <v>9.5162528789999996</v>
      </c>
    </row>
    <row r="258" spans="1:14" x14ac:dyDescent="0.3">
      <c r="A258" t="s">
        <v>327</v>
      </c>
      <c r="B258" t="s">
        <v>14</v>
      </c>
      <c r="C258" t="s">
        <v>166</v>
      </c>
      <c r="D258" t="s">
        <v>167</v>
      </c>
      <c r="E258" t="s">
        <v>17</v>
      </c>
      <c r="F258" t="s">
        <v>18</v>
      </c>
      <c r="G258">
        <v>2019</v>
      </c>
      <c r="H258">
        <v>11715.1</v>
      </c>
      <c r="I258">
        <v>1404.1</v>
      </c>
      <c r="J258">
        <v>10305.200000000001</v>
      </c>
      <c r="K258">
        <v>7.7</v>
      </c>
      <c r="L258">
        <v>6.5727138480000002E-2</v>
      </c>
      <c r="M258">
        <v>11707.4</v>
      </c>
      <c r="N258">
        <v>99.934272859999993</v>
      </c>
    </row>
    <row r="259" spans="1:14" x14ac:dyDescent="0.3">
      <c r="A259" t="s">
        <v>328</v>
      </c>
      <c r="B259" t="s">
        <v>14</v>
      </c>
      <c r="C259" t="s">
        <v>21</v>
      </c>
      <c r="D259" t="s">
        <v>16</v>
      </c>
      <c r="E259" t="s">
        <v>98</v>
      </c>
      <c r="F259" t="s">
        <v>18</v>
      </c>
      <c r="G259">
        <v>2015</v>
      </c>
      <c r="H259">
        <v>11678.7</v>
      </c>
      <c r="I259">
        <v>9802.2000000000007</v>
      </c>
      <c r="J259">
        <v>1883.1</v>
      </c>
      <c r="K259">
        <v>9721.7999999999993</v>
      </c>
      <c r="L259">
        <v>83.243854200000001</v>
      </c>
      <c r="M259">
        <v>1956.9</v>
      </c>
      <c r="N259">
        <v>16.756145799999999</v>
      </c>
    </row>
    <row r="260" spans="1:14" x14ac:dyDescent="0.3">
      <c r="A260" t="s">
        <v>329</v>
      </c>
      <c r="B260" t="s">
        <v>14</v>
      </c>
      <c r="C260" t="s">
        <v>330</v>
      </c>
      <c r="D260" t="s">
        <v>16</v>
      </c>
      <c r="E260" t="s">
        <v>17</v>
      </c>
      <c r="F260" t="s">
        <v>18</v>
      </c>
      <c r="G260">
        <v>2002</v>
      </c>
      <c r="H260">
        <v>11640.6</v>
      </c>
      <c r="I260">
        <v>6067.8</v>
      </c>
      <c r="J260">
        <v>5576.2</v>
      </c>
      <c r="K260">
        <v>325.2</v>
      </c>
      <c r="L260">
        <v>2.7936704290000001</v>
      </c>
      <c r="M260">
        <v>11315.4</v>
      </c>
      <c r="N260">
        <v>97.206329569999994</v>
      </c>
    </row>
    <row r="261" spans="1:14" x14ac:dyDescent="0.3">
      <c r="A261" t="s">
        <v>331</v>
      </c>
      <c r="B261" t="s">
        <v>20</v>
      </c>
      <c r="C261" t="s">
        <v>21</v>
      </c>
      <c r="D261" t="s">
        <v>16</v>
      </c>
      <c r="E261" t="s">
        <v>22</v>
      </c>
      <c r="F261" t="s">
        <v>18</v>
      </c>
      <c r="G261">
        <v>2014</v>
      </c>
      <c r="H261">
        <v>11632.9</v>
      </c>
      <c r="I261">
        <v>11637.4</v>
      </c>
      <c r="J261">
        <v>0</v>
      </c>
      <c r="K261">
        <v>11489.7</v>
      </c>
      <c r="L261">
        <v>98.769008589999999</v>
      </c>
      <c r="M261">
        <v>143.19999999999999</v>
      </c>
      <c r="N261">
        <v>1.2309914120000001</v>
      </c>
    </row>
    <row r="262" spans="1:14" x14ac:dyDescent="0.3">
      <c r="A262" t="s">
        <v>332</v>
      </c>
      <c r="B262" t="s">
        <v>14</v>
      </c>
      <c r="C262" t="s">
        <v>21</v>
      </c>
      <c r="D262" t="s">
        <v>16</v>
      </c>
      <c r="E262" t="s">
        <v>51</v>
      </c>
      <c r="F262" t="s">
        <v>18</v>
      </c>
      <c r="G262">
        <v>1954</v>
      </c>
      <c r="H262">
        <v>11588.8</v>
      </c>
      <c r="I262">
        <v>11545</v>
      </c>
      <c r="J262">
        <v>47.3</v>
      </c>
      <c r="K262">
        <v>10653.5</v>
      </c>
      <c r="L262">
        <v>91.929276540000004</v>
      </c>
      <c r="M262">
        <v>935.3</v>
      </c>
      <c r="N262">
        <v>8.0707234569999997</v>
      </c>
    </row>
    <row r="263" spans="1:14" x14ac:dyDescent="0.3">
      <c r="A263" t="s">
        <v>333</v>
      </c>
      <c r="B263" t="s">
        <v>14</v>
      </c>
      <c r="C263" t="s">
        <v>21</v>
      </c>
      <c r="D263" t="s">
        <v>16</v>
      </c>
      <c r="E263" t="s">
        <v>17</v>
      </c>
      <c r="F263" t="s">
        <v>18</v>
      </c>
      <c r="G263">
        <v>2006</v>
      </c>
      <c r="H263">
        <v>11575.2</v>
      </c>
      <c r="I263">
        <v>3209.4</v>
      </c>
      <c r="J263">
        <v>8365.7999999999993</v>
      </c>
      <c r="K263">
        <v>747.3</v>
      </c>
      <c r="L263">
        <v>6.4560439560000003</v>
      </c>
      <c r="M263">
        <v>10827.9</v>
      </c>
      <c r="N263">
        <v>93.543956039999998</v>
      </c>
    </row>
    <row r="264" spans="1:14" x14ac:dyDescent="0.3">
      <c r="A264" t="s">
        <v>334</v>
      </c>
      <c r="B264" t="s">
        <v>14</v>
      </c>
      <c r="C264" t="s">
        <v>335</v>
      </c>
      <c r="D264" t="s">
        <v>24</v>
      </c>
      <c r="E264" t="s">
        <v>25</v>
      </c>
      <c r="F264" t="s">
        <v>18</v>
      </c>
      <c r="G264">
        <v>2019</v>
      </c>
      <c r="H264">
        <v>11566.2</v>
      </c>
      <c r="I264">
        <v>7224.2</v>
      </c>
      <c r="J264">
        <v>4349.3999999999996</v>
      </c>
      <c r="K264">
        <v>4663</v>
      </c>
      <c r="L264">
        <v>40.315747610000003</v>
      </c>
      <c r="M264">
        <v>6903.2</v>
      </c>
      <c r="N264">
        <v>59.684252389999997</v>
      </c>
    </row>
    <row r="265" spans="1:14" x14ac:dyDescent="0.3">
      <c r="A265" t="s">
        <v>336</v>
      </c>
      <c r="B265" t="s">
        <v>14</v>
      </c>
      <c r="C265" t="s">
        <v>337</v>
      </c>
      <c r="D265" t="s">
        <v>16</v>
      </c>
      <c r="E265" t="s">
        <v>60</v>
      </c>
      <c r="F265" t="s">
        <v>18</v>
      </c>
      <c r="G265">
        <v>2010</v>
      </c>
      <c r="H265">
        <v>11481.4</v>
      </c>
      <c r="I265">
        <v>11486.5</v>
      </c>
      <c r="J265">
        <v>0</v>
      </c>
      <c r="K265">
        <v>235.7</v>
      </c>
      <c r="L265">
        <v>2.0528855369999999</v>
      </c>
      <c r="M265">
        <v>11245.7</v>
      </c>
      <c r="N265">
        <v>97.947114459999995</v>
      </c>
    </row>
    <row r="266" spans="1:14" x14ac:dyDescent="0.3">
      <c r="A266" t="s">
        <v>338</v>
      </c>
      <c r="B266" t="s">
        <v>78</v>
      </c>
      <c r="C266" t="s">
        <v>21</v>
      </c>
      <c r="D266" t="s">
        <v>16</v>
      </c>
      <c r="E266" t="s">
        <v>51</v>
      </c>
      <c r="F266" t="s">
        <v>48</v>
      </c>
      <c r="G266">
        <v>2005</v>
      </c>
      <c r="H266">
        <v>11480.4</v>
      </c>
      <c r="I266">
        <v>8241.1</v>
      </c>
      <c r="J266">
        <v>3243.6</v>
      </c>
      <c r="K266">
        <v>11420.3</v>
      </c>
      <c r="L266">
        <v>99.476499079999996</v>
      </c>
      <c r="M266">
        <v>60.1</v>
      </c>
      <c r="N266">
        <v>0.52350092329999998</v>
      </c>
    </row>
    <row r="267" spans="1:14" x14ac:dyDescent="0.3">
      <c r="A267" t="s">
        <v>339</v>
      </c>
      <c r="B267" t="s">
        <v>14</v>
      </c>
      <c r="C267" t="s">
        <v>21</v>
      </c>
      <c r="D267" t="s">
        <v>16</v>
      </c>
      <c r="E267" t="s">
        <v>17</v>
      </c>
      <c r="F267" t="s">
        <v>18</v>
      </c>
      <c r="G267">
        <v>2012</v>
      </c>
      <c r="H267">
        <v>11475.1</v>
      </c>
      <c r="I267">
        <v>3956.3</v>
      </c>
      <c r="J267">
        <v>7518.7</v>
      </c>
      <c r="K267">
        <v>545.70000000000005</v>
      </c>
      <c r="L267">
        <v>4.7555141130000003</v>
      </c>
      <c r="M267">
        <v>10929.4</v>
      </c>
      <c r="N267">
        <v>95.244485890000007</v>
      </c>
    </row>
    <row r="268" spans="1:14" x14ac:dyDescent="0.3">
      <c r="A268" t="s">
        <v>340</v>
      </c>
      <c r="B268" t="s">
        <v>14</v>
      </c>
      <c r="C268" t="s">
        <v>59</v>
      </c>
      <c r="D268" t="s">
        <v>257</v>
      </c>
      <c r="E268" t="s">
        <v>17</v>
      </c>
      <c r="F268" t="s">
        <v>18</v>
      </c>
      <c r="G268">
        <v>2017</v>
      </c>
      <c r="H268">
        <v>11459.5</v>
      </c>
      <c r="I268">
        <v>7069.7</v>
      </c>
      <c r="J268">
        <v>4399.6000000000004</v>
      </c>
      <c r="K268">
        <v>5201.3999999999996</v>
      </c>
      <c r="L268">
        <v>45.389414899999998</v>
      </c>
      <c r="M268">
        <v>6258.1</v>
      </c>
      <c r="N268">
        <v>54.610585100000002</v>
      </c>
    </row>
    <row r="269" spans="1:14" x14ac:dyDescent="0.3">
      <c r="A269" t="s">
        <v>341</v>
      </c>
      <c r="B269" t="s">
        <v>14</v>
      </c>
      <c r="C269" t="s">
        <v>21</v>
      </c>
      <c r="D269" t="s">
        <v>16</v>
      </c>
      <c r="E269" t="s">
        <v>27</v>
      </c>
      <c r="F269" t="s">
        <v>18</v>
      </c>
      <c r="G269">
        <v>2006</v>
      </c>
      <c r="H269">
        <v>11428.5</v>
      </c>
      <c r="I269">
        <v>7562.2</v>
      </c>
      <c r="J269">
        <v>3868</v>
      </c>
      <c r="K269">
        <v>6108.9</v>
      </c>
      <c r="L269">
        <v>53.453209080000001</v>
      </c>
      <c r="M269">
        <v>5319.6</v>
      </c>
      <c r="N269">
        <v>46.546790919999999</v>
      </c>
    </row>
    <row r="270" spans="1:14" x14ac:dyDescent="0.3">
      <c r="A270" t="s">
        <v>342</v>
      </c>
      <c r="B270" t="s">
        <v>14</v>
      </c>
      <c r="C270" t="s">
        <v>21</v>
      </c>
      <c r="D270" t="s">
        <v>16</v>
      </c>
      <c r="E270" t="s">
        <v>51</v>
      </c>
      <c r="F270" t="s">
        <v>48</v>
      </c>
      <c r="G270">
        <v>1968</v>
      </c>
      <c r="H270">
        <v>11314.2</v>
      </c>
      <c r="I270">
        <v>11274.4</v>
      </c>
      <c r="J270">
        <v>44.7</v>
      </c>
      <c r="K270">
        <v>11264.9</v>
      </c>
      <c r="L270">
        <v>99.564264379999997</v>
      </c>
      <c r="M270">
        <v>49.3</v>
      </c>
      <c r="N270">
        <v>0.43573562430000001</v>
      </c>
    </row>
    <row r="271" spans="1:14" x14ac:dyDescent="0.3">
      <c r="A271" t="s">
        <v>343</v>
      </c>
      <c r="B271" t="s">
        <v>14</v>
      </c>
      <c r="C271" t="s">
        <v>21</v>
      </c>
      <c r="D271" t="s">
        <v>16</v>
      </c>
      <c r="E271" t="s">
        <v>27</v>
      </c>
      <c r="F271" t="s">
        <v>18</v>
      </c>
      <c r="G271">
        <v>2005</v>
      </c>
      <c r="H271">
        <v>11238.2</v>
      </c>
      <c r="I271">
        <v>4609.5</v>
      </c>
      <c r="J271">
        <v>6628.7</v>
      </c>
      <c r="K271">
        <v>839.9</v>
      </c>
      <c r="L271">
        <v>7.4736167709999997</v>
      </c>
      <c r="M271">
        <v>10398.299999999999</v>
      </c>
      <c r="N271">
        <v>92.526383229999993</v>
      </c>
    </row>
    <row r="272" spans="1:14" x14ac:dyDescent="0.3">
      <c r="A272" t="s">
        <v>344</v>
      </c>
      <c r="B272" t="s">
        <v>14</v>
      </c>
      <c r="C272" t="s">
        <v>45</v>
      </c>
      <c r="D272" t="s">
        <v>46</v>
      </c>
      <c r="E272" t="s">
        <v>47</v>
      </c>
      <c r="F272" t="s">
        <v>18</v>
      </c>
      <c r="G272">
        <v>2013</v>
      </c>
      <c r="H272">
        <v>11232.6</v>
      </c>
      <c r="I272">
        <v>9653.7999999999993</v>
      </c>
      <c r="J272">
        <v>1583.7</v>
      </c>
      <c r="K272">
        <v>4076.4</v>
      </c>
      <c r="L272">
        <v>36.29079643</v>
      </c>
      <c r="M272">
        <v>7156.2</v>
      </c>
      <c r="N272">
        <v>63.70920357</v>
      </c>
    </row>
    <row r="273" spans="1:14" x14ac:dyDescent="0.3">
      <c r="A273" t="s">
        <v>345</v>
      </c>
      <c r="B273" t="s">
        <v>14</v>
      </c>
      <c r="C273" t="s">
        <v>21</v>
      </c>
      <c r="D273" t="s">
        <v>16</v>
      </c>
      <c r="E273" t="s">
        <v>60</v>
      </c>
      <c r="F273" t="s">
        <v>18</v>
      </c>
      <c r="G273">
        <v>2010</v>
      </c>
      <c r="H273">
        <v>11198.8</v>
      </c>
      <c r="I273">
        <v>5328.3</v>
      </c>
      <c r="J273">
        <v>5873.2</v>
      </c>
      <c r="K273">
        <v>961.9</v>
      </c>
      <c r="L273">
        <v>8.5893131409999999</v>
      </c>
      <c r="M273">
        <v>10236.9</v>
      </c>
      <c r="N273">
        <v>91.410686859999998</v>
      </c>
    </row>
    <row r="274" spans="1:14" x14ac:dyDescent="0.3">
      <c r="A274" t="s">
        <v>346</v>
      </c>
      <c r="B274" t="s">
        <v>14</v>
      </c>
      <c r="C274" t="s">
        <v>21</v>
      </c>
      <c r="D274" t="s">
        <v>16</v>
      </c>
      <c r="E274" t="s">
        <v>17</v>
      </c>
      <c r="F274" t="s">
        <v>18</v>
      </c>
      <c r="G274">
        <v>2006</v>
      </c>
      <c r="H274">
        <v>11196</v>
      </c>
      <c r="I274">
        <v>10287.700000000001</v>
      </c>
      <c r="J274">
        <v>910.9</v>
      </c>
      <c r="K274">
        <v>656.6</v>
      </c>
      <c r="L274">
        <v>5.8645944979999998</v>
      </c>
      <c r="M274">
        <v>10539.4</v>
      </c>
      <c r="N274">
        <v>94.135405500000005</v>
      </c>
    </row>
    <row r="275" spans="1:14" x14ac:dyDescent="0.3">
      <c r="A275" t="s">
        <v>347</v>
      </c>
      <c r="B275" t="s">
        <v>14</v>
      </c>
      <c r="C275" t="s">
        <v>348</v>
      </c>
      <c r="D275" t="s">
        <v>16</v>
      </c>
      <c r="E275" t="s">
        <v>349</v>
      </c>
      <c r="F275" t="s">
        <v>18</v>
      </c>
      <c r="G275">
        <v>2011</v>
      </c>
      <c r="H275">
        <v>11149</v>
      </c>
      <c r="I275">
        <v>3260</v>
      </c>
      <c r="J275">
        <v>7882.2</v>
      </c>
      <c r="K275">
        <v>1292</v>
      </c>
      <c r="L275">
        <v>11.588483269999999</v>
      </c>
      <c r="M275">
        <v>9857</v>
      </c>
      <c r="N275">
        <v>88.411516730000002</v>
      </c>
    </row>
    <row r="276" spans="1:14" x14ac:dyDescent="0.3">
      <c r="A276" t="s">
        <v>350</v>
      </c>
      <c r="B276" t="s">
        <v>14</v>
      </c>
      <c r="C276" t="s">
        <v>33</v>
      </c>
      <c r="D276" t="s">
        <v>16</v>
      </c>
      <c r="E276" t="s">
        <v>51</v>
      </c>
      <c r="F276" t="s">
        <v>48</v>
      </c>
      <c r="G276">
        <v>1994</v>
      </c>
      <c r="H276">
        <v>11063.6</v>
      </c>
      <c r="I276">
        <v>11073.6</v>
      </c>
      <c r="J276">
        <v>0</v>
      </c>
      <c r="K276">
        <v>11061.4</v>
      </c>
      <c r="L276">
        <v>99.980114970000002</v>
      </c>
      <c r="M276">
        <v>2.2000000000000002</v>
      </c>
      <c r="N276">
        <v>1.9885028379999999E-2</v>
      </c>
    </row>
    <row r="277" spans="1:14" x14ac:dyDescent="0.3">
      <c r="A277" t="s">
        <v>351</v>
      </c>
      <c r="B277" t="s">
        <v>20</v>
      </c>
      <c r="C277" t="s">
        <v>21</v>
      </c>
      <c r="D277" t="s">
        <v>16</v>
      </c>
      <c r="E277" t="s">
        <v>22</v>
      </c>
      <c r="F277" t="s">
        <v>18</v>
      </c>
      <c r="G277">
        <v>1999</v>
      </c>
      <c r="H277">
        <v>11060.5</v>
      </c>
      <c r="I277">
        <v>6055.9</v>
      </c>
      <c r="J277">
        <v>5004.6000000000004</v>
      </c>
      <c r="K277">
        <v>4661.1000000000004</v>
      </c>
      <c r="L277">
        <v>42.141856150000002</v>
      </c>
      <c r="M277">
        <v>6399.4</v>
      </c>
      <c r="N277">
        <v>57.858143849999998</v>
      </c>
    </row>
    <row r="278" spans="1:14" x14ac:dyDescent="0.3">
      <c r="A278" t="s">
        <v>352</v>
      </c>
      <c r="B278" t="s">
        <v>14</v>
      </c>
      <c r="C278" t="s">
        <v>21</v>
      </c>
      <c r="D278" t="s">
        <v>16</v>
      </c>
      <c r="E278" t="s">
        <v>291</v>
      </c>
      <c r="F278" t="s">
        <v>48</v>
      </c>
      <c r="G278">
        <v>1999</v>
      </c>
      <c r="H278">
        <v>11051.4</v>
      </c>
      <c r="I278">
        <v>11056.2</v>
      </c>
      <c r="J278">
        <v>0</v>
      </c>
      <c r="K278">
        <v>11051.4</v>
      </c>
      <c r="L278">
        <v>100</v>
      </c>
      <c r="M278">
        <v>0</v>
      </c>
      <c r="N278">
        <v>0</v>
      </c>
    </row>
    <row r="279" spans="1:14" x14ac:dyDescent="0.3">
      <c r="A279" t="s">
        <v>353</v>
      </c>
      <c r="B279" t="s">
        <v>14</v>
      </c>
      <c r="C279" t="s">
        <v>71</v>
      </c>
      <c r="D279" t="s">
        <v>72</v>
      </c>
      <c r="E279" t="s">
        <v>73</v>
      </c>
      <c r="F279" t="s">
        <v>18</v>
      </c>
      <c r="G279">
        <v>2004</v>
      </c>
      <c r="H279">
        <v>11014.9</v>
      </c>
      <c r="I279">
        <v>5793.9</v>
      </c>
      <c r="J279">
        <v>5236.3</v>
      </c>
      <c r="K279">
        <v>0</v>
      </c>
      <c r="L279">
        <v>0</v>
      </c>
      <c r="M279">
        <v>11014.9</v>
      </c>
      <c r="N279">
        <v>100</v>
      </c>
    </row>
    <row r="280" spans="1:14" x14ac:dyDescent="0.3">
      <c r="A280" t="s">
        <v>354</v>
      </c>
      <c r="B280" t="s">
        <v>20</v>
      </c>
      <c r="C280" t="s">
        <v>33</v>
      </c>
      <c r="D280" t="s">
        <v>16</v>
      </c>
      <c r="E280" t="s">
        <v>22</v>
      </c>
      <c r="F280" t="s">
        <v>48</v>
      </c>
      <c r="G280">
        <v>2011</v>
      </c>
      <c r="H280">
        <v>10985.7</v>
      </c>
      <c r="I280">
        <v>0</v>
      </c>
      <c r="J280">
        <v>11024.9</v>
      </c>
      <c r="K280">
        <v>6916.9</v>
      </c>
      <c r="L280">
        <v>62.962760680000002</v>
      </c>
      <c r="M280">
        <v>4068.8</v>
      </c>
      <c r="N280">
        <v>37.037239319999998</v>
      </c>
    </row>
    <row r="281" spans="1:14" x14ac:dyDescent="0.3">
      <c r="A281" t="s">
        <v>355</v>
      </c>
      <c r="B281" t="s">
        <v>14</v>
      </c>
      <c r="C281" t="s">
        <v>42</v>
      </c>
      <c r="D281" t="s">
        <v>24</v>
      </c>
      <c r="E281" t="s">
        <v>25</v>
      </c>
      <c r="F281" t="s">
        <v>18</v>
      </c>
      <c r="G281">
        <v>2019</v>
      </c>
      <c r="H281">
        <v>10974</v>
      </c>
      <c r="I281">
        <v>9511.5</v>
      </c>
      <c r="J281">
        <v>1474.2</v>
      </c>
      <c r="K281">
        <v>3645.8</v>
      </c>
      <c r="L281">
        <v>33.222161470000003</v>
      </c>
      <c r="M281">
        <v>7328.2</v>
      </c>
      <c r="N281">
        <v>66.777838529999997</v>
      </c>
    </row>
    <row r="282" spans="1:14" x14ac:dyDescent="0.3">
      <c r="A282" t="s">
        <v>356</v>
      </c>
      <c r="B282" t="s">
        <v>14</v>
      </c>
      <c r="C282" t="s">
        <v>21</v>
      </c>
      <c r="D282" t="s">
        <v>16</v>
      </c>
      <c r="E282" t="s">
        <v>17</v>
      </c>
      <c r="F282" t="s">
        <v>18</v>
      </c>
      <c r="G282">
        <v>1993</v>
      </c>
      <c r="H282">
        <v>10968.8</v>
      </c>
      <c r="I282">
        <v>5006.3999999999996</v>
      </c>
      <c r="J282">
        <v>5977.1</v>
      </c>
      <c r="K282">
        <v>7034.7</v>
      </c>
      <c r="L282">
        <v>64.133724749999999</v>
      </c>
      <c r="M282">
        <v>3934.1</v>
      </c>
      <c r="N282">
        <v>35.866275250000001</v>
      </c>
    </row>
    <row r="283" spans="1:14" x14ac:dyDescent="0.3">
      <c r="A283" t="s">
        <v>357</v>
      </c>
      <c r="B283" t="s">
        <v>20</v>
      </c>
      <c r="C283" t="s">
        <v>245</v>
      </c>
      <c r="D283" t="s">
        <v>16</v>
      </c>
      <c r="E283" t="s">
        <v>57</v>
      </c>
      <c r="F283" t="s">
        <v>18</v>
      </c>
      <c r="G283">
        <v>2012</v>
      </c>
      <c r="H283">
        <v>10939.4</v>
      </c>
      <c r="I283">
        <v>9358.7999999999993</v>
      </c>
      <c r="J283">
        <v>1614.9</v>
      </c>
      <c r="K283">
        <v>10795.1</v>
      </c>
      <c r="L283">
        <v>98.680914860000001</v>
      </c>
      <c r="M283">
        <v>144.30000000000001</v>
      </c>
      <c r="N283">
        <v>1.319085142</v>
      </c>
    </row>
    <row r="284" spans="1:14" x14ac:dyDescent="0.3">
      <c r="A284" t="s">
        <v>358</v>
      </c>
      <c r="B284" t="s">
        <v>14</v>
      </c>
      <c r="C284" t="s">
        <v>21</v>
      </c>
      <c r="D284" t="s">
        <v>24</v>
      </c>
      <c r="E284" t="s">
        <v>25</v>
      </c>
      <c r="F284" t="s">
        <v>18</v>
      </c>
      <c r="G284">
        <v>2006</v>
      </c>
      <c r="H284">
        <v>10933.4</v>
      </c>
      <c r="I284">
        <v>10905.7</v>
      </c>
      <c r="J284">
        <v>38</v>
      </c>
      <c r="K284">
        <v>8.1</v>
      </c>
      <c r="L284">
        <v>7.4084914119999998E-2</v>
      </c>
      <c r="M284">
        <v>10925.3</v>
      </c>
      <c r="N284">
        <v>99.925915090000004</v>
      </c>
    </row>
    <row r="285" spans="1:14" x14ac:dyDescent="0.3">
      <c r="A285" t="s">
        <v>359</v>
      </c>
      <c r="B285" t="s">
        <v>14</v>
      </c>
      <c r="C285" t="s">
        <v>166</v>
      </c>
      <c r="D285" t="s">
        <v>167</v>
      </c>
      <c r="E285" t="s">
        <v>168</v>
      </c>
      <c r="F285" t="s">
        <v>48</v>
      </c>
      <c r="G285">
        <v>2011</v>
      </c>
      <c r="H285">
        <v>10914.2</v>
      </c>
      <c r="I285">
        <v>9203.4</v>
      </c>
      <c r="J285">
        <v>1721.9</v>
      </c>
      <c r="K285">
        <v>8573.2000000000007</v>
      </c>
      <c r="L285">
        <v>78.550878670000003</v>
      </c>
      <c r="M285">
        <v>2341</v>
      </c>
      <c r="N285">
        <v>21.449121330000001</v>
      </c>
    </row>
    <row r="286" spans="1:14" x14ac:dyDescent="0.3">
      <c r="A286" t="s">
        <v>360</v>
      </c>
      <c r="B286" t="s">
        <v>14</v>
      </c>
      <c r="C286" t="s">
        <v>128</v>
      </c>
      <c r="D286" t="s">
        <v>129</v>
      </c>
      <c r="E286" t="s">
        <v>291</v>
      </c>
      <c r="F286" t="s">
        <v>48</v>
      </c>
      <c r="G286">
        <v>1995</v>
      </c>
      <c r="H286">
        <v>10902.6</v>
      </c>
      <c r="I286">
        <v>10910.3</v>
      </c>
      <c r="J286">
        <v>0</v>
      </c>
      <c r="K286">
        <v>10773.4</v>
      </c>
      <c r="L286">
        <v>98.814961569999994</v>
      </c>
      <c r="M286">
        <v>129.19999999999999</v>
      </c>
      <c r="N286">
        <v>1.1850384309999999</v>
      </c>
    </row>
    <row r="287" spans="1:14" x14ac:dyDescent="0.3">
      <c r="A287" t="s">
        <v>361</v>
      </c>
      <c r="B287" t="s">
        <v>14</v>
      </c>
      <c r="C287" t="s">
        <v>33</v>
      </c>
      <c r="D287" t="s">
        <v>16</v>
      </c>
      <c r="E287" t="s">
        <v>22</v>
      </c>
      <c r="F287" t="s">
        <v>18</v>
      </c>
      <c r="G287">
        <v>2010</v>
      </c>
      <c r="H287">
        <v>10783.2</v>
      </c>
      <c r="I287">
        <v>7412.3</v>
      </c>
      <c r="J287">
        <v>3373.2</v>
      </c>
      <c r="K287">
        <v>5819.8</v>
      </c>
      <c r="L287">
        <v>53.970991910000002</v>
      </c>
      <c r="M287">
        <v>4963.3999999999996</v>
      </c>
      <c r="N287">
        <v>46.029008089999998</v>
      </c>
    </row>
    <row r="288" spans="1:14" x14ac:dyDescent="0.3">
      <c r="A288" t="s">
        <v>362</v>
      </c>
      <c r="B288" t="s">
        <v>14</v>
      </c>
      <c r="C288" t="s">
        <v>21</v>
      </c>
      <c r="D288" t="s">
        <v>24</v>
      </c>
      <c r="E288" t="s">
        <v>25</v>
      </c>
      <c r="F288" t="s">
        <v>18</v>
      </c>
      <c r="G288">
        <v>1999</v>
      </c>
      <c r="H288">
        <v>10776.2</v>
      </c>
      <c r="I288">
        <v>10712.5</v>
      </c>
      <c r="J288">
        <v>63.9</v>
      </c>
      <c r="K288">
        <v>291.89999999999998</v>
      </c>
      <c r="L288">
        <v>2.7087470539999998</v>
      </c>
      <c r="M288">
        <v>10484.299999999999</v>
      </c>
      <c r="N288">
        <v>97.291252950000001</v>
      </c>
    </row>
    <row r="289" spans="1:14" x14ac:dyDescent="0.3">
      <c r="A289" t="s">
        <v>363</v>
      </c>
      <c r="B289" t="s">
        <v>14</v>
      </c>
      <c r="C289" t="s">
        <v>21</v>
      </c>
      <c r="D289" t="s">
        <v>24</v>
      </c>
      <c r="E289" t="s">
        <v>25</v>
      </c>
      <c r="F289" t="s">
        <v>18</v>
      </c>
      <c r="G289">
        <v>2010</v>
      </c>
      <c r="H289">
        <v>10772</v>
      </c>
      <c r="I289">
        <v>595.6</v>
      </c>
      <c r="J289">
        <v>10180.6</v>
      </c>
      <c r="K289">
        <v>689.2</v>
      </c>
      <c r="L289">
        <v>6.3980690679999999</v>
      </c>
      <c r="M289">
        <v>10082.799999999999</v>
      </c>
      <c r="N289">
        <v>93.601930929999995</v>
      </c>
    </row>
    <row r="290" spans="1:14" x14ac:dyDescent="0.3">
      <c r="A290" t="s">
        <v>364</v>
      </c>
      <c r="B290" t="s">
        <v>14</v>
      </c>
      <c r="C290" t="s">
        <v>21</v>
      </c>
      <c r="D290" t="s">
        <v>16</v>
      </c>
      <c r="E290" t="s">
        <v>51</v>
      </c>
      <c r="F290" t="s">
        <v>48</v>
      </c>
      <c r="G290">
        <v>1984</v>
      </c>
      <c r="H290">
        <v>10771.3</v>
      </c>
      <c r="I290">
        <v>10772.2</v>
      </c>
      <c r="J290">
        <v>0.6</v>
      </c>
      <c r="K290">
        <v>10575.9</v>
      </c>
      <c r="L290">
        <v>98.185919990000002</v>
      </c>
      <c r="M290">
        <v>195.4</v>
      </c>
      <c r="N290">
        <v>1.814080009</v>
      </c>
    </row>
    <row r="291" spans="1:14" x14ac:dyDescent="0.3">
      <c r="A291" t="s">
        <v>365</v>
      </c>
      <c r="B291" t="s">
        <v>14</v>
      </c>
      <c r="C291" t="s">
        <v>21</v>
      </c>
      <c r="D291" t="s">
        <v>16</v>
      </c>
      <c r="E291" t="s">
        <v>51</v>
      </c>
      <c r="F291" t="s">
        <v>48</v>
      </c>
      <c r="G291">
        <v>2004</v>
      </c>
      <c r="H291">
        <v>10767.6</v>
      </c>
      <c r="I291">
        <v>1893.8</v>
      </c>
      <c r="J291">
        <v>8878.2000000000007</v>
      </c>
      <c r="K291">
        <v>10569.4</v>
      </c>
      <c r="L291">
        <v>98.159292690000001</v>
      </c>
      <c r="M291">
        <v>198.2</v>
      </c>
      <c r="N291">
        <v>1.840707307</v>
      </c>
    </row>
    <row r="292" spans="1:14" x14ac:dyDescent="0.3">
      <c r="A292" t="s">
        <v>366</v>
      </c>
      <c r="B292" t="s">
        <v>14</v>
      </c>
      <c r="C292" t="s">
        <v>21</v>
      </c>
      <c r="D292" t="s">
        <v>16</v>
      </c>
      <c r="E292" t="s">
        <v>51</v>
      </c>
      <c r="F292" t="s">
        <v>48</v>
      </c>
      <c r="G292">
        <v>1995</v>
      </c>
      <c r="H292">
        <v>10760.4</v>
      </c>
      <c r="I292">
        <v>10630.4</v>
      </c>
      <c r="J292">
        <v>133.80000000000001</v>
      </c>
      <c r="K292">
        <v>10584.7</v>
      </c>
      <c r="L292">
        <v>98.367161069999995</v>
      </c>
      <c r="M292">
        <v>175.7</v>
      </c>
      <c r="N292">
        <v>1.632838928</v>
      </c>
    </row>
    <row r="293" spans="1:14" x14ac:dyDescent="0.3">
      <c r="A293" t="s">
        <v>367</v>
      </c>
      <c r="B293" t="s">
        <v>20</v>
      </c>
      <c r="C293" t="s">
        <v>21</v>
      </c>
      <c r="D293" t="s">
        <v>16</v>
      </c>
      <c r="E293" t="s">
        <v>27</v>
      </c>
      <c r="F293" t="s">
        <v>18</v>
      </c>
      <c r="G293">
        <v>2018</v>
      </c>
      <c r="H293">
        <v>10756.4</v>
      </c>
      <c r="I293">
        <v>7776.1</v>
      </c>
      <c r="J293">
        <v>2980.3</v>
      </c>
      <c r="K293">
        <v>3834.9</v>
      </c>
      <c r="L293">
        <v>35.652262839999999</v>
      </c>
      <c r="M293">
        <v>6921.5</v>
      </c>
      <c r="N293">
        <v>64.347737159999994</v>
      </c>
    </row>
    <row r="294" spans="1:14" x14ac:dyDescent="0.3">
      <c r="A294" t="s">
        <v>368</v>
      </c>
      <c r="B294" t="s">
        <v>20</v>
      </c>
      <c r="C294" t="s">
        <v>21</v>
      </c>
      <c r="D294" t="s">
        <v>16</v>
      </c>
      <c r="E294" t="s">
        <v>27</v>
      </c>
      <c r="F294" t="s">
        <v>18</v>
      </c>
      <c r="G294">
        <v>2002</v>
      </c>
      <c r="H294">
        <v>10731.7</v>
      </c>
      <c r="I294">
        <v>6224.9</v>
      </c>
      <c r="J294">
        <v>4506.8</v>
      </c>
      <c r="K294">
        <v>3239.2</v>
      </c>
      <c r="L294">
        <v>30.183475130000001</v>
      </c>
      <c r="M294">
        <v>7492.5</v>
      </c>
      <c r="N294">
        <v>69.816524869999995</v>
      </c>
    </row>
    <row r="295" spans="1:14" x14ac:dyDescent="0.3">
      <c r="A295" t="s">
        <v>369</v>
      </c>
      <c r="B295" t="s">
        <v>20</v>
      </c>
      <c r="C295" t="s">
        <v>21</v>
      </c>
      <c r="D295" t="s">
        <v>16</v>
      </c>
      <c r="E295" t="s">
        <v>27</v>
      </c>
      <c r="F295" t="s">
        <v>18</v>
      </c>
      <c r="G295">
        <v>2014</v>
      </c>
      <c r="H295">
        <v>10712.8</v>
      </c>
      <c r="I295">
        <v>6060.2</v>
      </c>
      <c r="J295">
        <v>4663.3999999999996</v>
      </c>
      <c r="K295">
        <v>4257.3999999999996</v>
      </c>
      <c r="L295">
        <v>39.741244119999998</v>
      </c>
      <c r="M295">
        <v>6455.4</v>
      </c>
      <c r="N295">
        <v>60.258755880000002</v>
      </c>
    </row>
    <row r="296" spans="1:14" x14ac:dyDescent="0.3">
      <c r="A296" t="s">
        <v>370</v>
      </c>
      <c r="B296" t="s">
        <v>78</v>
      </c>
      <c r="C296" t="s">
        <v>33</v>
      </c>
      <c r="D296" t="s">
        <v>16</v>
      </c>
      <c r="E296" t="s">
        <v>22</v>
      </c>
      <c r="F296" t="s">
        <v>48</v>
      </c>
      <c r="G296">
        <v>2012</v>
      </c>
      <c r="H296">
        <v>10711.2</v>
      </c>
      <c r="I296">
        <v>10381.4</v>
      </c>
      <c r="J296">
        <v>333.5</v>
      </c>
      <c r="K296">
        <v>73.400000000000006</v>
      </c>
      <c r="L296">
        <v>0.68526402269999998</v>
      </c>
      <c r="M296">
        <v>10637.8</v>
      </c>
      <c r="N296">
        <v>99.314735979999995</v>
      </c>
    </row>
    <row r="297" spans="1:14" x14ac:dyDescent="0.3">
      <c r="A297" t="s">
        <v>371</v>
      </c>
      <c r="B297" t="s">
        <v>14</v>
      </c>
      <c r="C297" t="s">
        <v>33</v>
      </c>
      <c r="D297" t="s">
        <v>16</v>
      </c>
      <c r="E297" t="s">
        <v>51</v>
      </c>
      <c r="F297" t="s">
        <v>18</v>
      </c>
      <c r="G297">
        <v>1967</v>
      </c>
      <c r="H297">
        <v>10696.6</v>
      </c>
      <c r="I297">
        <v>8379.6</v>
      </c>
      <c r="J297">
        <v>2317</v>
      </c>
      <c r="K297">
        <v>8204.5</v>
      </c>
      <c r="L297">
        <v>76.701942669999994</v>
      </c>
      <c r="M297">
        <v>2492.1</v>
      </c>
      <c r="N297">
        <v>23.298057329999999</v>
      </c>
    </row>
    <row r="298" spans="1:14" x14ac:dyDescent="0.3">
      <c r="A298" t="s">
        <v>372</v>
      </c>
      <c r="B298" t="s">
        <v>14</v>
      </c>
      <c r="C298" t="s">
        <v>204</v>
      </c>
      <c r="D298" t="s">
        <v>16</v>
      </c>
      <c r="E298" t="s">
        <v>51</v>
      </c>
      <c r="F298" t="s">
        <v>48</v>
      </c>
      <c r="G298">
        <v>1979</v>
      </c>
      <c r="H298">
        <v>10616.1</v>
      </c>
      <c r="I298">
        <v>10020.5</v>
      </c>
      <c r="J298">
        <v>599.29999999999995</v>
      </c>
      <c r="K298">
        <v>9771.2999999999993</v>
      </c>
      <c r="L298">
        <v>92.042275410000002</v>
      </c>
      <c r="M298">
        <v>844.8</v>
      </c>
      <c r="N298">
        <v>7.9577245879999996</v>
      </c>
    </row>
    <row r="299" spans="1:14" x14ac:dyDescent="0.3">
      <c r="A299" t="s">
        <v>373</v>
      </c>
      <c r="B299" t="s">
        <v>14</v>
      </c>
      <c r="C299" t="s">
        <v>21</v>
      </c>
      <c r="D299" t="s">
        <v>24</v>
      </c>
      <c r="E299" t="s">
        <v>151</v>
      </c>
      <c r="F299" t="s">
        <v>48</v>
      </c>
      <c r="G299">
        <v>1996</v>
      </c>
      <c r="H299">
        <v>10607</v>
      </c>
      <c r="I299">
        <v>10520.3</v>
      </c>
      <c r="J299">
        <v>92.7</v>
      </c>
      <c r="K299">
        <v>8371.2999999999993</v>
      </c>
      <c r="L299">
        <v>78.922409729999998</v>
      </c>
      <c r="M299">
        <v>2235.6999999999998</v>
      </c>
      <c r="N299">
        <v>21.077590270000002</v>
      </c>
    </row>
    <row r="300" spans="1:14" x14ac:dyDescent="0.3">
      <c r="A300" t="s">
        <v>374</v>
      </c>
      <c r="B300" t="s">
        <v>14</v>
      </c>
      <c r="C300" t="s">
        <v>21</v>
      </c>
      <c r="D300" t="s">
        <v>16</v>
      </c>
      <c r="E300" t="s">
        <v>51</v>
      </c>
      <c r="F300" t="s">
        <v>48</v>
      </c>
      <c r="G300">
        <v>1994</v>
      </c>
      <c r="H300">
        <v>10571.1</v>
      </c>
      <c r="I300">
        <v>10570.2</v>
      </c>
      <c r="J300">
        <v>4.5</v>
      </c>
      <c r="K300">
        <v>10555.6</v>
      </c>
      <c r="L300">
        <v>99.853373820000002</v>
      </c>
      <c r="M300">
        <v>15.5</v>
      </c>
      <c r="N300">
        <v>0.14662617889999999</v>
      </c>
    </row>
    <row r="301" spans="1:14" x14ac:dyDescent="0.3">
      <c r="A301" t="s">
        <v>375</v>
      </c>
      <c r="B301" t="s">
        <v>14</v>
      </c>
      <c r="C301" t="s">
        <v>33</v>
      </c>
      <c r="D301" t="s">
        <v>16</v>
      </c>
      <c r="E301" t="s">
        <v>51</v>
      </c>
      <c r="F301" t="s">
        <v>48</v>
      </c>
      <c r="G301">
        <v>2012</v>
      </c>
      <c r="H301">
        <v>10489.6</v>
      </c>
      <c r="I301">
        <v>10191.700000000001</v>
      </c>
      <c r="J301">
        <v>301.5</v>
      </c>
      <c r="K301">
        <v>10165.9</v>
      </c>
      <c r="L301">
        <v>96.914086330000003</v>
      </c>
      <c r="M301">
        <v>323.7</v>
      </c>
      <c r="N301">
        <v>3.0859136669999998</v>
      </c>
    </row>
    <row r="302" spans="1:14" x14ac:dyDescent="0.3">
      <c r="A302" t="s">
        <v>376</v>
      </c>
      <c r="B302" t="s">
        <v>20</v>
      </c>
      <c r="C302" t="s">
        <v>222</v>
      </c>
      <c r="D302" t="s">
        <v>24</v>
      </c>
      <c r="E302" t="s">
        <v>82</v>
      </c>
      <c r="F302" t="s">
        <v>18</v>
      </c>
      <c r="G302">
        <v>2019</v>
      </c>
      <c r="H302">
        <v>10476.9</v>
      </c>
      <c r="I302">
        <v>3977.8</v>
      </c>
      <c r="J302">
        <v>6499.1</v>
      </c>
      <c r="K302">
        <v>2597.3000000000002</v>
      </c>
      <c r="L302">
        <v>24.790730079999999</v>
      </c>
      <c r="M302">
        <v>7879.6</v>
      </c>
      <c r="N302">
        <v>75.209269919999997</v>
      </c>
    </row>
    <row r="303" spans="1:14" x14ac:dyDescent="0.3">
      <c r="A303" t="s">
        <v>377</v>
      </c>
      <c r="B303" t="s">
        <v>14</v>
      </c>
      <c r="C303" t="s">
        <v>33</v>
      </c>
      <c r="D303" t="s">
        <v>16</v>
      </c>
      <c r="E303" t="s">
        <v>17</v>
      </c>
      <c r="F303" t="s">
        <v>18</v>
      </c>
      <c r="G303">
        <v>2006</v>
      </c>
      <c r="H303">
        <v>10449</v>
      </c>
      <c r="I303">
        <v>7062.7</v>
      </c>
      <c r="J303">
        <v>3394.7</v>
      </c>
      <c r="K303">
        <v>6337.8</v>
      </c>
      <c r="L303">
        <v>60.654608099999997</v>
      </c>
      <c r="M303">
        <v>4111.2</v>
      </c>
      <c r="N303">
        <v>39.345391900000003</v>
      </c>
    </row>
    <row r="304" spans="1:14" x14ac:dyDescent="0.3">
      <c r="A304" t="s">
        <v>378</v>
      </c>
      <c r="B304" t="s">
        <v>14</v>
      </c>
      <c r="C304" t="s">
        <v>21</v>
      </c>
      <c r="D304" t="s">
        <v>16</v>
      </c>
      <c r="E304" t="s">
        <v>27</v>
      </c>
      <c r="F304" t="s">
        <v>18</v>
      </c>
      <c r="G304">
        <v>2015</v>
      </c>
      <c r="H304">
        <v>10368.700000000001</v>
      </c>
      <c r="I304">
        <v>9179.2000000000007</v>
      </c>
      <c r="J304">
        <v>1201.2</v>
      </c>
      <c r="K304">
        <v>8970.6</v>
      </c>
      <c r="L304">
        <v>86.516149569999996</v>
      </c>
      <c r="M304">
        <v>1398.1</v>
      </c>
      <c r="N304">
        <v>13.48385043</v>
      </c>
    </row>
    <row r="305" spans="1:14" x14ac:dyDescent="0.3">
      <c r="A305" t="s">
        <v>379</v>
      </c>
      <c r="B305" t="s">
        <v>14</v>
      </c>
      <c r="C305" t="s">
        <v>21</v>
      </c>
      <c r="D305" t="s">
        <v>24</v>
      </c>
      <c r="E305" t="s">
        <v>25</v>
      </c>
      <c r="F305" t="s">
        <v>18</v>
      </c>
      <c r="G305">
        <v>2004</v>
      </c>
      <c r="H305">
        <v>10352.799999999999</v>
      </c>
      <c r="I305">
        <v>1937.7</v>
      </c>
      <c r="J305">
        <v>8415.1</v>
      </c>
      <c r="K305">
        <v>410.2</v>
      </c>
      <c r="L305">
        <v>3.962213121</v>
      </c>
      <c r="M305">
        <v>9942.6</v>
      </c>
      <c r="N305">
        <v>96.037786879999999</v>
      </c>
    </row>
    <row r="306" spans="1:14" x14ac:dyDescent="0.3">
      <c r="A306" t="s">
        <v>380</v>
      </c>
      <c r="B306" t="s">
        <v>14</v>
      </c>
      <c r="C306" t="s">
        <v>381</v>
      </c>
      <c r="D306" t="s">
        <v>16</v>
      </c>
      <c r="E306" t="s">
        <v>22</v>
      </c>
      <c r="F306" t="s">
        <v>18</v>
      </c>
      <c r="G306">
        <v>2006</v>
      </c>
      <c r="H306">
        <v>10332.799999999999</v>
      </c>
      <c r="I306">
        <v>7323</v>
      </c>
      <c r="J306">
        <v>3009.8</v>
      </c>
      <c r="K306">
        <v>6153.5</v>
      </c>
      <c r="L306">
        <v>59.55307371</v>
      </c>
      <c r="M306">
        <v>4179.3</v>
      </c>
      <c r="N306">
        <v>40.44692629</v>
      </c>
    </row>
    <row r="307" spans="1:14" x14ac:dyDescent="0.3">
      <c r="A307" t="s">
        <v>382</v>
      </c>
      <c r="B307" t="s">
        <v>14</v>
      </c>
      <c r="C307" t="s">
        <v>21</v>
      </c>
      <c r="D307" t="s">
        <v>16</v>
      </c>
      <c r="E307" t="s">
        <v>22</v>
      </c>
      <c r="F307" t="s">
        <v>18</v>
      </c>
      <c r="G307">
        <v>2017</v>
      </c>
      <c r="H307">
        <v>10313.5</v>
      </c>
      <c r="I307">
        <v>10145.1</v>
      </c>
      <c r="J307">
        <v>172</v>
      </c>
      <c r="K307">
        <v>10141.5</v>
      </c>
      <c r="L307">
        <v>98.332282930000005</v>
      </c>
      <c r="M307">
        <v>172</v>
      </c>
      <c r="N307">
        <v>1.6677170699999999</v>
      </c>
    </row>
    <row r="308" spans="1:14" x14ac:dyDescent="0.3">
      <c r="A308" t="s">
        <v>383</v>
      </c>
      <c r="B308" t="s">
        <v>14</v>
      </c>
      <c r="C308" t="s">
        <v>21</v>
      </c>
      <c r="D308" t="s">
        <v>16</v>
      </c>
      <c r="E308" t="s">
        <v>17</v>
      </c>
      <c r="F308" t="s">
        <v>18</v>
      </c>
      <c r="G308">
        <v>1999</v>
      </c>
      <c r="H308">
        <v>10293</v>
      </c>
      <c r="I308">
        <v>6016.2</v>
      </c>
      <c r="J308">
        <v>4284.3</v>
      </c>
      <c r="K308">
        <v>745.9</v>
      </c>
      <c r="L308">
        <v>7.2466724960000004</v>
      </c>
      <c r="M308">
        <v>9547.1</v>
      </c>
      <c r="N308">
        <v>92.753327499999997</v>
      </c>
    </row>
    <row r="309" spans="1:14" x14ac:dyDescent="0.3">
      <c r="A309" t="s">
        <v>384</v>
      </c>
      <c r="B309" t="s">
        <v>14</v>
      </c>
      <c r="C309" t="s">
        <v>348</v>
      </c>
      <c r="D309" t="s">
        <v>16</v>
      </c>
      <c r="E309" t="s">
        <v>349</v>
      </c>
      <c r="F309" t="s">
        <v>18</v>
      </c>
      <c r="G309">
        <v>2012</v>
      </c>
      <c r="H309">
        <v>10290.6</v>
      </c>
      <c r="I309">
        <v>2289.1999999999998</v>
      </c>
      <c r="J309">
        <v>8003.8</v>
      </c>
      <c r="K309">
        <v>4395.8</v>
      </c>
      <c r="L309">
        <v>42.716654030000001</v>
      </c>
      <c r="M309">
        <v>5894.8</v>
      </c>
      <c r="N309">
        <v>57.283345969999999</v>
      </c>
    </row>
    <row r="310" spans="1:14" x14ac:dyDescent="0.3">
      <c r="A310" t="s">
        <v>385</v>
      </c>
      <c r="B310" t="s">
        <v>14</v>
      </c>
      <c r="C310" t="s">
        <v>386</v>
      </c>
      <c r="D310" t="s">
        <v>24</v>
      </c>
      <c r="E310" t="s">
        <v>82</v>
      </c>
      <c r="F310" t="s">
        <v>18</v>
      </c>
      <c r="G310">
        <v>2009</v>
      </c>
      <c r="H310">
        <v>10234.299999999999</v>
      </c>
      <c r="I310">
        <v>8102.5</v>
      </c>
      <c r="J310">
        <v>2138.3000000000002</v>
      </c>
      <c r="K310">
        <v>6955</v>
      </c>
      <c r="L310">
        <v>67.957749919999998</v>
      </c>
      <c r="M310">
        <v>3279.3</v>
      </c>
      <c r="N310">
        <v>32.042250080000002</v>
      </c>
    </row>
    <row r="311" spans="1:14" x14ac:dyDescent="0.3">
      <c r="A311" t="s">
        <v>387</v>
      </c>
      <c r="B311" t="s">
        <v>14</v>
      </c>
      <c r="C311" t="s">
        <v>21</v>
      </c>
      <c r="D311" t="s">
        <v>16</v>
      </c>
      <c r="E311" t="s">
        <v>17</v>
      </c>
      <c r="F311" t="s">
        <v>18</v>
      </c>
      <c r="G311">
        <v>2003</v>
      </c>
      <c r="H311">
        <v>10231.200000000001</v>
      </c>
      <c r="I311">
        <v>7551.1</v>
      </c>
      <c r="J311">
        <v>2685</v>
      </c>
      <c r="K311">
        <v>2118.4</v>
      </c>
      <c r="L311">
        <v>20.705293609999998</v>
      </c>
      <c r="M311">
        <v>8112.8</v>
      </c>
      <c r="N311">
        <v>79.294706390000002</v>
      </c>
    </row>
    <row r="312" spans="1:14" x14ac:dyDescent="0.3">
      <c r="A312" t="s">
        <v>388</v>
      </c>
      <c r="B312" t="s">
        <v>14</v>
      </c>
      <c r="C312" t="s">
        <v>21</v>
      </c>
      <c r="D312" t="s">
        <v>16</v>
      </c>
      <c r="E312" t="s">
        <v>51</v>
      </c>
      <c r="F312" t="s">
        <v>48</v>
      </c>
      <c r="G312">
        <v>2002</v>
      </c>
      <c r="H312">
        <v>10180.200000000001</v>
      </c>
      <c r="I312">
        <v>10185.799999999999</v>
      </c>
      <c r="J312">
        <v>0</v>
      </c>
      <c r="K312">
        <v>10132.799999999999</v>
      </c>
      <c r="L312">
        <v>99.534390290000005</v>
      </c>
      <c r="M312">
        <v>47.4</v>
      </c>
      <c r="N312">
        <v>0.46560971299999998</v>
      </c>
    </row>
    <row r="313" spans="1:14" x14ac:dyDescent="0.3">
      <c r="A313" t="s">
        <v>389</v>
      </c>
      <c r="B313" t="s">
        <v>20</v>
      </c>
      <c r="C313" t="s">
        <v>15</v>
      </c>
      <c r="D313" t="s">
        <v>16</v>
      </c>
      <c r="E313" t="s">
        <v>22</v>
      </c>
      <c r="F313" t="s">
        <v>18</v>
      </c>
      <c r="G313">
        <v>2015</v>
      </c>
      <c r="H313">
        <v>10179.299999999999</v>
      </c>
      <c r="I313">
        <v>6431.1</v>
      </c>
      <c r="J313">
        <v>3750.4</v>
      </c>
      <c r="K313">
        <v>5420.2</v>
      </c>
      <c r="L313">
        <v>53.247276339999999</v>
      </c>
      <c r="M313">
        <v>4759.1000000000004</v>
      </c>
      <c r="N313">
        <v>46.752723660000001</v>
      </c>
    </row>
    <row r="314" spans="1:14" x14ac:dyDescent="0.3">
      <c r="A314" t="s">
        <v>390</v>
      </c>
      <c r="B314" t="s">
        <v>14</v>
      </c>
      <c r="C314" t="s">
        <v>71</v>
      </c>
      <c r="D314" t="s">
        <v>72</v>
      </c>
      <c r="E314" t="s">
        <v>73</v>
      </c>
      <c r="F314" t="s">
        <v>48</v>
      </c>
      <c r="G314">
        <v>1999</v>
      </c>
      <c r="H314">
        <v>10165</v>
      </c>
      <c r="I314">
        <v>8858.9</v>
      </c>
      <c r="J314">
        <v>1312.6</v>
      </c>
      <c r="K314">
        <v>6.7</v>
      </c>
      <c r="L314">
        <v>6.591244466E-2</v>
      </c>
      <c r="M314">
        <v>10158.299999999999</v>
      </c>
      <c r="N314">
        <v>99.934087559999995</v>
      </c>
    </row>
    <row r="315" spans="1:14" x14ac:dyDescent="0.3">
      <c r="A315" t="s">
        <v>391</v>
      </c>
      <c r="B315" t="s">
        <v>14</v>
      </c>
      <c r="C315" t="s">
        <v>222</v>
      </c>
      <c r="D315" t="s">
        <v>24</v>
      </c>
      <c r="E315" t="s">
        <v>17</v>
      </c>
      <c r="F315" t="s">
        <v>18</v>
      </c>
      <c r="G315">
        <v>2017</v>
      </c>
      <c r="H315">
        <v>10160.5</v>
      </c>
      <c r="I315">
        <v>8082</v>
      </c>
      <c r="J315">
        <v>2081.6999999999998</v>
      </c>
      <c r="K315">
        <v>6415.1</v>
      </c>
      <c r="L315">
        <v>63.137640859999998</v>
      </c>
      <c r="M315">
        <v>3745.4</v>
      </c>
      <c r="N315">
        <v>36.862359140000002</v>
      </c>
    </row>
    <row r="316" spans="1:14" x14ac:dyDescent="0.3">
      <c r="A316" t="s">
        <v>392</v>
      </c>
      <c r="B316" t="s">
        <v>14</v>
      </c>
      <c r="C316" t="s">
        <v>89</v>
      </c>
      <c r="D316" t="s">
        <v>24</v>
      </c>
      <c r="E316" t="s">
        <v>90</v>
      </c>
      <c r="F316" t="s">
        <v>48</v>
      </c>
      <c r="G316">
        <v>1997</v>
      </c>
      <c r="H316">
        <v>10147.9</v>
      </c>
      <c r="I316">
        <v>10065.9</v>
      </c>
      <c r="J316">
        <v>89.1</v>
      </c>
      <c r="K316">
        <v>9956.7999999999993</v>
      </c>
      <c r="L316">
        <v>98.116851760000003</v>
      </c>
      <c r="M316">
        <v>191.1</v>
      </c>
      <c r="N316">
        <v>1.883148238</v>
      </c>
    </row>
    <row r="317" spans="1:14" x14ac:dyDescent="0.3">
      <c r="A317" t="s">
        <v>393</v>
      </c>
      <c r="B317" t="s">
        <v>14</v>
      </c>
      <c r="C317" t="s">
        <v>21</v>
      </c>
      <c r="D317" t="s">
        <v>16</v>
      </c>
      <c r="E317" t="s">
        <v>17</v>
      </c>
      <c r="F317" t="s">
        <v>18</v>
      </c>
      <c r="G317">
        <v>2015</v>
      </c>
      <c r="H317">
        <v>10141.700000000001</v>
      </c>
      <c r="I317">
        <v>9084.2000000000007</v>
      </c>
      <c r="J317">
        <v>1067.9000000000001</v>
      </c>
      <c r="K317">
        <v>7696.5</v>
      </c>
      <c r="L317">
        <v>75.889643750000005</v>
      </c>
      <c r="M317">
        <v>2445.1999999999998</v>
      </c>
      <c r="N317">
        <v>24.110356249999999</v>
      </c>
    </row>
    <row r="318" spans="1:14" x14ac:dyDescent="0.3">
      <c r="A318" t="s">
        <v>394</v>
      </c>
      <c r="B318" t="s">
        <v>14</v>
      </c>
      <c r="C318" t="s">
        <v>166</v>
      </c>
      <c r="D318" t="s">
        <v>167</v>
      </c>
      <c r="E318" t="s">
        <v>168</v>
      </c>
      <c r="F318" t="s">
        <v>48</v>
      </c>
      <c r="G318">
        <v>2010</v>
      </c>
      <c r="H318">
        <v>10122.5</v>
      </c>
      <c r="I318">
        <v>8138.6</v>
      </c>
      <c r="J318">
        <v>1988.4</v>
      </c>
      <c r="K318">
        <v>5614.2</v>
      </c>
      <c r="L318">
        <v>55.462583350000003</v>
      </c>
      <c r="M318">
        <v>4508.3</v>
      </c>
      <c r="N318">
        <v>44.537416649999997</v>
      </c>
    </row>
    <row r="319" spans="1:14" x14ac:dyDescent="0.3">
      <c r="A319" t="s">
        <v>395</v>
      </c>
      <c r="B319" t="s">
        <v>14</v>
      </c>
      <c r="C319" t="s">
        <v>166</v>
      </c>
      <c r="D319" t="s">
        <v>167</v>
      </c>
      <c r="E319" t="s">
        <v>60</v>
      </c>
      <c r="F319" t="s">
        <v>18</v>
      </c>
      <c r="G319">
        <v>2004</v>
      </c>
      <c r="H319">
        <v>10115.700000000001</v>
      </c>
      <c r="I319">
        <v>9351.5</v>
      </c>
      <c r="J319">
        <v>766.2</v>
      </c>
      <c r="K319">
        <v>269.8</v>
      </c>
      <c r="L319">
        <v>2.667141177</v>
      </c>
      <c r="M319">
        <v>9845.9</v>
      </c>
      <c r="N319">
        <v>97.332858819999998</v>
      </c>
    </row>
    <row r="320" spans="1:14" x14ac:dyDescent="0.3">
      <c r="A320" t="s">
        <v>396</v>
      </c>
      <c r="B320" t="s">
        <v>14</v>
      </c>
      <c r="C320" t="s">
        <v>33</v>
      </c>
      <c r="D320" t="s">
        <v>16</v>
      </c>
      <c r="E320" t="s">
        <v>51</v>
      </c>
      <c r="F320" t="s">
        <v>48</v>
      </c>
      <c r="G320">
        <v>2006</v>
      </c>
      <c r="H320">
        <v>10108</v>
      </c>
      <c r="I320">
        <v>8333.7000000000007</v>
      </c>
      <c r="J320">
        <v>1782</v>
      </c>
      <c r="K320">
        <v>8006.1</v>
      </c>
      <c r="L320">
        <v>79.205579740000005</v>
      </c>
      <c r="M320">
        <v>2101.9</v>
      </c>
      <c r="N320">
        <v>20.794420259999999</v>
      </c>
    </row>
    <row r="321" spans="1:14" x14ac:dyDescent="0.3">
      <c r="A321" t="s">
        <v>397</v>
      </c>
      <c r="B321" t="s">
        <v>14</v>
      </c>
      <c r="C321" t="s">
        <v>33</v>
      </c>
      <c r="D321" t="s">
        <v>16</v>
      </c>
      <c r="E321" t="s">
        <v>17</v>
      </c>
      <c r="F321" t="s">
        <v>18</v>
      </c>
      <c r="G321">
        <v>2014</v>
      </c>
      <c r="H321">
        <v>10095.5</v>
      </c>
      <c r="I321">
        <v>6587</v>
      </c>
      <c r="J321">
        <v>3508.5</v>
      </c>
      <c r="K321">
        <v>5050.8999999999996</v>
      </c>
      <c r="L321">
        <v>50.031202020000002</v>
      </c>
      <c r="M321">
        <v>5044.6000000000004</v>
      </c>
      <c r="N321">
        <v>49.968797979999998</v>
      </c>
    </row>
    <row r="322" spans="1:14" x14ac:dyDescent="0.3">
      <c r="A322" t="s">
        <v>398</v>
      </c>
      <c r="B322" t="s">
        <v>78</v>
      </c>
      <c r="C322" t="s">
        <v>21</v>
      </c>
      <c r="D322" t="s">
        <v>16</v>
      </c>
      <c r="E322" t="s">
        <v>139</v>
      </c>
      <c r="F322" t="s">
        <v>48</v>
      </c>
      <c r="G322">
        <v>2009</v>
      </c>
      <c r="H322">
        <v>10048.299999999999</v>
      </c>
      <c r="I322">
        <v>3456.4</v>
      </c>
      <c r="J322">
        <v>6591.9</v>
      </c>
      <c r="K322">
        <v>257</v>
      </c>
      <c r="L322">
        <v>2.5576465669999999</v>
      </c>
      <c r="M322">
        <v>9791.2999999999993</v>
      </c>
      <c r="N322">
        <v>97.442353429999997</v>
      </c>
    </row>
    <row r="323" spans="1:14" x14ac:dyDescent="0.3">
      <c r="A323" t="s">
        <v>399</v>
      </c>
      <c r="B323" t="s">
        <v>14</v>
      </c>
      <c r="C323" t="s">
        <v>15</v>
      </c>
      <c r="D323" t="s">
        <v>16</v>
      </c>
      <c r="E323" t="s">
        <v>51</v>
      </c>
      <c r="F323" t="s">
        <v>18</v>
      </c>
      <c r="G323">
        <v>2012</v>
      </c>
      <c r="H323">
        <v>9970.2000000000007</v>
      </c>
      <c r="I323">
        <v>9813.7000000000007</v>
      </c>
      <c r="J323">
        <v>161.5</v>
      </c>
      <c r="K323">
        <v>9795.7999999999993</v>
      </c>
      <c r="L323">
        <v>98.250787349999996</v>
      </c>
      <c r="M323">
        <v>174.4</v>
      </c>
      <c r="N323">
        <v>1.7492126539999999</v>
      </c>
    </row>
    <row r="324" spans="1:14" x14ac:dyDescent="0.3">
      <c r="A324" t="s">
        <v>400</v>
      </c>
      <c r="B324" t="s">
        <v>14</v>
      </c>
      <c r="C324" t="s">
        <v>21</v>
      </c>
      <c r="D324" t="s">
        <v>16</v>
      </c>
      <c r="E324" t="s">
        <v>22</v>
      </c>
      <c r="F324" t="s">
        <v>18</v>
      </c>
      <c r="G324">
        <v>2021</v>
      </c>
      <c r="H324">
        <v>9949.6</v>
      </c>
      <c r="I324">
        <v>9956.4</v>
      </c>
      <c r="J324">
        <v>0</v>
      </c>
      <c r="K324">
        <v>9911.9</v>
      </c>
      <c r="L324">
        <v>99.621090300000006</v>
      </c>
      <c r="M324">
        <v>37.700000000000003</v>
      </c>
      <c r="N324">
        <v>0.37890970489999998</v>
      </c>
    </row>
    <row r="325" spans="1:14" x14ac:dyDescent="0.3">
      <c r="A325" t="s">
        <v>401</v>
      </c>
      <c r="B325" t="s">
        <v>14</v>
      </c>
      <c r="C325" t="s">
        <v>21</v>
      </c>
      <c r="D325" t="s">
        <v>24</v>
      </c>
      <c r="E325" t="s">
        <v>25</v>
      </c>
      <c r="F325" t="s">
        <v>18</v>
      </c>
      <c r="G325">
        <v>2014</v>
      </c>
      <c r="H325">
        <v>9948.7000000000007</v>
      </c>
      <c r="I325">
        <v>4105.3</v>
      </c>
      <c r="J325">
        <v>5843.4</v>
      </c>
      <c r="K325">
        <v>471.7</v>
      </c>
      <c r="L325">
        <v>4.7413229870000002</v>
      </c>
      <c r="M325">
        <v>9477</v>
      </c>
      <c r="N325">
        <v>95.25867701</v>
      </c>
    </row>
    <row r="326" spans="1:14" x14ac:dyDescent="0.3">
      <c r="A326" t="s">
        <v>402</v>
      </c>
      <c r="B326" t="s">
        <v>14</v>
      </c>
      <c r="C326" t="s">
        <v>15</v>
      </c>
      <c r="D326" t="s">
        <v>16</v>
      </c>
      <c r="E326" t="s">
        <v>51</v>
      </c>
      <c r="F326" t="s">
        <v>48</v>
      </c>
      <c r="G326">
        <v>1996</v>
      </c>
      <c r="H326">
        <v>9933.4</v>
      </c>
      <c r="I326">
        <v>9932.9</v>
      </c>
      <c r="J326">
        <v>6.1</v>
      </c>
      <c r="K326">
        <v>9864.7000000000007</v>
      </c>
      <c r="L326">
        <v>99.308393899999999</v>
      </c>
      <c r="M326">
        <v>68.7</v>
      </c>
      <c r="N326">
        <v>0.69160609660000005</v>
      </c>
    </row>
    <row r="327" spans="1:14" x14ac:dyDescent="0.3">
      <c r="A327" t="s">
        <v>403</v>
      </c>
      <c r="B327" t="s">
        <v>14</v>
      </c>
      <c r="C327" t="s">
        <v>21</v>
      </c>
      <c r="D327" t="s">
        <v>24</v>
      </c>
      <c r="E327" t="s">
        <v>82</v>
      </c>
      <c r="F327" t="s">
        <v>18</v>
      </c>
      <c r="G327">
        <v>1988</v>
      </c>
      <c r="H327">
        <v>9914.5</v>
      </c>
      <c r="I327">
        <v>6239</v>
      </c>
      <c r="J327">
        <v>3689.5</v>
      </c>
      <c r="K327">
        <v>5931.4</v>
      </c>
      <c r="L327">
        <v>59.82550809</v>
      </c>
      <c r="M327">
        <v>3983.1</v>
      </c>
      <c r="N327">
        <v>40.17449191</v>
      </c>
    </row>
    <row r="328" spans="1:14" x14ac:dyDescent="0.3">
      <c r="A328" t="s">
        <v>404</v>
      </c>
      <c r="B328" t="s">
        <v>78</v>
      </c>
      <c r="C328" t="s">
        <v>89</v>
      </c>
      <c r="D328" t="s">
        <v>24</v>
      </c>
      <c r="E328" t="s">
        <v>51</v>
      </c>
      <c r="F328" t="s">
        <v>48</v>
      </c>
      <c r="G328">
        <v>1987</v>
      </c>
      <c r="H328">
        <v>9914.4</v>
      </c>
      <c r="I328">
        <v>9921.1</v>
      </c>
      <c r="J328">
        <v>6.1</v>
      </c>
      <c r="K328">
        <v>7817.7</v>
      </c>
      <c r="L328">
        <v>78.851972889999999</v>
      </c>
      <c r="M328">
        <v>2096.6999999999998</v>
      </c>
      <c r="N328">
        <v>21.148027110000001</v>
      </c>
    </row>
    <row r="329" spans="1:14" x14ac:dyDescent="0.3">
      <c r="A329" t="s">
        <v>405</v>
      </c>
      <c r="B329" t="s">
        <v>14</v>
      </c>
      <c r="C329" t="s">
        <v>33</v>
      </c>
      <c r="D329" t="s">
        <v>16</v>
      </c>
      <c r="E329" t="s">
        <v>51</v>
      </c>
      <c r="F329" t="s">
        <v>48</v>
      </c>
      <c r="G329">
        <v>1969</v>
      </c>
      <c r="H329">
        <v>9909.5</v>
      </c>
      <c r="I329">
        <v>9912.7999999999993</v>
      </c>
      <c r="J329">
        <v>0</v>
      </c>
      <c r="K329">
        <v>9909.5</v>
      </c>
      <c r="L329">
        <v>100</v>
      </c>
      <c r="M329">
        <v>0</v>
      </c>
      <c r="N329">
        <v>0</v>
      </c>
    </row>
    <row r="330" spans="1:14" x14ac:dyDescent="0.3">
      <c r="A330" t="s">
        <v>406</v>
      </c>
      <c r="B330" t="s">
        <v>78</v>
      </c>
      <c r="C330" t="s">
        <v>407</v>
      </c>
      <c r="D330" t="s">
        <v>408</v>
      </c>
      <c r="E330" t="s">
        <v>51</v>
      </c>
      <c r="F330" t="s">
        <v>48</v>
      </c>
      <c r="G330">
        <v>2017</v>
      </c>
      <c r="H330">
        <v>9899.4</v>
      </c>
      <c r="I330">
        <v>9883</v>
      </c>
      <c r="J330">
        <v>20.100000000000001</v>
      </c>
      <c r="K330">
        <v>9351.9</v>
      </c>
      <c r="L330">
        <v>94.46936178</v>
      </c>
      <c r="M330">
        <v>547.5</v>
      </c>
      <c r="N330">
        <v>5.5306382200000002</v>
      </c>
    </row>
    <row r="331" spans="1:14" x14ac:dyDescent="0.3">
      <c r="A331" t="s">
        <v>409</v>
      </c>
      <c r="B331" t="s">
        <v>14</v>
      </c>
      <c r="C331" t="s">
        <v>21</v>
      </c>
      <c r="D331" t="s">
        <v>16</v>
      </c>
      <c r="E331" t="s">
        <v>98</v>
      </c>
      <c r="F331" t="s">
        <v>48</v>
      </c>
      <c r="G331">
        <v>2010</v>
      </c>
      <c r="H331">
        <v>9869.2999999999993</v>
      </c>
      <c r="I331">
        <v>6437</v>
      </c>
      <c r="J331">
        <v>3432.3</v>
      </c>
      <c r="K331">
        <v>4558.7</v>
      </c>
      <c r="L331">
        <v>46.190712609999999</v>
      </c>
      <c r="M331">
        <v>5310.6</v>
      </c>
      <c r="N331">
        <v>53.809287390000001</v>
      </c>
    </row>
    <row r="332" spans="1:14" x14ac:dyDescent="0.3">
      <c r="A332" t="s">
        <v>410</v>
      </c>
      <c r="B332" t="s">
        <v>14</v>
      </c>
      <c r="C332" t="s">
        <v>21</v>
      </c>
      <c r="D332" t="s">
        <v>24</v>
      </c>
      <c r="E332" t="s">
        <v>82</v>
      </c>
      <c r="F332" t="s">
        <v>18</v>
      </c>
      <c r="G332">
        <v>1998</v>
      </c>
      <c r="H332">
        <v>9862.6</v>
      </c>
      <c r="I332">
        <v>4889.8</v>
      </c>
      <c r="J332">
        <v>4976.3999999999996</v>
      </c>
      <c r="K332">
        <v>1538.9</v>
      </c>
      <c r="L332">
        <v>15.60339059</v>
      </c>
      <c r="M332">
        <v>8323.7000000000007</v>
      </c>
      <c r="N332">
        <v>84.396609409999996</v>
      </c>
    </row>
    <row r="333" spans="1:14" x14ac:dyDescent="0.3">
      <c r="A333" t="s">
        <v>411</v>
      </c>
      <c r="B333" t="s">
        <v>20</v>
      </c>
      <c r="C333" t="s">
        <v>33</v>
      </c>
      <c r="D333" t="s">
        <v>16</v>
      </c>
      <c r="E333" t="s">
        <v>22</v>
      </c>
      <c r="F333" t="s">
        <v>18</v>
      </c>
      <c r="G333">
        <v>2014</v>
      </c>
      <c r="H333">
        <v>9859.6</v>
      </c>
      <c r="I333">
        <v>4832.5</v>
      </c>
      <c r="J333">
        <v>5032.8999999999996</v>
      </c>
      <c r="K333">
        <v>2441.1</v>
      </c>
      <c r="L333">
        <v>24.758610900000001</v>
      </c>
      <c r="M333">
        <v>7418.5</v>
      </c>
      <c r="N333">
        <v>75.241389100000006</v>
      </c>
    </row>
    <row r="334" spans="1:14" x14ac:dyDescent="0.3">
      <c r="A334" t="s">
        <v>412</v>
      </c>
      <c r="B334" t="s">
        <v>14</v>
      </c>
      <c r="C334" t="s">
        <v>89</v>
      </c>
      <c r="D334" t="s">
        <v>24</v>
      </c>
      <c r="E334" t="s">
        <v>82</v>
      </c>
      <c r="F334" t="s">
        <v>18</v>
      </c>
      <c r="G334">
        <v>2023</v>
      </c>
      <c r="H334">
        <v>9854</v>
      </c>
      <c r="I334">
        <v>8668.1</v>
      </c>
      <c r="J334">
        <v>1197.3</v>
      </c>
      <c r="K334">
        <v>2611.1</v>
      </c>
      <c r="L334">
        <v>26.497868889999999</v>
      </c>
      <c r="M334">
        <v>7242.9</v>
      </c>
      <c r="N334">
        <v>73.502131109999993</v>
      </c>
    </row>
    <row r="335" spans="1:14" x14ac:dyDescent="0.3">
      <c r="A335" t="s">
        <v>413</v>
      </c>
      <c r="B335" t="s">
        <v>20</v>
      </c>
      <c r="C335" t="s">
        <v>21</v>
      </c>
      <c r="D335" t="s">
        <v>16</v>
      </c>
      <c r="E335" t="s">
        <v>22</v>
      </c>
      <c r="F335" t="s">
        <v>18</v>
      </c>
      <c r="G335">
        <v>2019</v>
      </c>
      <c r="H335">
        <v>9797.7999999999993</v>
      </c>
      <c r="I335">
        <v>9279.7000000000007</v>
      </c>
      <c r="J335">
        <v>543.29999999999995</v>
      </c>
      <c r="K335">
        <v>8953.2000000000007</v>
      </c>
      <c r="L335">
        <v>91.379697480000004</v>
      </c>
      <c r="M335">
        <v>844.6</v>
      </c>
      <c r="N335">
        <v>8.6203025170000007</v>
      </c>
    </row>
    <row r="336" spans="1:14" x14ac:dyDescent="0.3">
      <c r="A336" t="s">
        <v>414</v>
      </c>
      <c r="B336" t="s">
        <v>14</v>
      </c>
      <c r="C336" t="s">
        <v>21</v>
      </c>
      <c r="D336" t="s">
        <v>16</v>
      </c>
      <c r="E336" t="s">
        <v>17</v>
      </c>
      <c r="F336" t="s">
        <v>18</v>
      </c>
      <c r="G336">
        <v>1997</v>
      </c>
      <c r="H336">
        <v>9734</v>
      </c>
      <c r="I336">
        <v>4314.3</v>
      </c>
      <c r="J336">
        <v>5425.4</v>
      </c>
      <c r="K336">
        <v>31</v>
      </c>
      <c r="L336">
        <v>0.31847133760000002</v>
      </c>
      <c r="M336">
        <v>9703</v>
      </c>
      <c r="N336">
        <v>99.681528659999998</v>
      </c>
    </row>
    <row r="337" spans="1:14" x14ac:dyDescent="0.3">
      <c r="A337" t="s">
        <v>415</v>
      </c>
      <c r="B337" t="s">
        <v>14</v>
      </c>
      <c r="C337" t="s">
        <v>21</v>
      </c>
      <c r="D337" t="s">
        <v>16</v>
      </c>
      <c r="E337" t="s">
        <v>27</v>
      </c>
      <c r="F337" t="s">
        <v>18</v>
      </c>
      <c r="G337">
        <v>2009</v>
      </c>
      <c r="H337">
        <v>9713</v>
      </c>
      <c r="I337">
        <v>5586.8</v>
      </c>
      <c r="J337">
        <v>4126.1000000000004</v>
      </c>
      <c r="K337">
        <v>2334.8000000000002</v>
      </c>
      <c r="L337">
        <v>24.03788737</v>
      </c>
      <c r="M337">
        <v>7378.2</v>
      </c>
      <c r="N337">
        <v>75.962112629999993</v>
      </c>
    </row>
    <row r="338" spans="1:14" x14ac:dyDescent="0.3">
      <c r="A338" t="s">
        <v>416</v>
      </c>
      <c r="B338" t="s">
        <v>14</v>
      </c>
      <c r="C338" t="s">
        <v>21</v>
      </c>
      <c r="D338" t="s">
        <v>16</v>
      </c>
      <c r="E338" t="s">
        <v>272</v>
      </c>
      <c r="F338" t="s">
        <v>48</v>
      </c>
      <c r="G338">
        <v>2012</v>
      </c>
      <c r="H338">
        <v>9666.1</v>
      </c>
      <c r="I338">
        <v>9207.9</v>
      </c>
      <c r="J338">
        <v>460.8</v>
      </c>
      <c r="K338">
        <v>9168.2999999999993</v>
      </c>
      <c r="L338">
        <v>94.850042930000001</v>
      </c>
      <c r="M338">
        <v>497.8</v>
      </c>
      <c r="N338">
        <v>5.1499570659999998</v>
      </c>
    </row>
    <row r="339" spans="1:14" x14ac:dyDescent="0.3">
      <c r="A339" t="s">
        <v>417</v>
      </c>
      <c r="B339" t="s">
        <v>14</v>
      </c>
      <c r="C339" t="s">
        <v>89</v>
      </c>
      <c r="D339" t="s">
        <v>24</v>
      </c>
      <c r="E339" t="s">
        <v>82</v>
      </c>
      <c r="F339" t="s">
        <v>18</v>
      </c>
      <c r="G339">
        <v>2020</v>
      </c>
      <c r="H339">
        <v>9609</v>
      </c>
      <c r="I339">
        <v>5573.7</v>
      </c>
      <c r="J339">
        <v>4061</v>
      </c>
      <c r="K339">
        <v>436.8</v>
      </c>
      <c r="L339">
        <v>4.5457383699999996</v>
      </c>
      <c r="M339">
        <v>9172.2000000000007</v>
      </c>
      <c r="N339">
        <v>95.454261630000005</v>
      </c>
    </row>
    <row r="340" spans="1:14" x14ac:dyDescent="0.3">
      <c r="A340" t="s">
        <v>418</v>
      </c>
      <c r="B340" t="s">
        <v>14</v>
      </c>
      <c r="C340" t="s">
        <v>21</v>
      </c>
      <c r="D340" t="s">
        <v>16</v>
      </c>
      <c r="E340" t="s">
        <v>27</v>
      </c>
      <c r="F340" t="s">
        <v>18</v>
      </c>
      <c r="G340">
        <v>2014</v>
      </c>
      <c r="H340">
        <v>9513.7000000000007</v>
      </c>
      <c r="I340">
        <v>9454.2999999999993</v>
      </c>
      <c r="J340">
        <v>63.4</v>
      </c>
      <c r="K340">
        <v>1289.2</v>
      </c>
      <c r="L340">
        <v>13.55098437</v>
      </c>
      <c r="M340">
        <v>8224.5</v>
      </c>
      <c r="N340">
        <v>86.449015630000005</v>
      </c>
    </row>
    <row r="341" spans="1:14" x14ac:dyDescent="0.3">
      <c r="A341" t="s">
        <v>419</v>
      </c>
      <c r="B341" t="s">
        <v>14</v>
      </c>
      <c r="C341" t="s">
        <v>94</v>
      </c>
      <c r="D341" t="s">
        <v>16</v>
      </c>
      <c r="E341" t="s">
        <v>27</v>
      </c>
      <c r="F341" t="s">
        <v>48</v>
      </c>
      <c r="G341">
        <v>2014</v>
      </c>
      <c r="H341">
        <v>9513</v>
      </c>
      <c r="I341">
        <v>9329.2999999999993</v>
      </c>
      <c r="J341">
        <v>185.8</v>
      </c>
      <c r="K341">
        <v>8793</v>
      </c>
      <c r="L341">
        <v>92.431409650000006</v>
      </c>
      <c r="M341">
        <v>720</v>
      </c>
      <c r="N341">
        <v>7.56859035</v>
      </c>
    </row>
    <row r="342" spans="1:14" x14ac:dyDescent="0.3">
      <c r="A342" t="s">
        <v>420</v>
      </c>
      <c r="B342" t="s">
        <v>14</v>
      </c>
      <c r="C342" t="s">
        <v>89</v>
      </c>
      <c r="D342" t="s">
        <v>24</v>
      </c>
      <c r="E342" t="s">
        <v>90</v>
      </c>
      <c r="F342" t="s">
        <v>48</v>
      </c>
      <c r="G342">
        <v>2007</v>
      </c>
      <c r="H342">
        <v>9503.2999999999993</v>
      </c>
      <c r="I342">
        <v>2467.8000000000002</v>
      </c>
      <c r="J342">
        <v>7045.9</v>
      </c>
      <c r="K342">
        <v>9278.4</v>
      </c>
      <c r="L342">
        <v>97.633453639999999</v>
      </c>
      <c r="M342">
        <v>224.9</v>
      </c>
      <c r="N342">
        <v>2.3665463579999999</v>
      </c>
    </row>
    <row r="343" spans="1:14" x14ac:dyDescent="0.3">
      <c r="A343" t="s">
        <v>421</v>
      </c>
      <c r="B343" t="s">
        <v>14</v>
      </c>
      <c r="C343" t="s">
        <v>21</v>
      </c>
      <c r="D343" t="s">
        <v>24</v>
      </c>
      <c r="E343" t="s">
        <v>151</v>
      </c>
      <c r="F343" t="s">
        <v>18</v>
      </c>
      <c r="G343">
        <v>2010</v>
      </c>
      <c r="H343">
        <v>9495.2000000000007</v>
      </c>
      <c r="I343">
        <v>6483.6</v>
      </c>
      <c r="J343">
        <v>3011.7</v>
      </c>
      <c r="K343">
        <v>4320.3999999999996</v>
      </c>
      <c r="L343">
        <v>45.500884659999997</v>
      </c>
      <c r="M343">
        <v>5174.8</v>
      </c>
      <c r="N343">
        <v>54.499115340000003</v>
      </c>
    </row>
    <row r="344" spans="1:14" x14ac:dyDescent="0.3">
      <c r="A344" t="s">
        <v>422</v>
      </c>
      <c r="B344" t="s">
        <v>14</v>
      </c>
      <c r="C344" t="s">
        <v>33</v>
      </c>
      <c r="D344" t="s">
        <v>16</v>
      </c>
      <c r="E344" t="s">
        <v>57</v>
      </c>
      <c r="F344" t="s">
        <v>48</v>
      </c>
      <c r="G344">
        <v>2010</v>
      </c>
      <c r="H344">
        <v>9439.9</v>
      </c>
      <c r="I344">
        <v>4498.2</v>
      </c>
      <c r="J344">
        <v>4948.6000000000004</v>
      </c>
      <c r="K344">
        <v>5621.4</v>
      </c>
      <c r="L344">
        <v>59.549359629999998</v>
      </c>
      <c r="M344">
        <v>3818.5</v>
      </c>
      <c r="N344">
        <v>40.450640370000002</v>
      </c>
    </row>
    <row r="345" spans="1:14" x14ac:dyDescent="0.3">
      <c r="A345" t="s">
        <v>423</v>
      </c>
      <c r="B345" t="s">
        <v>14</v>
      </c>
      <c r="C345" t="s">
        <v>407</v>
      </c>
      <c r="D345" t="s">
        <v>408</v>
      </c>
      <c r="E345" t="s">
        <v>17</v>
      </c>
      <c r="F345" t="s">
        <v>18</v>
      </c>
      <c r="G345">
        <v>2011</v>
      </c>
      <c r="H345">
        <v>9437.2999999999993</v>
      </c>
      <c r="I345">
        <v>6110.3</v>
      </c>
      <c r="J345">
        <v>3331.7</v>
      </c>
      <c r="K345">
        <v>2399.1999999999998</v>
      </c>
      <c r="L345">
        <v>25.42252551</v>
      </c>
      <c r="M345">
        <v>7038.1</v>
      </c>
      <c r="N345">
        <v>74.57747449</v>
      </c>
    </row>
    <row r="346" spans="1:14" x14ac:dyDescent="0.3">
      <c r="A346" t="s">
        <v>424</v>
      </c>
      <c r="B346" t="s">
        <v>20</v>
      </c>
      <c r="C346" t="s">
        <v>33</v>
      </c>
      <c r="D346" t="s">
        <v>16</v>
      </c>
      <c r="E346" t="s">
        <v>51</v>
      </c>
      <c r="F346" t="s">
        <v>48</v>
      </c>
      <c r="G346">
        <v>2009</v>
      </c>
      <c r="H346">
        <v>9401</v>
      </c>
      <c r="I346">
        <v>8691.5</v>
      </c>
      <c r="J346">
        <v>712.9</v>
      </c>
      <c r="K346">
        <v>8081.2</v>
      </c>
      <c r="L346">
        <v>85.961067970000002</v>
      </c>
      <c r="M346">
        <v>1319.8</v>
      </c>
      <c r="N346">
        <v>14.03893203</v>
      </c>
    </row>
    <row r="347" spans="1:14" x14ac:dyDescent="0.3">
      <c r="A347" t="s">
        <v>425</v>
      </c>
      <c r="B347" t="s">
        <v>14</v>
      </c>
      <c r="C347" t="s">
        <v>21</v>
      </c>
      <c r="D347" t="s">
        <v>16</v>
      </c>
      <c r="E347" t="s">
        <v>17</v>
      </c>
      <c r="F347" t="s">
        <v>18</v>
      </c>
      <c r="G347">
        <v>2008</v>
      </c>
      <c r="H347">
        <v>9362.2999999999993</v>
      </c>
      <c r="I347">
        <v>4260.1000000000004</v>
      </c>
      <c r="J347">
        <v>5102.2</v>
      </c>
      <c r="K347">
        <v>1075.5999999999999</v>
      </c>
      <c r="L347">
        <v>11.48862993</v>
      </c>
      <c r="M347">
        <v>8286.7000000000007</v>
      </c>
      <c r="N347">
        <v>88.511370069999998</v>
      </c>
    </row>
    <row r="348" spans="1:14" x14ac:dyDescent="0.3">
      <c r="A348" t="s">
        <v>426</v>
      </c>
      <c r="B348" t="s">
        <v>14</v>
      </c>
      <c r="C348" t="s">
        <v>242</v>
      </c>
      <c r="D348" t="s">
        <v>24</v>
      </c>
      <c r="E348" t="s">
        <v>82</v>
      </c>
      <c r="F348" t="s">
        <v>18</v>
      </c>
      <c r="G348">
        <v>1989</v>
      </c>
      <c r="H348">
        <v>9340.1</v>
      </c>
      <c r="I348">
        <v>6691.7</v>
      </c>
      <c r="J348">
        <v>2658.2</v>
      </c>
      <c r="K348">
        <v>5230.2</v>
      </c>
      <c r="L348">
        <v>55.997259130000003</v>
      </c>
      <c r="M348">
        <v>4109.8999999999996</v>
      </c>
      <c r="N348">
        <v>44.002740869999997</v>
      </c>
    </row>
    <row r="349" spans="1:14" x14ac:dyDescent="0.3">
      <c r="A349" t="s">
        <v>427</v>
      </c>
      <c r="B349" t="s">
        <v>14</v>
      </c>
      <c r="C349" t="s">
        <v>21</v>
      </c>
      <c r="D349" t="s">
        <v>16</v>
      </c>
      <c r="E349" t="s">
        <v>17</v>
      </c>
      <c r="F349" t="s">
        <v>18</v>
      </c>
      <c r="G349">
        <v>2017</v>
      </c>
      <c r="H349">
        <v>9314.7999999999993</v>
      </c>
      <c r="I349">
        <v>5409.5</v>
      </c>
      <c r="J349">
        <v>3905.3</v>
      </c>
      <c r="K349">
        <v>1907.2</v>
      </c>
      <c r="L349">
        <v>20.474943100000001</v>
      </c>
      <c r="M349">
        <v>7407.6</v>
      </c>
      <c r="N349">
        <v>79.525056899999996</v>
      </c>
    </row>
    <row r="350" spans="1:14" x14ac:dyDescent="0.3">
      <c r="A350" t="s">
        <v>428</v>
      </c>
      <c r="B350" t="s">
        <v>14</v>
      </c>
      <c r="C350" t="s">
        <v>21</v>
      </c>
      <c r="D350" t="s">
        <v>16</v>
      </c>
      <c r="E350" t="s">
        <v>27</v>
      </c>
      <c r="F350" t="s">
        <v>18</v>
      </c>
      <c r="G350">
        <v>2018</v>
      </c>
      <c r="H350">
        <v>9302.9</v>
      </c>
      <c r="I350">
        <v>5809.3</v>
      </c>
      <c r="J350">
        <v>3497.2</v>
      </c>
      <c r="K350">
        <v>5699</v>
      </c>
      <c r="L350">
        <v>61.260467169999998</v>
      </c>
      <c r="M350">
        <v>3603.9</v>
      </c>
      <c r="N350">
        <v>38.739532830000002</v>
      </c>
    </row>
    <row r="351" spans="1:14" x14ac:dyDescent="0.3">
      <c r="A351" t="s">
        <v>429</v>
      </c>
      <c r="B351" t="s">
        <v>14</v>
      </c>
      <c r="C351" t="s">
        <v>21</v>
      </c>
      <c r="D351" t="s">
        <v>16</v>
      </c>
      <c r="E351" t="s">
        <v>51</v>
      </c>
      <c r="F351" t="s">
        <v>18</v>
      </c>
      <c r="G351">
        <v>1971</v>
      </c>
      <c r="H351">
        <v>9290.9</v>
      </c>
      <c r="I351">
        <v>9255.2000000000007</v>
      </c>
      <c r="J351">
        <v>40.4</v>
      </c>
      <c r="K351">
        <v>9207.2000000000007</v>
      </c>
      <c r="L351">
        <v>99.099118489999995</v>
      </c>
      <c r="M351">
        <v>83.7</v>
      </c>
      <c r="N351">
        <v>0.90088150769999997</v>
      </c>
    </row>
    <row r="352" spans="1:14" x14ac:dyDescent="0.3">
      <c r="A352" t="s">
        <v>430</v>
      </c>
      <c r="B352" t="s">
        <v>14</v>
      </c>
      <c r="C352" t="s">
        <v>21</v>
      </c>
      <c r="D352" t="s">
        <v>16</v>
      </c>
      <c r="E352" t="s">
        <v>98</v>
      </c>
      <c r="F352" t="s">
        <v>18</v>
      </c>
      <c r="G352">
        <v>2007</v>
      </c>
      <c r="H352">
        <v>9213.5</v>
      </c>
      <c r="I352">
        <v>9212.7000000000007</v>
      </c>
      <c r="J352">
        <v>8.3000000000000007</v>
      </c>
      <c r="K352">
        <v>7646.2</v>
      </c>
      <c r="L352">
        <v>82.98909209</v>
      </c>
      <c r="M352">
        <v>1567.3</v>
      </c>
      <c r="N352">
        <v>17.01090791</v>
      </c>
    </row>
    <row r="353" spans="1:14" x14ac:dyDescent="0.3">
      <c r="A353" t="s">
        <v>431</v>
      </c>
      <c r="B353" t="s">
        <v>14</v>
      </c>
      <c r="C353" t="s">
        <v>33</v>
      </c>
      <c r="D353" t="s">
        <v>16</v>
      </c>
      <c r="E353" t="s">
        <v>51</v>
      </c>
      <c r="F353" t="s">
        <v>48</v>
      </c>
      <c r="G353">
        <v>1999</v>
      </c>
      <c r="H353">
        <v>9212.4</v>
      </c>
      <c r="I353">
        <v>7752.7</v>
      </c>
      <c r="J353">
        <v>1460.8</v>
      </c>
      <c r="K353">
        <v>9165</v>
      </c>
      <c r="L353">
        <v>99.4854761</v>
      </c>
      <c r="M353">
        <v>47.4</v>
      </c>
      <c r="N353">
        <v>0.51452390260000003</v>
      </c>
    </row>
    <row r="354" spans="1:14" x14ac:dyDescent="0.3">
      <c r="A354" t="s">
        <v>432</v>
      </c>
      <c r="B354" t="s">
        <v>14</v>
      </c>
      <c r="C354" t="s">
        <v>33</v>
      </c>
      <c r="D354" t="s">
        <v>16</v>
      </c>
      <c r="E354" t="s">
        <v>60</v>
      </c>
      <c r="F354" t="s">
        <v>18</v>
      </c>
      <c r="G354">
        <v>2015</v>
      </c>
      <c r="H354">
        <v>9206.7000000000007</v>
      </c>
      <c r="I354">
        <v>7645.1</v>
      </c>
      <c r="J354">
        <v>1564.1</v>
      </c>
      <c r="K354">
        <v>36.4</v>
      </c>
      <c r="L354">
        <v>0.3953642456</v>
      </c>
      <c r="M354">
        <v>9170.2999999999993</v>
      </c>
      <c r="N354">
        <v>99.60463575</v>
      </c>
    </row>
    <row r="355" spans="1:14" x14ac:dyDescent="0.3">
      <c r="A355" t="s">
        <v>433</v>
      </c>
      <c r="B355" t="s">
        <v>14</v>
      </c>
      <c r="C355" t="s">
        <v>21</v>
      </c>
      <c r="D355" t="s">
        <v>16</v>
      </c>
      <c r="E355" t="s">
        <v>22</v>
      </c>
      <c r="F355" t="s">
        <v>18</v>
      </c>
      <c r="G355">
        <v>2019</v>
      </c>
      <c r="H355">
        <v>9177.5</v>
      </c>
      <c r="I355">
        <v>7949</v>
      </c>
      <c r="J355">
        <v>1236.7</v>
      </c>
      <c r="K355">
        <v>7238.3</v>
      </c>
      <c r="L355">
        <v>78.870062649999994</v>
      </c>
      <c r="M355">
        <v>1939.2</v>
      </c>
      <c r="N355">
        <v>21.129937349999999</v>
      </c>
    </row>
    <row r="356" spans="1:14" x14ac:dyDescent="0.3">
      <c r="A356" t="s">
        <v>434</v>
      </c>
      <c r="B356" t="s">
        <v>14</v>
      </c>
      <c r="C356" t="s">
        <v>42</v>
      </c>
      <c r="D356" t="s">
        <v>24</v>
      </c>
      <c r="E356" t="s">
        <v>82</v>
      </c>
      <c r="F356" t="s">
        <v>18</v>
      </c>
      <c r="G356">
        <v>1988</v>
      </c>
      <c r="H356">
        <v>9121.6</v>
      </c>
      <c r="I356">
        <v>4954.8</v>
      </c>
      <c r="J356">
        <v>4166.8</v>
      </c>
      <c r="K356">
        <v>4039.5</v>
      </c>
      <c r="L356">
        <v>44.28499386</v>
      </c>
      <c r="M356">
        <v>5082.1000000000004</v>
      </c>
      <c r="N356">
        <v>55.71500614</v>
      </c>
    </row>
    <row r="357" spans="1:14" x14ac:dyDescent="0.3">
      <c r="A357" t="s">
        <v>435</v>
      </c>
      <c r="B357" t="s">
        <v>20</v>
      </c>
      <c r="C357" t="s">
        <v>21</v>
      </c>
      <c r="D357" t="s">
        <v>16</v>
      </c>
      <c r="E357" t="s">
        <v>22</v>
      </c>
      <c r="F357" t="s">
        <v>18</v>
      </c>
      <c r="G357">
        <v>1999</v>
      </c>
      <c r="H357">
        <v>9115.7000000000007</v>
      </c>
      <c r="I357">
        <v>7543</v>
      </c>
      <c r="J357">
        <v>1578.6</v>
      </c>
      <c r="K357">
        <v>2706.2</v>
      </c>
      <c r="L357">
        <v>29.68724289</v>
      </c>
      <c r="M357">
        <v>6409.5</v>
      </c>
      <c r="N357">
        <v>70.312757110000007</v>
      </c>
    </row>
    <row r="358" spans="1:14" x14ac:dyDescent="0.3">
      <c r="A358" t="s">
        <v>436</v>
      </c>
      <c r="B358" t="s">
        <v>14</v>
      </c>
      <c r="C358" t="s">
        <v>89</v>
      </c>
      <c r="D358" t="s">
        <v>24</v>
      </c>
      <c r="E358" t="s">
        <v>17</v>
      </c>
      <c r="F358" t="s">
        <v>48</v>
      </c>
      <c r="G358">
        <v>2002</v>
      </c>
      <c r="H358">
        <v>9107.5</v>
      </c>
      <c r="I358">
        <v>8630.9</v>
      </c>
      <c r="J358">
        <v>487.3</v>
      </c>
      <c r="K358">
        <v>5817.4</v>
      </c>
      <c r="L358">
        <v>63.874828440000002</v>
      </c>
      <c r="M358">
        <v>3290.1</v>
      </c>
      <c r="N358">
        <v>36.125171559999998</v>
      </c>
    </row>
    <row r="359" spans="1:14" x14ac:dyDescent="0.3">
      <c r="A359" t="s">
        <v>437</v>
      </c>
      <c r="B359" t="s">
        <v>14</v>
      </c>
      <c r="C359" t="s">
        <v>21</v>
      </c>
      <c r="D359" t="s">
        <v>16</v>
      </c>
      <c r="E359" t="s">
        <v>17</v>
      </c>
      <c r="F359" t="s">
        <v>18</v>
      </c>
      <c r="G359">
        <v>2001</v>
      </c>
      <c r="H359">
        <v>9084.9</v>
      </c>
      <c r="I359">
        <v>4560.6000000000004</v>
      </c>
      <c r="J359">
        <v>4524.3</v>
      </c>
      <c r="K359">
        <v>1805.2</v>
      </c>
      <c r="L359">
        <v>19.870334289999999</v>
      </c>
      <c r="M359">
        <v>7279.7</v>
      </c>
      <c r="N359">
        <v>80.129665709999998</v>
      </c>
    </row>
    <row r="360" spans="1:14" x14ac:dyDescent="0.3">
      <c r="A360" t="s">
        <v>438</v>
      </c>
      <c r="B360" t="s">
        <v>14</v>
      </c>
      <c r="C360" t="s">
        <v>89</v>
      </c>
      <c r="D360" t="s">
        <v>24</v>
      </c>
      <c r="E360" t="s">
        <v>90</v>
      </c>
      <c r="F360" t="s">
        <v>18</v>
      </c>
      <c r="G360">
        <v>2015</v>
      </c>
      <c r="H360">
        <v>9076.4</v>
      </c>
      <c r="I360">
        <v>3472</v>
      </c>
      <c r="J360">
        <v>5604.3</v>
      </c>
      <c r="K360">
        <v>752.1</v>
      </c>
      <c r="L360">
        <v>8.2863249749999994</v>
      </c>
      <c r="M360">
        <v>8324.2999999999993</v>
      </c>
      <c r="N360">
        <v>91.713675030000005</v>
      </c>
    </row>
    <row r="361" spans="1:14" x14ac:dyDescent="0.3">
      <c r="A361" t="s">
        <v>439</v>
      </c>
      <c r="B361" t="s">
        <v>14</v>
      </c>
      <c r="C361" t="s">
        <v>440</v>
      </c>
      <c r="D361" t="s">
        <v>24</v>
      </c>
      <c r="E361" t="s">
        <v>82</v>
      </c>
      <c r="F361" t="s">
        <v>18</v>
      </c>
      <c r="G361">
        <v>2008</v>
      </c>
      <c r="H361">
        <v>9056.5</v>
      </c>
      <c r="I361">
        <v>5112.2</v>
      </c>
      <c r="J361">
        <v>3944.3</v>
      </c>
      <c r="K361">
        <v>561.5</v>
      </c>
      <c r="L361">
        <v>6.1999668750000003</v>
      </c>
      <c r="M361">
        <v>8495</v>
      </c>
      <c r="N361">
        <v>93.800033130000003</v>
      </c>
    </row>
    <row r="362" spans="1:14" x14ac:dyDescent="0.3">
      <c r="A362" t="s">
        <v>441</v>
      </c>
      <c r="B362" t="s">
        <v>20</v>
      </c>
      <c r="C362" t="s">
        <v>71</v>
      </c>
      <c r="D362" t="s">
        <v>72</v>
      </c>
      <c r="E362" t="s">
        <v>73</v>
      </c>
      <c r="F362" t="s">
        <v>18</v>
      </c>
      <c r="G362">
        <v>1980</v>
      </c>
      <c r="H362">
        <v>8988.2000000000007</v>
      </c>
      <c r="I362">
        <v>2897.2</v>
      </c>
      <c r="J362">
        <v>6102.8</v>
      </c>
      <c r="K362">
        <v>551.1</v>
      </c>
      <c r="L362">
        <v>6.1313722439999996</v>
      </c>
      <c r="M362">
        <v>8437.1</v>
      </c>
      <c r="N362">
        <v>93.868627759999995</v>
      </c>
    </row>
    <row r="363" spans="1:14" x14ac:dyDescent="0.3">
      <c r="A363" t="s">
        <v>442</v>
      </c>
      <c r="B363" t="s">
        <v>14</v>
      </c>
      <c r="C363" t="s">
        <v>42</v>
      </c>
      <c r="D363" t="s">
        <v>24</v>
      </c>
      <c r="E363" t="s">
        <v>25</v>
      </c>
      <c r="F363" t="s">
        <v>18</v>
      </c>
      <c r="G363">
        <v>2018</v>
      </c>
      <c r="H363">
        <v>8965</v>
      </c>
      <c r="I363">
        <v>6387.9</v>
      </c>
      <c r="J363">
        <v>2587.4</v>
      </c>
      <c r="K363">
        <v>1238.0999999999999</v>
      </c>
      <c r="L363">
        <v>13.81037368</v>
      </c>
      <c r="M363">
        <v>7726.9</v>
      </c>
      <c r="N363">
        <v>86.189626320000002</v>
      </c>
    </row>
    <row r="364" spans="1:14" x14ac:dyDescent="0.3">
      <c r="A364" t="s">
        <v>443</v>
      </c>
      <c r="B364" t="s">
        <v>20</v>
      </c>
      <c r="C364" t="s">
        <v>440</v>
      </c>
      <c r="D364" t="s">
        <v>24</v>
      </c>
      <c r="E364" t="s">
        <v>25</v>
      </c>
      <c r="F364" t="s">
        <v>18</v>
      </c>
      <c r="G364">
        <v>2010</v>
      </c>
      <c r="H364">
        <v>8960.1</v>
      </c>
      <c r="I364">
        <v>3564</v>
      </c>
      <c r="J364">
        <v>5398.2</v>
      </c>
      <c r="K364">
        <v>687.9</v>
      </c>
      <c r="L364">
        <v>7.6773696720000002</v>
      </c>
      <c r="M364">
        <v>8272.2000000000007</v>
      </c>
      <c r="N364">
        <v>92.322630329999996</v>
      </c>
    </row>
    <row r="365" spans="1:14" x14ac:dyDescent="0.3">
      <c r="A365" t="s">
        <v>444</v>
      </c>
      <c r="B365" t="s">
        <v>14</v>
      </c>
      <c r="C365" t="s">
        <v>21</v>
      </c>
      <c r="D365" t="s">
        <v>16</v>
      </c>
      <c r="E365" t="s">
        <v>51</v>
      </c>
      <c r="F365" t="s">
        <v>18</v>
      </c>
      <c r="G365">
        <v>1973</v>
      </c>
      <c r="H365">
        <v>8927.6</v>
      </c>
      <c r="I365">
        <v>8741.2000000000007</v>
      </c>
      <c r="J365">
        <v>189.7</v>
      </c>
      <c r="K365">
        <v>8713.2999999999993</v>
      </c>
      <c r="L365">
        <v>97.599578829999999</v>
      </c>
      <c r="M365">
        <v>214.3</v>
      </c>
      <c r="N365">
        <v>2.4004211660000001</v>
      </c>
    </row>
    <row r="366" spans="1:14" x14ac:dyDescent="0.3">
      <c r="A366" t="s">
        <v>445</v>
      </c>
      <c r="B366" t="s">
        <v>14</v>
      </c>
      <c r="C366" t="s">
        <v>89</v>
      </c>
      <c r="D366" t="s">
        <v>24</v>
      </c>
      <c r="E366" t="s">
        <v>90</v>
      </c>
      <c r="F366" t="s">
        <v>18</v>
      </c>
      <c r="G366">
        <v>2011</v>
      </c>
      <c r="H366">
        <v>8916</v>
      </c>
      <c r="I366">
        <v>8080</v>
      </c>
      <c r="J366">
        <v>844.9</v>
      </c>
      <c r="K366">
        <v>7975.8</v>
      </c>
      <c r="L366">
        <v>89.454912519999993</v>
      </c>
      <c r="M366">
        <v>940.2</v>
      </c>
      <c r="N366">
        <v>10.545087479999999</v>
      </c>
    </row>
    <row r="367" spans="1:14" x14ac:dyDescent="0.3">
      <c r="A367" t="s">
        <v>446</v>
      </c>
      <c r="B367" t="s">
        <v>14</v>
      </c>
      <c r="C367" t="s">
        <v>21</v>
      </c>
      <c r="D367" t="s">
        <v>16</v>
      </c>
      <c r="E367" t="s">
        <v>22</v>
      </c>
      <c r="F367" t="s">
        <v>48</v>
      </c>
      <c r="G367">
        <v>2006</v>
      </c>
      <c r="H367">
        <v>8909.9</v>
      </c>
      <c r="I367">
        <v>6844.4</v>
      </c>
      <c r="J367">
        <v>2067.6999999999998</v>
      </c>
      <c r="K367">
        <v>6517.9</v>
      </c>
      <c r="L367">
        <v>73.153458509999993</v>
      </c>
      <c r="M367">
        <v>2392</v>
      </c>
      <c r="N367">
        <v>26.84654149</v>
      </c>
    </row>
    <row r="368" spans="1:14" x14ac:dyDescent="0.3">
      <c r="A368" t="s">
        <v>447</v>
      </c>
      <c r="B368" t="s">
        <v>14</v>
      </c>
      <c r="C368" t="s">
        <v>128</v>
      </c>
      <c r="D368" t="s">
        <v>129</v>
      </c>
      <c r="E368" t="s">
        <v>139</v>
      </c>
      <c r="F368" t="s">
        <v>18</v>
      </c>
      <c r="G368">
        <v>1977</v>
      </c>
      <c r="H368">
        <v>8906.9</v>
      </c>
      <c r="I368">
        <v>8155.5</v>
      </c>
      <c r="J368">
        <v>751.4</v>
      </c>
      <c r="K368">
        <v>5041.5</v>
      </c>
      <c r="L368">
        <v>56.602184819999998</v>
      </c>
      <c r="M368">
        <v>3865.4</v>
      </c>
      <c r="N368">
        <v>43.397815180000002</v>
      </c>
    </row>
    <row r="369" spans="1:14" x14ac:dyDescent="0.3">
      <c r="A369" t="s">
        <v>448</v>
      </c>
      <c r="B369" t="s">
        <v>20</v>
      </c>
      <c r="C369" t="s">
        <v>21</v>
      </c>
      <c r="D369" t="s">
        <v>16</v>
      </c>
      <c r="E369" t="s">
        <v>22</v>
      </c>
      <c r="F369" t="s">
        <v>18</v>
      </c>
      <c r="G369">
        <v>2010</v>
      </c>
      <c r="H369">
        <v>8899.6</v>
      </c>
      <c r="I369">
        <v>4219.1000000000004</v>
      </c>
      <c r="J369">
        <v>4681.7</v>
      </c>
      <c r="K369">
        <v>2876.3</v>
      </c>
      <c r="L369">
        <v>32.319430089999997</v>
      </c>
      <c r="M369">
        <v>6023.3</v>
      </c>
      <c r="N369">
        <v>67.680569910000003</v>
      </c>
    </row>
    <row r="370" spans="1:14" x14ac:dyDescent="0.3">
      <c r="A370" t="s">
        <v>449</v>
      </c>
      <c r="B370" t="s">
        <v>14</v>
      </c>
      <c r="C370" t="s">
        <v>21</v>
      </c>
      <c r="D370" t="s">
        <v>16</v>
      </c>
      <c r="E370" t="s">
        <v>291</v>
      </c>
      <c r="F370" t="s">
        <v>48</v>
      </c>
      <c r="G370">
        <v>1995</v>
      </c>
      <c r="H370">
        <v>8848.2999999999993</v>
      </c>
      <c r="I370">
        <v>8855.1</v>
      </c>
      <c r="J370">
        <v>0</v>
      </c>
      <c r="K370">
        <v>8823.4</v>
      </c>
      <c r="L370">
        <v>99.71859001</v>
      </c>
      <c r="M370">
        <v>24.9</v>
      </c>
      <c r="N370">
        <v>0.28140998839999998</v>
      </c>
    </row>
    <row r="371" spans="1:14" x14ac:dyDescent="0.3">
      <c r="A371" t="s">
        <v>450</v>
      </c>
      <c r="B371" t="s">
        <v>20</v>
      </c>
      <c r="C371" t="s">
        <v>21</v>
      </c>
      <c r="D371" t="s">
        <v>16</v>
      </c>
      <c r="E371" t="s">
        <v>22</v>
      </c>
      <c r="F371" t="s">
        <v>18</v>
      </c>
      <c r="G371">
        <v>2012</v>
      </c>
      <c r="H371">
        <v>8831</v>
      </c>
      <c r="I371">
        <v>6995.1</v>
      </c>
      <c r="J371">
        <v>1840.3</v>
      </c>
      <c r="K371">
        <v>6603.2</v>
      </c>
      <c r="L371">
        <v>74.772958889999998</v>
      </c>
      <c r="M371">
        <v>2227.8000000000002</v>
      </c>
      <c r="N371">
        <v>25.227041109999998</v>
      </c>
    </row>
    <row r="372" spans="1:14" x14ac:dyDescent="0.3">
      <c r="A372" t="s">
        <v>451</v>
      </c>
      <c r="B372" t="s">
        <v>20</v>
      </c>
      <c r="C372" t="s">
        <v>21</v>
      </c>
      <c r="D372" t="s">
        <v>16</v>
      </c>
      <c r="E372" t="s">
        <v>27</v>
      </c>
      <c r="F372" t="s">
        <v>18</v>
      </c>
      <c r="G372">
        <v>1985</v>
      </c>
      <c r="H372">
        <v>8828.7999999999993</v>
      </c>
      <c r="I372">
        <v>7564.4</v>
      </c>
      <c r="J372">
        <v>1267.8</v>
      </c>
      <c r="K372">
        <v>6762.6</v>
      </c>
      <c r="L372">
        <v>76.597046030000001</v>
      </c>
      <c r="M372">
        <v>2066.1999999999998</v>
      </c>
      <c r="N372">
        <v>23.402953969999999</v>
      </c>
    </row>
    <row r="373" spans="1:14" x14ac:dyDescent="0.3">
      <c r="A373" t="s">
        <v>452</v>
      </c>
      <c r="B373" t="s">
        <v>20</v>
      </c>
      <c r="C373" t="s">
        <v>147</v>
      </c>
      <c r="D373" t="s">
        <v>16</v>
      </c>
      <c r="E373" t="s">
        <v>22</v>
      </c>
      <c r="F373" t="s">
        <v>18</v>
      </c>
      <c r="G373">
        <v>2006</v>
      </c>
      <c r="H373">
        <v>8809.4</v>
      </c>
      <c r="I373">
        <v>5689.4</v>
      </c>
      <c r="J373">
        <v>3122.8</v>
      </c>
      <c r="K373">
        <v>4223.1000000000004</v>
      </c>
      <c r="L373">
        <v>47.938565619999999</v>
      </c>
      <c r="M373">
        <v>4586.3</v>
      </c>
      <c r="N373">
        <v>52.061434380000001</v>
      </c>
    </row>
    <row r="374" spans="1:14" x14ac:dyDescent="0.3">
      <c r="A374" t="s">
        <v>453</v>
      </c>
      <c r="B374" t="s">
        <v>14</v>
      </c>
      <c r="C374" t="s">
        <v>21</v>
      </c>
      <c r="D374" t="s">
        <v>24</v>
      </c>
      <c r="E374" t="s">
        <v>25</v>
      </c>
      <c r="F374" t="s">
        <v>18</v>
      </c>
      <c r="G374">
        <v>2010</v>
      </c>
      <c r="H374">
        <v>8801.6</v>
      </c>
      <c r="I374">
        <v>1220.5999999999999</v>
      </c>
      <c r="J374">
        <v>7581</v>
      </c>
      <c r="K374">
        <v>0</v>
      </c>
      <c r="L374">
        <v>0</v>
      </c>
      <c r="M374">
        <v>8801.6</v>
      </c>
      <c r="N374">
        <v>100</v>
      </c>
    </row>
    <row r="375" spans="1:14" x14ac:dyDescent="0.3">
      <c r="A375" t="s">
        <v>454</v>
      </c>
      <c r="B375" t="s">
        <v>20</v>
      </c>
      <c r="C375" t="s">
        <v>33</v>
      </c>
      <c r="D375" t="s">
        <v>16</v>
      </c>
      <c r="E375" t="s">
        <v>455</v>
      </c>
      <c r="F375" t="s">
        <v>18</v>
      </c>
      <c r="G375">
        <v>2003</v>
      </c>
      <c r="H375">
        <v>8780.4</v>
      </c>
      <c r="I375">
        <v>8238.2000000000007</v>
      </c>
      <c r="J375">
        <v>547.70000000000005</v>
      </c>
      <c r="K375">
        <v>7557.9</v>
      </c>
      <c r="L375">
        <v>86.076944100000006</v>
      </c>
      <c r="M375">
        <v>1222.5</v>
      </c>
      <c r="N375">
        <v>13.9230559</v>
      </c>
    </row>
    <row r="376" spans="1:14" x14ac:dyDescent="0.3">
      <c r="A376" t="s">
        <v>456</v>
      </c>
      <c r="B376" t="s">
        <v>14</v>
      </c>
      <c r="C376" t="s">
        <v>21</v>
      </c>
      <c r="D376" t="s">
        <v>16</v>
      </c>
      <c r="E376" t="s">
        <v>22</v>
      </c>
      <c r="F376" t="s">
        <v>48</v>
      </c>
      <c r="G376">
        <v>2010</v>
      </c>
      <c r="H376">
        <v>8779.9</v>
      </c>
      <c r="I376">
        <v>7850.9</v>
      </c>
      <c r="J376">
        <v>932.8</v>
      </c>
      <c r="K376">
        <v>8155.1</v>
      </c>
      <c r="L376">
        <v>92.883745829999995</v>
      </c>
      <c r="M376">
        <v>624.79999999999995</v>
      </c>
      <c r="N376">
        <v>7.1162541709999996</v>
      </c>
    </row>
    <row r="377" spans="1:14" x14ac:dyDescent="0.3">
      <c r="A377" t="s">
        <v>457</v>
      </c>
      <c r="B377" t="s">
        <v>14</v>
      </c>
      <c r="C377" t="s">
        <v>71</v>
      </c>
      <c r="D377" t="s">
        <v>72</v>
      </c>
      <c r="E377" t="s">
        <v>73</v>
      </c>
      <c r="F377" t="s">
        <v>18</v>
      </c>
      <c r="G377">
        <v>2015</v>
      </c>
      <c r="H377">
        <v>8733</v>
      </c>
      <c r="I377">
        <v>2987.7</v>
      </c>
      <c r="J377">
        <v>5745.3</v>
      </c>
      <c r="K377">
        <v>6.8</v>
      </c>
      <c r="L377">
        <v>7.7865567390000001E-2</v>
      </c>
      <c r="M377">
        <v>8726.2000000000007</v>
      </c>
      <c r="N377">
        <v>99.92213443</v>
      </c>
    </row>
    <row r="378" spans="1:14" x14ac:dyDescent="0.3">
      <c r="A378" t="s">
        <v>458</v>
      </c>
      <c r="B378" t="s">
        <v>14</v>
      </c>
      <c r="C378" t="s">
        <v>33</v>
      </c>
      <c r="D378" t="s">
        <v>16</v>
      </c>
      <c r="E378" t="s">
        <v>17</v>
      </c>
      <c r="F378" t="s">
        <v>18</v>
      </c>
      <c r="G378">
        <v>2015</v>
      </c>
      <c r="H378">
        <v>8715.2000000000007</v>
      </c>
      <c r="I378">
        <v>7648.8</v>
      </c>
      <c r="J378">
        <v>1071.5999999999999</v>
      </c>
      <c r="K378">
        <v>2526.6999999999998</v>
      </c>
      <c r="L378">
        <v>28.991876260000002</v>
      </c>
      <c r="M378">
        <v>6188.5</v>
      </c>
      <c r="N378">
        <v>71.008123740000002</v>
      </c>
    </row>
    <row r="379" spans="1:14" x14ac:dyDescent="0.3">
      <c r="A379" t="s">
        <v>459</v>
      </c>
      <c r="B379" t="s">
        <v>20</v>
      </c>
      <c r="C379" t="s">
        <v>15</v>
      </c>
      <c r="D379" t="s">
        <v>16</v>
      </c>
      <c r="E379" t="s">
        <v>22</v>
      </c>
      <c r="F379" t="s">
        <v>18</v>
      </c>
      <c r="G379">
        <v>2002</v>
      </c>
      <c r="H379">
        <v>8706.4</v>
      </c>
      <c r="I379">
        <v>8477.2999999999993</v>
      </c>
      <c r="J379">
        <v>233</v>
      </c>
      <c r="K379">
        <v>8083.8</v>
      </c>
      <c r="L379">
        <v>92.848938709999999</v>
      </c>
      <c r="M379">
        <v>622.6</v>
      </c>
      <c r="N379">
        <v>7.1510612880000002</v>
      </c>
    </row>
    <row r="380" spans="1:14" x14ac:dyDescent="0.3">
      <c r="A380" t="s">
        <v>460</v>
      </c>
      <c r="B380" t="s">
        <v>14</v>
      </c>
      <c r="C380" t="s">
        <v>461</v>
      </c>
      <c r="D380" t="s">
        <v>16</v>
      </c>
      <c r="E380" t="s">
        <v>60</v>
      </c>
      <c r="F380" t="s">
        <v>18</v>
      </c>
      <c r="G380">
        <v>2014</v>
      </c>
      <c r="H380">
        <v>8699.2000000000007</v>
      </c>
      <c r="I380">
        <v>8316.2000000000007</v>
      </c>
      <c r="J380">
        <v>386.2</v>
      </c>
      <c r="K380">
        <v>1923.6</v>
      </c>
      <c r="L380">
        <v>22.112378150000001</v>
      </c>
      <c r="M380">
        <v>6775.6</v>
      </c>
      <c r="N380">
        <v>77.887621850000002</v>
      </c>
    </row>
    <row r="381" spans="1:14" x14ac:dyDescent="0.3">
      <c r="A381" t="s">
        <v>462</v>
      </c>
      <c r="B381" t="s">
        <v>14</v>
      </c>
      <c r="C381" t="s">
        <v>21</v>
      </c>
      <c r="D381" t="s">
        <v>16</v>
      </c>
      <c r="E381" t="s">
        <v>51</v>
      </c>
      <c r="F381" t="s">
        <v>48</v>
      </c>
      <c r="G381">
        <v>2003</v>
      </c>
      <c r="H381">
        <v>8647.7999999999993</v>
      </c>
      <c r="I381">
        <v>8598.1</v>
      </c>
      <c r="J381">
        <v>54</v>
      </c>
      <c r="K381">
        <v>8555.2000000000007</v>
      </c>
      <c r="L381">
        <v>98.929207430000005</v>
      </c>
      <c r="M381">
        <v>92.6</v>
      </c>
      <c r="N381">
        <v>1.070792572</v>
      </c>
    </row>
    <row r="382" spans="1:14" x14ac:dyDescent="0.3">
      <c r="A382" t="s">
        <v>463</v>
      </c>
      <c r="B382" t="s">
        <v>14</v>
      </c>
      <c r="C382" t="s">
        <v>89</v>
      </c>
      <c r="D382" t="s">
        <v>24</v>
      </c>
      <c r="E382" t="s">
        <v>90</v>
      </c>
      <c r="F382" t="s">
        <v>18</v>
      </c>
      <c r="G382">
        <v>1975</v>
      </c>
      <c r="H382">
        <v>8622.1</v>
      </c>
      <c r="I382">
        <v>8534</v>
      </c>
      <c r="J382">
        <v>98.1</v>
      </c>
      <c r="K382">
        <v>7271</v>
      </c>
      <c r="L382">
        <v>84.329803639999994</v>
      </c>
      <c r="M382">
        <v>1351.1</v>
      </c>
      <c r="N382">
        <v>15.67019636</v>
      </c>
    </row>
    <row r="383" spans="1:14" x14ac:dyDescent="0.3">
      <c r="A383" t="s">
        <v>464</v>
      </c>
      <c r="B383" t="s">
        <v>14</v>
      </c>
      <c r="C383" t="s">
        <v>89</v>
      </c>
      <c r="D383" t="s">
        <v>24</v>
      </c>
      <c r="E383" t="s">
        <v>82</v>
      </c>
      <c r="F383" t="s">
        <v>18</v>
      </c>
      <c r="G383">
        <v>1992</v>
      </c>
      <c r="H383">
        <v>8617.1</v>
      </c>
      <c r="I383">
        <v>7717.5</v>
      </c>
      <c r="J383">
        <v>899.6</v>
      </c>
      <c r="K383">
        <v>6368.3</v>
      </c>
      <c r="L383">
        <v>73.903053229999998</v>
      </c>
      <c r="M383">
        <v>2248.8000000000002</v>
      </c>
      <c r="N383">
        <v>26.096946769999999</v>
      </c>
    </row>
    <row r="384" spans="1:14" x14ac:dyDescent="0.3">
      <c r="A384" t="s">
        <v>465</v>
      </c>
      <c r="B384" t="s">
        <v>14</v>
      </c>
      <c r="C384" t="s">
        <v>33</v>
      </c>
      <c r="D384" t="s">
        <v>16</v>
      </c>
      <c r="E384" t="s">
        <v>57</v>
      </c>
      <c r="F384" t="s">
        <v>48</v>
      </c>
      <c r="G384">
        <v>2012</v>
      </c>
      <c r="H384">
        <v>8591.1</v>
      </c>
      <c r="I384">
        <v>8578.7000000000007</v>
      </c>
      <c r="J384">
        <v>15.4</v>
      </c>
      <c r="K384">
        <v>7995.8</v>
      </c>
      <c r="L384">
        <v>93.070735990000003</v>
      </c>
      <c r="M384">
        <v>595.29999999999995</v>
      </c>
      <c r="N384">
        <v>6.9292640060000004</v>
      </c>
    </row>
    <row r="385" spans="1:14" x14ac:dyDescent="0.3">
      <c r="A385" t="s">
        <v>466</v>
      </c>
      <c r="B385" t="s">
        <v>14</v>
      </c>
      <c r="C385" t="s">
        <v>71</v>
      </c>
      <c r="D385" t="s">
        <v>72</v>
      </c>
      <c r="E385" t="s">
        <v>73</v>
      </c>
      <c r="F385" t="s">
        <v>48</v>
      </c>
      <c r="G385">
        <v>2009</v>
      </c>
      <c r="H385">
        <v>8584.2000000000007</v>
      </c>
      <c r="I385">
        <v>6741.1</v>
      </c>
      <c r="J385">
        <v>1843.2</v>
      </c>
      <c r="K385">
        <v>20</v>
      </c>
      <c r="L385">
        <v>0.2329861839</v>
      </c>
      <c r="M385">
        <v>8564.2000000000007</v>
      </c>
      <c r="N385">
        <v>99.767013820000003</v>
      </c>
    </row>
    <row r="386" spans="1:14" x14ac:dyDescent="0.3">
      <c r="A386" t="s">
        <v>467</v>
      </c>
      <c r="B386" t="s">
        <v>14</v>
      </c>
      <c r="C386" t="s">
        <v>21</v>
      </c>
      <c r="D386" t="s">
        <v>16</v>
      </c>
      <c r="E386" t="s">
        <v>17</v>
      </c>
      <c r="F386" t="s">
        <v>18</v>
      </c>
      <c r="G386">
        <v>2014</v>
      </c>
      <c r="H386">
        <v>8564.5</v>
      </c>
      <c r="I386">
        <v>5566.1</v>
      </c>
      <c r="J386">
        <v>3001.4</v>
      </c>
      <c r="K386">
        <v>3239</v>
      </c>
      <c r="L386">
        <v>37.81890361</v>
      </c>
      <c r="M386">
        <v>5325.5</v>
      </c>
      <c r="N386">
        <v>62.18109639</v>
      </c>
    </row>
    <row r="387" spans="1:14" x14ac:dyDescent="0.3">
      <c r="A387" t="s">
        <v>468</v>
      </c>
      <c r="B387" t="s">
        <v>14</v>
      </c>
      <c r="C387" t="s">
        <v>15</v>
      </c>
      <c r="D387" t="s">
        <v>16</v>
      </c>
      <c r="E387" t="s">
        <v>17</v>
      </c>
      <c r="F387" t="s">
        <v>18</v>
      </c>
      <c r="G387">
        <v>2017</v>
      </c>
      <c r="H387">
        <v>8564.4</v>
      </c>
      <c r="I387">
        <v>5619.6</v>
      </c>
      <c r="J387">
        <v>2944.9</v>
      </c>
      <c r="K387">
        <v>1852.6</v>
      </c>
      <c r="L387">
        <v>21.631404419999999</v>
      </c>
      <c r="M387">
        <v>6711.8</v>
      </c>
      <c r="N387">
        <v>78.368595580000004</v>
      </c>
    </row>
    <row r="388" spans="1:14" x14ac:dyDescent="0.3">
      <c r="A388" t="s">
        <v>469</v>
      </c>
      <c r="B388" t="s">
        <v>14</v>
      </c>
      <c r="C388" t="s">
        <v>21</v>
      </c>
      <c r="D388" t="s">
        <v>16</v>
      </c>
      <c r="E388" t="s">
        <v>51</v>
      </c>
      <c r="F388" t="s">
        <v>18</v>
      </c>
      <c r="G388">
        <v>2001</v>
      </c>
      <c r="H388">
        <v>8551.4</v>
      </c>
      <c r="I388">
        <v>8199.2999999999993</v>
      </c>
      <c r="J388">
        <v>355</v>
      </c>
      <c r="K388">
        <v>7907.6</v>
      </c>
      <c r="L388">
        <v>92.471408190000005</v>
      </c>
      <c r="M388">
        <v>643.79999999999995</v>
      </c>
      <c r="N388">
        <v>7.52859181</v>
      </c>
    </row>
    <row r="389" spans="1:14" x14ac:dyDescent="0.3">
      <c r="A389" t="s">
        <v>470</v>
      </c>
      <c r="B389" t="s">
        <v>78</v>
      </c>
      <c r="C389" t="s">
        <v>45</v>
      </c>
      <c r="D389" t="s">
        <v>46</v>
      </c>
      <c r="E389" t="s">
        <v>47</v>
      </c>
      <c r="F389" t="s">
        <v>48</v>
      </c>
      <c r="G389">
        <v>2015</v>
      </c>
      <c r="H389">
        <v>8531.2999999999993</v>
      </c>
      <c r="I389">
        <v>8465.7000000000007</v>
      </c>
      <c r="J389">
        <v>70</v>
      </c>
      <c r="K389">
        <v>8284.9</v>
      </c>
      <c r="L389">
        <v>97.111811799999998</v>
      </c>
      <c r="M389">
        <v>246.4</v>
      </c>
      <c r="N389">
        <v>2.8881882010000002</v>
      </c>
    </row>
    <row r="390" spans="1:14" x14ac:dyDescent="0.3">
      <c r="A390" t="s">
        <v>471</v>
      </c>
      <c r="B390" t="s">
        <v>14</v>
      </c>
      <c r="C390" t="s">
        <v>204</v>
      </c>
      <c r="D390" t="s">
        <v>16</v>
      </c>
      <c r="E390" t="s">
        <v>51</v>
      </c>
      <c r="F390" t="s">
        <v>48</v>
      </c>
      <c r="G390">
        <v>2008</v>
      </c>
      <c r="H390">
        <v>8509.5</v>
      </c>
      <c r="I390">
        <v>8483.9</v>
      </c>
      <c r="J390">
        <v>29.2</v>
      </c>
      <c r="K390">
        <v>6435.4</v>
      </c>
      <c r="L390">
        <v>75.626064990000003</v>
      </c>
      <c r="M390">
        <v>2074.1</v>
      </c>
      <c r="N390">
        <v>24.37393501</v>
      </c>
    </row>
    <row r="391" spans="1:14" x14ac:dyDescent="0.3">
      <c r="A391" t="s">
        <v>472</v>
      </c>
      <c r="B391" t="s">
        <v>20</v>
      </c>
      <c r="C391" t="s">
        <v>222</v>
      </c>
      <c r="D391" t="s">
        <v>24</v>
      </c>
      <c r="E391" t="s">
        <v>22</v>
      </c>
      <c r="F391" t="s">
        <v>18</v>
      </c>
      <c r="G391">
        <v>2016</v>
      </c>
      <c r="H391">
        <v>8507.9</v>
      </c>
      <c r="I391">
        <v>5811.9</v>
      </c>
      <c r="J391">
        <v>2696</v>
      </c>
      <c r="K391">
        <v>1929.8</v>
      </c>
      <c r="L391">
        <v>22.68244808</v>
      </c>
      <c r="M391">
        <v>6578.1</v>
      </c>
      <c r="N391">
        <v>77.31755192</v>
      </c>
    </row>
    <row r="392" spans="1:14" x14ac:dyDescent="0.3">
      <c r="A392" t="s">
        <v>473</v>
      </c>
      <c r="B392" t="s">
        <v>78</v>
      </c>
      <c r="C392" t="s">
        <v>21</v>
      </c>
      <c r="D392" t="s">
        <v>16</v>
      </c>
      <c r="E392" t="s">
        <v>22</v>
      </c>
      <c r="F392" t="s">
        <v>48</v>
      </c>
      <c r="G392">
        <v>1996</v>
      </c>
      <c r="H392">
        <v>8485.9</v>
      </c>
      <c r="I392">
        <v>8144</v>
      </c>
      <c r="J392">
        <v>346</v>
      </c>
      <c r="K392">
        <v>8125.7</v>
      </c>
      <c r="L392">
        <v>95.755311750000004</v>
      </c>
      <c r="M392">
        <v>360.2</v>
      </c>
      <c r="N392">
        <v>4.2446882480000001</v>
      </c>
    </row>
    <row r="393" spans="1:14" x14ac:dyDescent="0.3">
      <c r="A393" t="s">
        <v>474</v>
      </c>
      <c r="B393" t="s">
        <v>14</v>
      </c>
      <c r="C393" t="s">
        <v>45</v>
      </c>
      <c r="D393" t="s">
        <v>46</v>
      </c>
      <c r="E393" t="s">
        <v>47</v>
      </c>
      <c r="F393" t="s">
        <v>18</v>
      </c>
      <c r="G393">
        <v>2013</v>
      </c>
      <c r="H393">
        <v>8472.9</v>
      </c>
      <c r="I393">
        <v>7819.3</v>
      </c>
      <c r="J393">
        <v>656.6</v>
      </c>
      <c r="K393">
        <v>6967.6</v>
      </c>
      <c r="L393">
        <v>82.233945869999999</v>
      </c>
      <c r="M393">
        <v>1505.3</v>
      </c>
      <c r="N393">
        <v>17.766054130000001</v>
      </c>
    </row>
    <row r="394" spans="1:14" x14ac:dyDescent="0.3">
      <c r="A394" t="s">
        <v>475</v>
      </c>
      <c r="B394" t="s">
        <v>14</v>
      </c>
      <c r="C394" t="s">
        <v>21</v>
      </c>
      <c r="D394" t="s">
        <v>24</v>
      </c>
      <c r="E394" t="s">
        <v>25</v>
      </c>
      <c r="F394" t="s">
        <v>48</v>
      </c>
      <c r="G394">
        <v>2004</v>
      </c>
      <c r="H394">
        <v>8457.4</v>
      </c>
      <c r="I394">
        <v>369.6</v>
      </c>
      <c r="J394">
        <v>8087.7</v>
      </c>
      <c r="K394">
        <v>1.3</v>
      </c>
      <c r="L394">
        <v>1.537115426E-2</v>
      </c>
      <c r="M394">
        <v>8456.1</v>
      </c>
      <c r="N394">
        <v>99.984628850000007</v>
      </c>
    </row>
    <row r="395" spans="1:14" x14ac:dyDescent="0.3">
      <c r="A395" t="s">
        <v>476</v>
      </c>
      <c r="B395" t="s">
        <v>14</v>
      </c>
      <c r="C395" t="s">
        <v>21</v>
      </c>
      <c r="D395" t="s">
        <v>16</v>
      </c>
      <c r="E395" t="s">
        <v>17</v>
      </c>
      <c r="F395" t="s">
        <v>18</v>
      </c>
      <c r="G395">
        <v>2018</v>
      </c>
      <c r="H395">
        <v>8453.7000000000007</v>
      </c>
      <c r="I395">
        <v>6568.5</v>
      </c>
      <c r="J395">
        <v>1885.2</v>
      </c>
      <c r="K395">
        <v>4039.2</v>
      </c>
      <c r="L395">
        <v>47.780261899999999</v>
      </c>
      <c r="M395">
        <v>4414.5</v>
      </c>
      <c r="N395">
        <v>52.219738100000001</v>
      </c>
    </row>
    <row r="396" spans="1:14" x14ac:dyDescent="0.3">
      <c r="A396" t="s">
        <v>477</v>
      </c>
      <c r="B396" t="s">
        <v>14</v>
      </c>
      <c r="C396" t="s">
        <v>478</v>
      </c>
      <c r="D396" t="s">
        <v>257</v>
      </c>
      <c r="E396" t="s">
        <v>17</v>
      </c>
      <c r="F396" t="s">
        <v>18</v>
      </c>
      <c r="G396">
        <v>2013</v>
      </c>
      <c r="H396">
        <v>8439.5</v>
      </c>
      <c r="I396">
        <v>6942.6</v>
      </c>
      <c r="J396">
        <v>1509.4</v>
      </c>
      <c r="K396">
        <v>3538.8</v>
      </c>
      <c r="L396">
        <v>41.931394040000001</v>
      </c>
      <c r="M396">
        <v>4900.7</v>
      </c>
      <c r="N396">
        <v>58.068605959999999</v>
      </c>
    </row>
    <row r="397" spans="1:14" x14ac:dyDescent="0.3">
      <c r="A397" t="s">
        <v>479</v>
      </c>
      <c r="B397" t="s">
        <v>14</v>
      </c>
      <c r="C397" t="s">
        <v>89</v>
      </c>
      <c r="D397" t="s">
        <v>24</v>
      </c>
      <c r="E397" t="s">
        <v>90</v>
      </c>
      <c r="F397" t="s">
        <v>48</v>
      </c>
      <c r="G397">
        <v>2010</v>
      </c>
      <c r="H397">
        <v>8433.7999999999993</v>
      </c>
      <c r="I397">
        <v>7838.5</v>
      </c>
      <c r="J397">
        <v>603.29999999999995</v>
      </c>
      <c r="K397">
        <v>7244.3</v>
      </c>
      <c r="L397">
        <v>85.896037370000002</v>
      </c>
      <c r="M397">
        <v>1189.5</v>
      </c>
      <c r="N397">
        <v>14.10396263</v>
      </c>
    </row>
    <row r="398" spans="1:14" x14ac:dyDescent="0.3">
      <c r="A398" t="s">
        <v>480</v>
      </c>
      <c r="B398" t="s">
        <v>20</v>
      </c>
      <c r="C398" t="s">
        <v>21</v>
      </c>
      <c r="D398" t="s">
        <v>16</v>
      </c>
      <c r="E398" t="s">
        <v>22</v>
      </c>
      <c r="F398" t="s">
        <v>18</v>
      </c>
      <c r="G398">
        <v>2017</v>
      </c>
      <c r="H398">
        <v>8382.9</v>
      </c>
      <c r="I398">
        <v>8387.7999999999993</v>
      </c>
      <c r="J398">
        <v>0</v>
      </c>
      <c r="K398">
        <v>8380.2999999999993</v>
      </c>
      <c r="L398">
        <v>99.968984480000003</v>
      </c>
      <c r="M398">
        <v>2.6</v>
      </c>
      <c r="N398">
        <v>3.101551969E-2</v>
      </c>
    </row>
    <row r="399" spans="1:14" x14ac:dyDescent="0.3">
      <c r="A399" t="s">
        <v>481</v>
      </c>
      <c r="B399" t="s">
        <v>14</v>
      </c>
      <c r="C399" t="s">
        <v>21</v>
      </c>
      <c r="D399" t="s">
        <v>16</v>
      </c>
      <c r="E399" t="s">
        <v>455</v>
      </c>
      <c r="F399" t="s">
        <v>18</v>
      </c>
      <c r="G399">
        <v>1962</v>
      </c>
      <c r="H399">
        <v>8371.5</v>
      </c>
      <c r="I399">
        <v>7723.5</v>
      </c>
      <c r="J399">
        <v>648</v>
      </c>
      <c r="K399">
        <v>7485.7</v>
      </c>
      <c r="L399">
        <v>89.418861609999993</v>
      </c>
      <c r="M399">
        <v>885.8</v>
      </c>
      <c r="N399">
        <v>10.58113839</v>
      </c>
    </row>
    <row r="400" spans="1:14" x14ac:dyDescent="0.3">
      <c r="A400" t="s">
        <v>482</v>
      </c>
      <c r="B400" t="s">
        <v>14</v>
      </c>
      <c r="C400" t="s">
        <v>21</v>
      </c>
      <c r="D400" t="s">
        <v>16</v>
      </c>
      <c r="E400" t="s">
        <v>17</v>
      </c>
      <c r="F400" t="s">
        <v>18</v>
      </c>
      <c r="G400">
        <v>1991</v>
      </c>
      <c r="H400">
        <v>8370.9</v>
      </c>
      <c r="I400">
        <v>1884.2</v>
      </c>
      <c r="J400">
        <v>6486.7</v>
      </c>
      <c r="K400">
        <v>175.8</v>
      </c>
      <c r="L400">
        <v>2.100132602</v>
      </c>
      <c r="M400">
        <v>8195.1</v>
      </c>
      <c r="N400">
        <v>97.899867400000005</v>
      </c>
    </row>
    <row r="401" spans="1:14" x14ac:dyDescent="0.3">
      <c r="A401" t="s">
        <v>483</v>
      </c>
      <c r="B401" t="s">
        <v>14</v>
      </c>
      <c r="C401" t="s">
        <v>33</v>
      </c>
      <c r="D401" t="s">
        <v>16</v>
      </c>
      <c r="E401" t="s">
        <v>22</v>
      </c>
      <c r="F401" t="s">
        <v>18</v>
      </c>
      <c r="G401">
        <v>2003</v>
      </c>
      <c r="H401">
        <v>8366.2999999999993</v>
      </c>
      <c r="I401">
        <v>6159.1</v>
      </c>
      <c r="J401">
        <v>2210.1</v>
      </c>
      <c r="K401">
        <v>10.3</v>
      </c>
      <c r="L401">
        <v>0.1231129651</v>
      </c>
      <c r="M401">
        <v>8356</v>
      </c>
      <c r="N401">
        <v>99.876887030000006</v>
      </c>
    </row>
    <row r="402" spans="1:14" x14ac:dyDescent="0.3">
      <c r="A402" t="s">
        <v>484</v>
      </c>
      <c r="B402" t="s">
        <v>20</v>
      </c>
      <c r="C402" t="s">
        <v>21</v>
      </c>
      <c r="D402" t="s">
        <v>16</v>
      </c>
      <c r="E402" t="s">
        <v>22</v>
      </c>
      <c r="F402" t="s">
        <v>18</v>
      </c>
      <c r="G402">
        <v>2002</v>
      </c>
      <c r="H402">
        <v>8339.2999999999993</v>
      </c>
      <c r="I402">
        <v>7864.3</v>
      </c>
      <c r="J402">
        <v>477.4</v>
      </c>
      <c r="K402">
        <v>7297.4</v>
      </c>
      <c r="L402">
        <v>87.506145599999996</v>
      </c>
      <c r="M402">
        <v>1041.9000000000001</v>
      </c>
      <c r="N402">
        <v>12.4938544</v>
      </c>
    </row>
    <row r="403" spans="1:14" x14ac:dyDescent="0.3">
      <c r="A403" t="s">
        <v>485</v>
      </c>
      <c r="B403" t="s">
        <v>14</v>
      </c>
      <c r="C403" t="s">
        <v>21</v>
      </c>
      <c r="D403" t="s">
        <v>16</v>
      </c>
      <c r="E403" t="s">
        <v>51</v>
      </c>
      <c r="F403" t="s">
        <v>48</v>
      </c>
      <c r="G403">
        <v>1989</v>
      </c>
      <c r="H403">
        <v>8330.4</v>
      </c>
      <c r="I403">
        <v>8328.6</v>
      </c>
      <c r="J403">
        <v>5.6</v>
      </c>
      <c r="K403">
        <v>8188.5</v>
      </c>
      <c r="L403">
        <v>98.296600400000003</v>
      </c>
      <c r="M403">
        <v>141.9</v>
      </c>
      <c r="N403">
        <v>1.703399597</v>
      </c>
    </row>
    <row r="404" spans="1:14" x14ac:dyDescent="0.3">
      <c r="A404" t="s">
        <v>486</v>
      </c>
      <c r="B404" t="s">
        <v>14</v>
      </c>
      <c r="C404" t="s">
        <v>128</v>
      </c>
      <c r="D404" t="s">
        <v>129</v>
      </c>
      <c r="E404" t="s">
        <v>17</v>
      </c>
      <c r="F404" t="s">
        <v>18</v>
      </c>
      <c r="G404">
        <v>2006</v>
      </c>
      <c r="H404">
        <v>8326.7000000000007</v>
      </c>
      <c r="I404">
        <v>4696.3999999999996</v>
      </c>
      <c r="J404">
        <v>3630.4</v>
      </c>
      <c r="K404">
        <v>1125.8</v>
      </c>
      <c r="L404">
        <v>13.52036221</v>
      </c>
      <c r="M404">
        <v>7200.9</v>
      </c>
      <c r="N404">
        <v>86.479637789999998</v>
      </c>
    </row>
    <row r="405" spans="1:14" x14ac:dyDescent="0.3">
      <c r="A405" t="s">
        <v>487</v>
      </c>
      <c r="B405" t="s">
        <v>20</v>
      </c>
      <c r="C405" t="s">
        <v>128</v>
      </c>
      <c r="D405" t="s">
        <v>129</v>
      </c>
      <c r="E405" t="s">
        <v>488</v>
      </c>
      <c r="F405" t="s">
        <v>18</v>
      </c>
      <c r="G405">
        <v>1980</v>
      </c>
      <c r="H405">
        <v>8316.5</v>
      </c>
      <c r="I405">
        <v>8317.7999999999993</v>
      </c>
      <c r="J405">
        <v>0</v>
      </c>
      <c r="K405">
        <v>8289</v>
      </c>
      <c r="L405">
        <v>99.669332049999994</v>
      </c>
      <c r="M405">
        <v>27.5</v>
      </c>
      <c r="N405">
        <v>0.33066794929999999</v>
      </c>
    </row>
    <row r="406" spans="1:14" x14ac:dyDescent="0.3">
      <c r="A406" t="s">
        <v>489</v>
      </c>
      <c r="B406" t="s">
        <v>14</v>
      </c>
      <c r="C406" t="s">
        <v>222</v>
      </c>
      <c r="D406" t="s">
        <v>24</v>
      </c>
      <c r="E406" t="s">
        <v>17</v>
      </c>
      <c r="F406" t="s">
        <v>18</v>
      </c>
      <c r="G406">
        <v>2021</v>
      </c>
      <c r="H406">
        <v>8309.1</v>
      </c>
      <c r="I406">
        <v>5592</v>
      </c>
      <c r="J406">
        <v>2724.4</v>
      </c>
      <c r="K406">
        <v>3545.8</v>
      </c>
      <c r="L406">
        <v>42.673695109999997</v>
      </c>
      <c r="M406">
        <v>4763.3</v>
      </c>
      <c r="N406">
        <v>57.326304890000003</v>
      </c>
    </row>
    <row r="407" spans="1:14" x14ac:dyDescent="0.3">
      <c r="A407" t="s">
        <v>490</v>
      </c>
      <c r="B407" t="s">
        <v>14</v>
      </c>
      <c r="C407" t="s">
        <v>21</v>
      </c>
      <c r="D407" t="s">
        <v>24</v>
      </c>
      <c r="E407" t="s">
        <v>25</v>
      </c>
      <c r="F407" t="s">
        <v>18</v>
      </c>
      <c r="G407">
        <v>2019</v>
      </c>
      <c r="H407">
        <v>8282.2999999999993</v>
      </c>
      <c r="I407">
        <v>6707</v>
      </c>
      <c r="J407">
        <v>1607.4</v>
      </c>
      <c r="K407">
        <v>999.5</v>
      </c>
      <c r="L407">
        <v>12.06790384</v>
      </c>
      <c r="M407">
        <v>7282.8</v>
      </c>
      <c r="N407">
        <v>87.93209616</v>
      </c>
    </row>
    <row r="408" spans="1:14" x14ac:dyDescent="0.3">
      <c r="A408" t="s">
        <v>491</v>
      </c>
      <c r="B408" t="s">
        <v>14</v>
      </c>
      <c r="C408" t="s">
        <v>128</v>
      </c>
      <c r="D408" t="s">
        <v>16</v>
      </c>
      <c r="E408" t="s">
        <v>60</v>
      </c>
      <c r="F408" t="s">
        <v>18</v>
      </c>
      <c r="G408">
        <v>2013</v>
      </c>
      <c r="H408">
        <v>8278.7000000000007</v>
      </c>
      <c r="I408">
        <v>4898.7</v>
      </c>
      <c r="J408">
        <v>3389.6</v>
      </c>
      <c r="K408">
        <v>53.5</v>
      </c>
      <c r="L408">
        <v>0.64623672799999998</v>
      </c>
      <c r="M408">
        <v>8225.2000000000007</v>
      </c>
      <c r="N408">
        <v>99.353763270000002</v>
      </c>
    </row>
    <row r="409" spans="1:14" x14ac:dyDescent="0.3">
      <c r="A409" t="s">
        <v>492</v>
      </c>
      <c r="B409" t="s">
        <v>14</v>
      </c>
      <c r="C409" t="s">
        <v>204</v>
      </c>
      <c r="D409" t="s">
        <v>16</v>
      </c>
      <c r="E409" t="s">
        <v>22</v>
      </c>
      <c r="F409" t="s">
        <v>18</v>
      </c>
      <c r="G409">
        <v>2010</v>
      </c>
      <c r="H409">
        <v>8263</v>
      </c>
      <c r="I409">
        <v>3585.1</v>
      </c>
      <c r="J409">
        <v>4693.6000000000004</v>
      </c>
      <c r="K409">
        <v>6241</v>
      </c>
      <c r="L409">
        <v>75.529468719999997</v>
      </c>
      <c r="M409">
        <v>2022</v>
      </c>
      <c r="N409">
        <v>24.470531279999999</v>
      </c>
    </row>
    <row r="410" spans="1:14" x14ac:dyDescent="0.3">
      <c r="A410" t="s">
        <v>493</v>
      </c>
      <c r="B410" t="s">
        <v>14</v>
      </c>
      <c r="C410" t="s">
        <v>21</v>
      </c>
      <c r="D410" t="s">
        <v>16</v>
      </c>
      <c r="E410" t="s">
        <v>17</v>
      </c>
      <c r="F410" t="s">
        <v>18</v>
      </c>
      <c r="G410">
        <v>2017</v>
      </c>
      <c r="H410">
        <v>8240.2000000000007</v>
      </c>
      <c r="I410">
        <v>6845.4</v>
      </c>
      <c r="J410">
        <v>1394.8</v>
      </c>
      <c r="K410">
        <v>2320.6999999999998</v>
      </c>
      <c r="L410">
        <v>28.163151379999999</v>
      </c>
      <c r="M410">
        <v>5919.5</v>
      </c>
      <c r="N410">
        <v>71.836848619999998</v>
      </c>
    </row>
    <row r="411" spans="1:14" x14ac:dyDescent="0.3">
      <c r="A411" t="s">
        <v>494</v>
      </c>
      <c r="B411" t="s">
        <v>14</v>
      </c>
      <c r="C411" t="s">
        <v>21</v>
      </c>
      <c r="D411" t="s">
        <v>16</v>
      </c>
      <c r="E411" t="s">
        <v>17</v>
      </c>
      <c r="F411" t="s">
        <v>18</v>
      </c>
      <c r="G411">
        <v>1992</v>
      </c>
      <c r="H411">
        <v>8235.9</v>
      </c>
      <c r="I411">
        <v>1236.7</v>
      </c>
      <c r="J411">
        <v>6999.2</v>
      </c>
      <c r="K411">
        <v>228.2</v>
      </c>
      <c r="L411">
        <v>2.7707961490000002</v>
      </c>
      <c r="M411">
        <v>8007.7</v>
      </c>
      <c r="N411">
        <v>97.229203850000005</v>
      </c>
    </row>
    <row r="412" spans="1:14" x14ac:dyDescent="0.3">
      <c r="A412" t="s">
        <v>495</v>
      </c>
      <c r="B412" t="s">
        <v>14</v>
      </c>
      <c r="C412" t="s">
        <v>21</v>
      </c>
      <c r="D412" t="s">
        <v>24</v>
      </c>
      <c r="E412" t="s">
        <v>25</v>
      </c>
      <c r="F412" t="s">
        <v>18</v>
      </c>
      <c r="G412">
        <v>2014</v>
      </c>
      <c r="H412">
        <v>8216.5</v>
      </c>
      <c r="I412">
        <v>760.9</v>
      </c>
      <c r="J412">
        <v>7455.6</v>
      </c>
      <c r="K412">
        <v>196.8</v>
      </c>
      <c r="L412">
        <v>2.3951804299999999</v>
      </c>
      <c r="M412">
        <v>8019.7</v>
      </c>
      <c r="N412">
        <v>97.604819570000004</v>
      </c>
    </row>
    <row r="413" spans="1:14" x14ac:dyDescent="0.3">
      <c r="A413" t="s">
        <v>496</v>
      </c>
      <c r="B413" t="s">
        <v>14</v>
      </c>
      <c r="C413" t="s">
        <v>89</v>
      </c>
      <c r="D413" t="s">
        <v>24</v>
      </c>
      <c r="E413" t="s">
        <v>90</v>
      </c>
      <c r="F413" t="s">
        <v>18</v>
      </c>
      <c r="G413">
        <v>1966</v>
      </c>
      <c r="H413">
        <v>8205.4</v>
      </c>
      <c r="I413">
        <v>8009</v>
      </c>
      <c r="J413">
        <v>204.5</v>
      </c>
      <c r="K413">
        <v>7878.1</v>
      </c>
      <c r="L413">
        <v>96.011163379999999</v>
      </c>
      <c r="M413">
        <v>327.3</v>
      </c>
      <c r="N413">
        <v>3.9888366199999998</v>
      </c>
    </row>
    <row r="414" spans="1:14" x14ac:dyDescent="0.3">
      <c r="A414" t="s">
        <v>497</v>
      </c>
      <c r="B414" t="s">
        <v>14</v>
      </c>
      <c r="C414" t="s">
        <v>15</v>
      </c>
      <c r="D414" t="s">
        <v>16</v>
      </c>
      <c r="E414" t="s">
        <v>51</v>
      </c>
      <c r="F414" t="s">
        <v>48</v>
      </c>
      <c r="G414">
        <v>2003</v>
      </c>
      <c r="H414">
        <v>8203</v>
      </c>
      <c r="I414">
        <v>7983.1</v>
      </c>
      <c r="J414">
        <v>224.9</v>
      </c>
      <c r="K414">
        <v>7947.8</v>
      </c>
      <c r="L414">
        <v>96.888943069999996</v>
      </c>
      <c r="M414">
        <v>255.2</v>
      </c>
      <c r="N414">
        <v>3.1110569300000002</v>
      </c>
    </row>
    <row r="415" spans="1:14" x14ac:dyDescent="0.3">
      <c r="A415" t="s">
        <v>498</v>
      </c>
      <c r="B415" t="s">
        <v>78</v>
      </c>
      <c r="C415" t="s">
        <v>21</v>
      </c>
      <c r="D415" t="s">
        <v>16</v>
      </c>
      <c r="E415" t="s">
        <v>51</v>
      </c>
      <c r="F415" t="s">
        <v>48</v>
      </c>
      <c r="G415">
        <v>1973</v>
      </c>
      <c r="H415">
        <v>8200.1</v>
      </c>
      <c r="I415">
        <v>7224.1</v>
      </c>
      <c r="J415">
        <v>979.3</v>
      </c>
      <c r="K415">
        <v>7171.3</v>
      </c>
      <c r="L415">
        <v>87.453811540000004</v>
      </c>
      <c r="M415">
        <v>1028.8</v>
      </c>
      <c r="N415">
        <v>12.54618846</v>
      </c>
    </row>
    <row r="416" spans="1:14" x14ac:dyDescent="0.3">
      <c r="A416" t="s">
        <v>499</v>
      </c>
      <c r="B416" t="s">
        <v>14</v>
      </c>
      <c r="C416" t="s">
        <v>33</v>
      </c>
      <c r="D416" t="s">
        <v>16</v>
      </c>
      <c r="E416" t="s">
        <v>22</v>
      </c>
      <c r="F416" t="s">
        <v>48</v>
      </c>
      <c r="G416">
        <v>1963</v>
      </c>
      <c r="H416">
        <v>8197.2000000000007</v>
      </c>
      <c r="I416">
        <v>8080.4</v>
      </c>
      <c r="J416">
        <v>120.7</v>
      </c>
      <c r="K416">
        <v>7892.6</v>
      </c>
      <c r="L416">
        <v>96.284097009999996</v>
      </c>
      <c r="M416">
        <v>304.60000000000002</v>
      </c>
      <c r="N416">
        <v>3.7159029910000001</v>
      </c>
    </row>
    <row r="417" spans="1:14" x14ac:dyDescent="0.3">
      <c r="A417" t="s">
        <v>500</v>
      </c>
      <c r="B417" t="s">
        <v>14</v>
      </c>
      <c r="C417" t="s">
        <v>501</v>
      </c>
      <c r="D417" t="s">
        <v>72</v>
      </c>
      <c r="E417" t="s">
        <v>73</v>
      </c>
      <c r="F417" t="s">
        <v>18</v>
      </c>
      <c r="G417">
        <v>1980</v>
      </c>
      <c r="H417">
        <v>8186.9</v>
      </c>
      <c r="I417">
        <v>3408.5</v>
      </c>
      <c r="J417">
        <v>4789.5</v>
      </c>
      <c r="K417">
        <v>515.9</v>
      </c>
      <c r="L417">
        <v>6.3015304939999996</v>
      </c>
      <c r="M417">
        <v>7671</v>
      </c>
      <c r="N417">
        <v>93.698469509999995</v>
      </c>
    </row>
    <row r="418" spans="1:14" x14ac:dyDescent="0.3">
      <c r="A418" t="s">
        <v>502</v>
      </c>
      <c r="B418" t="s">
        <v>14</v>
      </c>
      <c r="C418" t="s">
        <v>42</v>
      </c>
      <c r="D418" t="s">
        <v>24</v>
      </c>
      <c r="E418" t="s">
        <v>82</v>
      </c>
      <c r="F418" t="s">
        <v>48</v>
      </c>
      <c r="G418">
        <v>2012</v>
      </c>
      <c r="H418">
        <v>8164.9</v>
      </c>
      <c r="I418">
        <v>7391.5</v>
      </c>
      <c r="J418">
        <v>775.8</v>
      </c>
      <c r="K418">
        <v>1621.1</v>
      </c>
      <c r="L418">
        <v>19.854499140000001</v>
      </c>
      <c r="M418">
        <v>6543.8</v>
      </c>
      <c r="N418">
        <v>80.145500859999999</v>
      </c>
    </row>
    <row r="419" spans="1:14" x14ac:dyDescent="0.3">
      <c r="A419" t="s">
        <v>503</v>
      </c>
      <c r="B419" t="s">
        <v>14</v>
      </c>
      <c r="C419" t="s">
        <v>21</v>
      </c>
      <c r="D419" t="s">
        <v>16</v>
      </c>
      <c r="E419" t="s">
        <v>17</v>
      </c>
      <c r="F419" t="s">
        <v>18</v>
      </c>
      <c r="G419">
        <v>2015</v>
      </c>
      <c r="H419">
        <v>8148</v>
      </c>
      <c r="I419">
        <v>7808</v>
      </c>
      <c r="J419">
        <v>340</v>
      </c>
      <c r="K419">
        <v>6616.8</v>
      </c>
      <c r="L419">
        <v>81.207658319999993</v>
      </c>
      <c r="M419">
        <v>1531.2</v>
      </c>
      <c r="N419">
        <v>18.79234168</v>
      </c>
    </row>
    <row r="420" spans="1:14" x14ac:dyDescent="0.3">
      <c r="A420" t="s">
        <v>504</v>
      </c>
      <c r="B420" t="s">
        <v>14</v>
      </c>
      <c r="C420" t="s">
        <v>94</v>
      </c>
      <c r="D420" t="s">
        <v>16</v>
      </c>
      <c r="E420" t="s">
        <v>272</v>
      </c>
      <c r="F420" t="s">
        <v>18</v>
      </c>
      <c r="G420">
        <v>2013</v>
      </c>
      <c r="H420">
        <v>8092.2</v>
      </c>
      <c r="I420">
        <v>7918.7</v>
      </c>
      <c r="J420">
        <v>176.9</v>
      </c>
      <c r="K420">
        <v>7804.3</v>
      </c>
      <c r="L420">
        <v>96.442253030000003</v>
      </c>
      <c r="M420">
        <v>287.89999999999998</v>
      </c>
      <c r="N420">
        <v>3.5577469659999998</v>
      </c>
    </row>
    <row r="421" spans="1:14" x14ac:dyDescent="0.3">
      <c r="A421" t="s">
        <v>505</v>
      </c>
      <c r="B421" t="s">
        <v>14</v>
      </c>
      <c r="C421" t="s">
        <v>21</v>
      </c>
      <c r="D421" t="s">
        <v>16</v>
      </c>
      <c r="E421" t="s">
        <v>272</v>
      </c>
      <c r="F421" t="s">
        <v>18</v>
      </c>
      <c r="G421">
        <v>2007</v>
      </c>
      <c r="H421">
        <v>8065.4</v>
      </c>
      <c r="I421">
        <v>7161.8</v>
      </c>
      <c r="J421">
        <v>905.7</v>
      </c>
      <c r="K421">
        <v>4817</v>
      </c>
      <c r="L421">
        <v>59.724254219999999</v>
      </c>
      <c r="M421">
        <v>3248.4</v>
      </c>
      <c r="N421">
        <v>40.275745780000001</v>
      </c>
    </row>
    <row r="422" spans="1:14" x14ac:dyDescent="0.3">
      <c r="A422" t="s">
        <v>506</v>
      </c>
      <c r="B422" t="s">
        <v>14</v>
      </c>
      <c r="C422" t="s">
        <v>21</v>
      </c>
      <c r="D422" t="s">
        <v>24</v>
      </c>
      <c r="E422" t="s">
        <v>90</v>
      </c>
      <c r="F422" t="s">
        <v>48</v>
      </c>
      <c r="G422">
        <v>2020</v>
      </c>
      <c r="H422">
        <v>8063.4</v>
      </c>
      <c r="I422">
        <v>5540.4</v>
      </c>
      <c r="J422">
        <v>2525</v>
      </c>
      <c r="K422">
        <v>3610.3</v>
      </c>
      <c r="L422">
        <v>44.773916710000002</v>
      </c>
      <c r="M422">
        <v>4453.1000000000004</v>
      </c>
      <c r="N422">
        <v>55.226083289999998</v>
      </c>
    </row>
    <row r="423" spans="1:14" x14ac:dyDescent="0.3">
      <c r="A423" t="s">
        <v>507</v>
      </c>
      <c r="B423" t="s">
        <v>20</v>
      </c>
      <c r="C423" t="s">
        <v>45</v>
      </c>
      <c r="D423" t="s">
        <v>46</v>
      </c>
      <c r="E423" t="s">
        <v>47</v>
      </c>
      <c r="F423" t="s">
        <v>18</v>
      </c>
      <c r="G423">
        <v>2016</v>
      </c>
      <c r="H423">
        <v>8056.8</v>
      </c>
      <c r="I423">
        <v>4415.6000000000004</v>
      </c>
      <c r="J423">
        <v>3648.3</v>
      </c>
      <c r="K423">
        <v>3447</v>
      </c>
      <c r="L423">
        <v>42.783735479999997</v>
      </c>
      <c r="M423">
        <v>4609.8</v>
      </c>
      <c r="N423">
        <v>57.216264520000003</v>
      </c>
    </row>
    <row r="424" spans="1:14" x14ac:dyDescent="0.3">
      <c r="A424" t="s">
        <v>508</v>
      </c>
      <c r="B424" t="s">
        <v>14</v>
      </c>
      <c r="C424" t="s">
        <v>21</v>
      </c>
      <c r="D424" t="s">
        <v>16</v>
      </c>
      <c r="E424" t="s">
        <v>17</v>
      </c>
      <c r="F424" t="s">
        <v>18</v>
      </c>
      <c r="G424">
        <v>2011</v>
      </c>
      <c r="H424">
        <v>8043.6</v>
      </c>
      <c r="I424">
        <v>7678.7</v>
      </c>
      <c r="J424">
        <v>364.9</v>
      </c>
      <c r="K424">
        <v>6527.6</v>
      </c>
      <c r="L424">
        <v>81.152717690000003</v>
      </c>
      <c r="M424">
        <v>1516</v>
      </c>
      <c r="N424">
        <v>18.847282310000001</v>
      </c>
    </row>
    <row r="425" spans="1:14" x14ac:dyDescent="0.3">
      <c r="A425" t="s">
        <v>509</v>
      </c>
      <c r="B425" t="s">
        <v>14</v>
      </c>
      <c r="C425" t="s">
        <v>21</v>
      </c>
      <c r="D425" t="s">
        <v>16</v>
      </c>
      <c r="E425" t="s">
        <v>17</v>
      </c>
      <c r="F425" t="s">
        <v>48</v>
      </c>
      <c r="G425">
        <v>2013</v>
      </c>
      <c r="H425">
        <v>8030.3</v>
      </c>
      <c r="I425">
        <v>7270.4</v>
      </c>
      <c r="J425">
        <v>754.2</v>
      </c>
      <c r="K425">
        <v>4098.3999999999996</v>
      </c>
      <c r="L425">
        <v>51.0366985</v>
      </c>
      <c r="M425">
        <v>3931.9</v>
      </c>
      <c r="N425">
        <v>48.9633015</v>
      </c>
    </row>
    <row r="426" spans="1:14" x14ac:dyDescent="0.3">
      <c r="A426" t="s">
        <v>510</v>
      </c>
      <c r="B426" t="s">
        <v>20</v>
      </c>
      <c r="C426" t="s">
        <v>33</v>
      </c>
      <c r="D426" t="s">
        <v>16</v>
      </c>
      <c r="E426" t="s">
        <v>22</v>
      </c>
      <c r="F426" t="s">
        <v>18</v>
      </c>
      <c r="G426">
        <v>2014</v>
      </c>
      <c r="H426">
        <v>8019.9</v>
      </c>
      <c r="I426">
        <v>3097.3</v>
      </c>
      <c r="J426">
        <v>4922.6000000000004</v>
      </c>
      <c r="K426">
        <v>2755.3</v>
      </c>
      <c r="L426">
        <v>34.355789969999996</v>
      </c>
      <c r="M426">
        <v>5264.6</v>
      </c>
      <c r="N426">
        <v>65.644210029999996</v>
      </c>
    </row>
    <row r="427" spans="1:14" x14ac:dyDescent="0.3">
      <c r="A427" t="s">
        <v>511</v>
      </c>
      <c r="B427" t="s">
        <v>14</v>
      </c>
      <c r="C427" t="s">
        <v>33</v>
      </c>
      <c r="D427" t="s">
        <v>16</v>
      </c>
      <c r="E427" t="s">
        <v>51</v>
      </c>
      <c r="F427" t="s">
        <v>48</v>
      </c>
      <c r="G427">
        <v>1983</v>
      </c>
      <c r="H427">
        <v>8014.7</v>
      </c>
      <c r="I427">
        <v>8019.1</v>
      </c>
      <c r="J427">
        <v>0</v>
      </c>
      <c r="K427">
        <v>8014.7</v>
      </c>
      <c r="L427">
        <v>100</v>
      </c>
      <c r="M427">
        <v>0</v>
      </c>
      <c r="N427">
        <v>0</v>
      </c>
    </row>
    <row r="428" spans="1:14" x14ac:dyDescent="0.3">
      <c r="A428" t="s">
        <v>512</v>
      </c>
      <c r="B428" t="s">
        <v>14</v>
      </c>
      <c r="C428" t="s">
        <v>21</v>
      </c>
      <c r="D428" t="s">
        <v>16</v>
      </c>
      <c r="E428" t="s">
        <v>51</v>
      </c>
      <c r="F428" t="s">
        <v>48</v>
      </c>
      <c r="G428">
        <v>1972</v>
      </c>
      <c r="H428">
        <v>7987.3</v>
      </c>
      <c r="I428">
        <v>7990.9</v>
      </c>
      <c r="J428">
        <v>0</v>
      </c>
      <c r="K428">
        <v>7987.3</v>
      </c>
      <c r="L428">
        <v>100</v>
      </c>
      <c r="M428">
        <v>0</v>
      </c>
      <c r="N428">
        <v>0</v>
      </c>
    </row>
    <row r="429" spans="1:14" x14ac:dyDescent="0.3">
      <c r="A429" t="s">
        <v>513</v>
      </c>
      <c r="B429" t="s">
        <v>14</v>
      </c>
      <c r="C429" t="s">
        <v>33</v>
      </c>
      <c r="D429" t="s">
        <v>16</v>
      </c>
      <c r="E429" t="s">
        <v>51</v>
      </c>
      <c r="F429" t="s">
        <v>48</v>
      </c>
      <c r="G429">
        <v>1977</v>
      </c>
      <c r="H429">
        <v>7976.6</v>
      </c>
      <c r="I429">
        <v>7980.4</v>
      </c>
      <c r="J429">
        <v>0.6</v>
      </c>
      <c r="K429">
        <v>7960.2</v>
      </c>
      <c r="L429">
        <v>99.794398619999996</v>
      </c>
      <c r="M429">
        <v>16.399999999999999</v>
      </c>
      <c r="N429">
        <v>0.205601384</v>
      </c>
    </row>
    <row r="430" spans="1:14" x14ac:dyDescent="0.3">
      <c r="A430" t="s">
        <v>514</v>
      </c>
      <c r="B430" t="s">
        <v>14</v>
      </c>
      <c r="C430" t="s">
        <v>33</v>
      </c>
      <c r="D430" t="s">
        <v>16</v>
      </c>
      <c r="E430" t="s">
        <v>22</v>
      </c>
      <c r="F430" t="s">
        <v>18</v>
      </c>
      <c r="G430">
        <v>1981</v>
      </c>
      <c r="H430">
        <v>7940.4</v>
      </c>
      <c r="I430">
        <v>7942.6</v>
      </c>
      <c r="J430">
        <v>0</v>
      </c>
      <c r="K430">
        <v>7116.9</v>
      </c>
      <c r="L430">
        <v>89.628985950000001</v>
      </c>
      <c r="M430">
        <v>823.5</v>
      </c>
      <c r="N430">
        <v>10.371014049999999</v>
      </c>
    </row>
    <row r="431" spans="1:14" x14ac:dyDescent="0.3">
      <c r="A431" t="s">
        <v>515</v>
      </c>
      <c r="B431" t="s">
        <v>14</v>
      </c>
      <c r="C431" t="s">
        <v>21</v>
      </c>
      <c r="D431" t="s">
        <v>16</v>
      </c>
      <c r="E431" t="s">
        <v>51</v>
      </c>
      <c r="F431" t="s">
        <v>48</v>
      </c>
      <c r="G431">
        <v>2001</v>
      </c>
      <c r="H431">
        <v>7934.8</v>
      </c>
      <c r="I431">
        <v>4641.5</v>
      </c>
      <c r="J431">
        <v>3299.4</v>
      </c>
      <c r="K431">
        <v>7901.6</v>
      </c>
      <c r="L431">
        <v>99.581589960000002</v>
      </c>
      <c r="M431">
        <v>33.200000000000003</v>
      </c>
      <c r="N431">
        <v>0.41841004180000002</v>
      </c>
    </row>
    <row r="432" spans="1:14" x14ac:dyDescent="0.3">
      <c r="A432" t="s">
        <v>516</v>
      </c>
      <c r="B432" t="s">
        <v>14</v>
      </c>
      <c r="C432" t="s">
        <v>517</v>
      </c>
      <c r="D432" t="s">
        <v>518</v>
      </c>
      <c r="E432" t="s">
        <v>22</v>
      </c>
      <c r="F432" t="s">
        <v>18</v>
      </c>
      <c r="G432">
        <v>2002</v>
      </c>
      <c r="H432">
        <v>7934.5</v>
      </c>
      <c r="I432">
        <v>2022.8</v>
      </c>
      <c r="J432">
        <v>5906</v>
      </c>
      <c r="K432">
        <v>723</v>
      </c>
      <c r="L432">
        <v>9.1121053629999995</v>
      </c>
      <c r="M432">
        <v>7211.5</v>
      </c>
      <c r="N432">
        <v>90.887894639999999</v>
      </c>
    </row>
    <row r="433" spans="1:14" x14ac:dyDescent="0.3">
      <c r="A433" t="s">
        <v>519</v>
      </c>
      <c r="B433" t="s">
        <v>14</v>
      </c>
      <c r="C433" t="s">
        <v>42</v>
      </c>
      <c r="D433" t="s">
        <v>24</v>
      </c>
      <c r="E433" t="s">
        <v>25</v>
      </c>
      <c r="F433" t="s">
        <v>18</v>
      </c>
      <c r="G433">
        <v>2016</v>
      </c>
      <c r="H433">
        <v>7921.6</v>
      </c>
      <c r="I433">
        <v>7400.3</v>
      </c>
      <c r="J433">
        <v>508.4</v>
      </c>
      <c r="K433">
        <v>7.5</v>
      </c>
      <c r="L433">
        <v>9.467784286E-2</v>
      </c>
      <c r="M433">
        <v>7914.1</v>
      </c>
      <c r="N433">
        <v>99.905322159999997</v>
      </c>
    </row>
    <row r="434" spans="1:14" x14ac:dyDescent="0.3">
      <c r="A434" t="s">
        <v>520</v>
      </c>
      <c r="B434" t="s">
        <v>20</v>
      </c>
      <c r="C434" t="s">
        <v>33</v>
      </c>
      <c r="D434" t="s">
        <v>16</v>
      </c>
      <c r="E434" t="s">
        <v>455</v>
      </c>
      <c r="F434" t="s">
        <v>18</v>
      </c>
      <c r="G434">
        <v>2018</v>
      </c>
      <c r="H434">
        <v>7892.9</v>
      </c>
      <c r="I434">
        <v>7895.6</v>
      </c>
      <c r="J434">
        <v>0</v>
      </c>
      <c r="K434">
        <v>7164.5</v>
      </c>
      <c r="L434">
        <v>90.771452819999993</v>
      </c>
      <c r="M434">
        <v>728.4</v>
      </c>
      <c r="N434">
        <v>9.2285471749999992</v>
      </c>
    </row>
    <row r="435" spans="1:14" x14ac:dyDescent="0.3">
      <c r="A435" t="s">
        <v>521</v>
      </c>
      <c r="B435" t="s">
        <v>14</v>
      </c>
      <c r="C435" t="s">
        <v>33</v>
      </c>
      <c r="D435" t="s">
        <v>16</v>
      </c>
      <c r="E435" t="s">
        <v>51</v>
      </c>
      <c r="F435" t="s">
        <v>48</v>
      </c>
      <c r="G435">
        <v>1978</v>
      </c>
      <c r="H435">
        <v>7891.3</v>
      </c>
      <c r="I435">
        <v>7595.8</v>
      </c>
      <c r="J435">
        <v>298.7</v>
      </c>
      <c r="K435">
        <v>7890.8</v>
      </c>
      <c r="L435">
        <v>99.993663909999995</v>
      </c>
      <c r="M435">
        <v>0.5</v>
      </c>
      <c r="N435">
        <v>6.3360916449999999E-3</v>
      </c>
    </row>
    <row r="436" spans="1:14" x14ac:dyDescent="0.3">
      <c r="A436" t="s">
        <v>522</v>
      </c>
      <c r="B436" t="s">
        <v>20</v>
      </c>
      <c r="C436" t="s">
        <v>45</v>
      </c>
      <c r="D436" t="s">
        <v>46</v>
      </c>
      <c r="E436" t="s">
        <v>47</v>
      </c>
      <c r="F436" t="s">
        <v>48</v>
      </c>
      <c r="G436">
        <v>2022</v>
      </c>
      <c r="H436">
        <v>7886.9</v>
      </c>
      <c r="I436">
        <v>7880.6</v>
      </c>
      <c r="J436">
        <v>5.3</v>
      </c>
      <c r="K436">
        <v>7566</v>
      </c>
      <c r="L436">
        <v>95.931227730000003</v>
      </c>
      <c r="M436">
        <v>320.89999999999998</v>
      </c>
      <c r="N436">
        <v>4.068772268</v>
      </c>
    </row>
    <row r="437" spans="1:14" x14ac:dyDescent="0.3">
      <c r="A437" t="s">
        <v>523</v>
      </c>
      <c r="B437" t="s">
        <v>14</v>
      </c>
      <c r="C437" t="s">
        <v>21</v>
      </c>
      <c r="D437" t="s">
        <v>16</v>
      </c>
      <c r="E437" t="s">
        <v>291</v>
      </c>
      <c r="F437" t="s">
        <v>48</v>
      </c>
      <c r="G437">
        <v>2001</v>
      </c>
      <c r="H437">
        <v>7871.9</v>
      </c>
      <c r="I437">
        <v>7152</v>
      </c>
      <c r="J437">
        <v>706.6</v>
      </c>
      <c r="K437">
        <v>7858.1</v>
      </c>
      <c r="L437">
        <v>99.824692889999994</v>
      </c>
      <c r="M437">
        <v>13.8</v>
      </c>
      <c r="N437">
        <v>0.17530710499999999</v>
      </c>
    </row>
    <row r="438" spans="1:14" x14ac:dyDescent="0.3">
      <c r="A438" t="s">
        <v>524</v>
      </c>
      <c r="B438" t="s">
        <v>14</v>
      </c>
      <c r="C438" t="s">
        <v>525</v>
      </c>
      <c r="D438" t="s">
        <v>24</v>
      </c>
      <c r="E438" t="s">
        <v>82</v>
      </c>
      <c r="F438" t="s">
        <v>18</v>
      </c>
      <c r="G438">
        <v>1985</v>
      </c>
      <c r="H438">
        <v>7852.2</v>
      </c>
      <c r="I438">
        <v>7854.4</v>
      </c>
      <c r="J438">
        <v>4</v>
      </c>
      <c r="K438">
        <v>7062</v>
      </c>
      <c r="L438">
        <v>89.936578280000006</v>
      </c>
      <c r="M438">
        <v>790.2</v>
      </c>
      <c r="N438">
        <v>10.063421719999999</v>
      </c>
    </row>
    <row r="439" spans="1:14" x14ac:dyDescent="0.3">
      <c r="A439" t="s">
        <v>526</v>
      </c>
      <c r="B439" t="s">
        <v>78</v>
      </c>
      <c r="C439" t="s">
        <v>89</v>
      </c>
      <c r="D439" t="s">
        <v>24</v>
      </c>
      <c r="E439" t="s">
        <v>82</v>
      </c>
      <c r="F439" t="s">
        <v>48</v>
      </c>
      <c r="G439">
        <v>1982</v>
      </c>
      <c r="H439">
        <v>7838.9</v>
      </c>
      <c r="I439">
        <v>7528</v>
      </c>
      <c r="J439">
        <v>310.89999999999998</v>
      </c>
      <c r="K439">
        <v>2829.8</v>
      </c>
      <c r="L439">
        <v>36.099452730000003</v>
      </c>
      <c r="M439">
        <v>5009.1000000000004</v>
      </c>
      <c r="N439">
        <v>63.900547269999997</v>
      </c>
    </row>
    <row r="440" spans="1:14" x14ac:dyDescent="0.3">
      <c r="A440" t="s">
        <v>527</v>
      </c>
      <c r="B440" t="s">
        <v>14</v>
      </c>
      <c r="C440" t="s">
        <v>33</v>
      </c>
      <c r="D440" t="s">
        <v>16</v>
      </c>
      <c r="E440" t="s">
        <v>22</v>
      </c>
      <c r="F440" t="s">
        <v>18</v>
      </c>
      <c r="G440">
        <v>2015</v>
      </c>
      <c r="H440">
        <v>7824.1</v>
      </c>
      <c r="I440">
        <v>6895.6</v>
      </c>
      <c r="J440">
        <v>928.5</v>
      </c>
      <c r="K440">
        <v>6188.5</v>
      </c>
      <c r="L440">
        <v>79.095359209999998</v>
      </c>
      <c r="M440">
        <v>1635.6</v>
      </c>
      <c r="N440">
        <v>20.904640789999998</v>
      </c>
    </row>
    <row r="441" spans="1:14" x14ac:dyDescent="0.3">
      <c r="A441" t="s">
        <v>528</v>
      </c>
      <c r="B441" t="s">
        <v>14</v>
      </c>
      <c r="C441" t="s">
        <v>21</v>
      </c>
      <c r="D441" t="s">
        <v>16</v>
      </c>
      <c r="E441" t="s">
        <v>17</v>
      </c>
      <c r="F441" t="s">
        <v>18</v>
      </c>
      <c r="G441">
        <v>2008</v>
      </c>
      <c r="H441">
        <v>7817.3</v>
      </c>
      <c r="I441">
        <v>4590.3999999999996</v>
      </c>
      <c r="J441">
        <v>3227</v>
      </c>
      <c r="K441">
        <v>1655.2</v>
      </c>
      <c r="L441">
        <v>21.173550970000001</v>
      </c>
      <c r="M441">
        <v>6162.1</v>
      </c>
      <c r="N441">
        <v>78.826449030000006</v>
      </c>
    </row>
    <row r="442" spans="1:14" x14ac:dyDescent="0.3">
      <c r="A442" t="s">
        <v>529</v>
      </c>
      <c r="B442" t="s">
        <v>14</v>
      </c>
      <c r="C442" t="s">
        <v>21</v>
      </c>
      <c r="D442" t="s">
        <v>16</v>
      </c>
      <c r="E442" t="s">
        <v>27</v>
      </c>
      <c r="F442" t="s">
        <v>18</v>
      </c>
      <c r="G442">
        <v>2016</v>
      </c>
      <c r="H442">
        <v>7810.5</v>
      </c>
      <c r="I442">
        <v>3575.2</v>
      </c>
      <c r="J442">
        <v>4235.2</v>
      </c>
      <c r="K442">
        <v>2342.1</v>
      </c>
      <c r="L442">
        <v>29.98655656</v>
      </c>
      <c r="M442">
        <v>5468.4</v>
      </c>
      <c r="N442">
        <v>70.013443440000003</v>
      </c>
    </row>
    <row r="443" spans="1:14" x14ac:dyDescent="0.3">
      <c r="A443" t="s">
        <v>530</v>
      </c>
      <c r="B443" t="s">
        <v>14</v>
      </c>
      <c r="C443" t="s">
        <v>33</v>
      </c>
      <c r="D443" t="s">
        <v>16</v>
      </c>
      <c r="E443" t="s">
        <v>60</v>
      </c>
      <c r="F443" t="s">
        <v>48</v>
      </c>
      <c r="G443">
        <v>2010</v>
      </c>
      <c r="H443">
        <v>7787.8</v>
      </c>
      <c r="I443">
        <v>5988.8</v>
      </c>
      <c r="J443">
        <v>1801.6</v>
      </c>
      <c r="K443">
        <v>801</v>
      </c>
      <c r="L443">
        <v>10.28531806</v>
      </c>
      <c r="M443">
        <v>6986.8</v>
      </c>
      <c r="N443">
        <v>89.714681940000006</v>
      </c>
    </row>
    <row r="444" spans="1:14" x14ac:dyDescent="0.3">
      <c r="A444" t="s">
        <v>531</v>
      </c>
      <c r="B444" t="s">
        <v>14</v>
      </c>
      <c r="C444" t="s">
        <v>21</v>
      </c>
      <c r="D444" t="s">
        <v>24</v>
      </c>
      <c r="E444" t="s">
        <v>25</v>
      </c>
      <c r="F444" t="s">
        <v>18</v>
      </c>
      <c r="G444">
        <v>2014</v>
      </c>
      <c r="H444">
        <v>7785.3</v>
      </c>
      <c r="I444">
        <v>2720.2</v>
      </c>
      <c r="J444">
        <v>5065.1000000000004</v>
      </c>
      <c r="K444">
        <v>69.3</v>
      </c>
      <c r="L444">
        <v>0.89013910829999998</v>
      </c>
      <c r="M444">
        <v>7716</v>
      </c>
      <c r="N444">
        <v>99.109860889999993</v>
      </c>
    </row>
    <row r="445" spans="1:14" x14ac:dyDescent="0.3">
      <c r="A445" t="s">
        <v>532</v>
      </c>
      <c r="B445" t="s">
        <v>14</v>
      </c>
      <c r="C445" t="s">
        <v>147</v>
      </c>
      <c r="D445" t="s">
        <v>16</v>
      </c>
      <c r="E445" t="s">
        <v>60</v>
      </c>
      <c r="F445" t="s">
        <v>18</v>
      </c>
      <c r="G445">
        <v>2010</v>
      </c>
      <c r="H445">
        <v>7765.7</v>
      </c>
      <c r="I445">
        <v>4434.2</v>
      </c>
      <c r="J445">
        <v>3331.5</v>
      </c>
      <c r="K445">
        <v>781.1</v>
      </c>
      <c r="L445">
        <v>10.05833344</v>
      </c>
      <c r="M445">
        <v>6984.6</v>
      </c>
      <c r="N445">
        <v>89.941666560000002</v>
      </c>
    </row>
    <row r="446" spans="1:14" x14ac:dyDescent="0.3">
      <c r="A446" t="s">
        <v>533</v>
      </c>
      <c r="B446" t="s">
        <v>14</v>
      </c>
      <c r="C446" t="s">
        <v>534</v>
      </c>
      <c r="D446" t="s">
        <v>129</v>
      </c>
      <c r="E446" t="s">
        <v>17</v>
      </c>
      <c r="F446" t="s">
        <v>18</v>
      </c>
      <c r="G446">
        <v>2006</v>
      </c>
      <c r="H446">
        <v>7738.2</v>
      </c>
      <c r="I446">
        <v>3470.6</v>
      </c>
      <c r="J446">
        <v>4267.7</v>
      </c>
      <c r="K446">
        <v>1580.4</v>
      </c>
      <c r="L446">
        <v>20.423354270000001</v>
      </c>
      <c r="M446">
        <v>6157.8</v>
      </c>
      <c r="N446">
        <v>79.576645729999996</v>
      </c>
    </row>
    <row r="447" spans="1:14" x14ac:dyDescent="0.3">
      <c r="A447" t="s">
        <v>535</v>
      </c>
      <c r="B447" t="s">
        <v>14</v>
      </c>
      <c r="C447" t="s">
        <v>21</v>
      </c>
      <c r="D447" t="s">
        <v>16</v>
      </c>
      <c r="E447" t="s">
        <v>17</v>
      </c>
      <c r="F447" t="s">
        <v>18</v>
      </c>
      <c r="G447">
        <v>2000</v>
      </c>
      <c r="H447">
        <v>7729.6</v>
      </c>
      <c r="I447">
        <v>6445.6</v>
      </c>
      <c r="J447">
        <v>1287.7</v>
      </c>
      <c r="K447">
        <v>2355.3000000000002</v>
      </c>
      <c r="L447">
        <v>30.47117574</v>
      </c>
      <c r="M447">
        <v>5374.3</v>
      </c>
      <c r="N447">
        <v>69.528824259999993</v>
      </c>
    </row>
    <row r="448" spans="1:14" x14ac:dyDescent="0.3">
      <c r="A448" t="s">
        <v>536</v>
      </c>
      <c r="B448" t="s">
        <v>14</v>
      </c>
      <c r="C448" t="s">
        <v>33</v>
      </c>
      <c r="D448" t="s">
        <v>16</v>
      </c>
      <c r="E448" t="s">
        <v>51</v>
      </c>
      <c r="F448" t="s">
        <v>48</v>
      </c>
      <c r="G448">
        <v>2009</v>
      </c>
      <c r="H448">
        <v>7713.9</v>
      </c>
      <c r="I448">
        <v>7713.9</v>
      </c>
      <c r="J448">
        <v>0</v>
      </c>
      <c r="K448">
        <v>7200.6</v>
      </c>
      <c r="L448">
        <v>93.3457784</v>
      </c>
      <c r="M448">
        <v>513.29999999999995</v>
      </c>
      <c r="N448">
        <v>6.6542215999999996</v>
      </c>
    </row>
    <row r="449" spans="1:14" x14ac:dyDescent="0.3">
      <c r="A449" t="s">
        <v>537</v>
      </c>
      <c r="B449" t="s">
        <v>14</v>
      </c>
      <c r="C449" t="s">
        <v>71</v>
      </c>
      <c r="D449" t="s">
        <v>72</v>
      </c>
      <c r="E449" t="s">
        <v>22</v>
      </c>
      <c r="F449" t="s">
        <v>18</v>
      </c>
      <c r="G449">
        <v>1999</v>
      </c>
      <c r="H449">
        <v>7689.5</v>
      </c>
      <c r="I449">
        <v>107.1</v>
      </c>
      <c r="J449">
        <v>7598.6</v>
      </c>
      <c r="K449">
        <v>0</v>
      </c>
      <c r="L449">
        <v>0</v>
      </c>
      <c r="M449">
        <v>7689.5</v>
      </c>
      <c r="N449">
        <v>100</v>
      </c>
    </row>
    <row r="450" spans="1:14" x14ac:dyDescent="0.3">
      <c r="A450" t="s">
        <v>538</v>
      </c>
      <c r="B450" t="s">
        <v>14</v>
      </c>
      <c r="C450" t="s">
        <v>21</v>
      </c>
      <c r="D450" t="s">
        <v>16</v>
      </c>
      <c r="E450" t="s">
        <v>51</v>
      </c>
      <c r="F450" t="s">
        <v>48</v>
      </c>
      <c r="G450">
        <v>1991</v>
      </c>
      <c r="H450">
        <v>7673.1</v>
      </c>
      <c r="I450">
        <v>7673.1</v>
      </c>
      <c r="J450">
        <v>0</v>
      </c>
      <c r="K450">
        <v>7659.2</v>
      </c>
      <c r="L450">
        <v>99.818847660000003</v>
      </c>
      <c r="M450">
        <v>13.9</v>
      </c>
      <c r="N450">
        <v>0.1811523374</v>
      </c>
    </row>
    <row r="451" spans="1:14" x14ac:dyDescent="0.3">
      <c r="A451" t="s">
        <v>539</v>
      </c>
      <c r="B451" t="s">
        <v>14</v>
      </c>
      <c r="C451" t="s">
        <v>21</v>
      </c>
      <c r="D451" t="s">
        <v>24</v>
      </c>
      <c r="E451" t="s">
        <v>25</v>
      </c>
      <c r="F451" t="s">
        <v>18</v>
      </c>
      <c r="G451">
        <v>2004</v>
      </c>
      <c r="H451">
        <v>7661.6</v>
      </c>
      <c r="I451">
        <v>1713.9</v>
      </c>
      <c r="J451">
        <v>5947.7</v>
      </c>
      <c r="K451">
        <v>560.9</v>
      </c>
      <c r="L451">
        <v>7.3209251330000003</v>
      </c>
      <c r="M451">
        <v>7100.7</v>
      </c>
      <c r="N451">
        <v>92.679074869999994</v>
      </c>
    </row>
    <row r="452" spans="1:14" x14ac:dyDescent="0.3">
      <c r="A452" t="s">
        <v>540</v>
      </c>
      <c r="B452" t="s">
        <v>14</v>
      </c>
      <c r="C452" t="s">
        <v>42</v>
      </c>
      <c r="D452" t="s">
        <v>24</v>
      </c>
      <c r="E452" t="s">
        <v>25</v>
      </c>
      <c r="F452" t="s">
        <v>18</v>
      </c>
      <c r="G452">
        <v>2017</v>
      </c>
      <c r="H452">
        <v>7645.2</v>
      </c>
      <c r="I452">
        <v>4203.6000000000004</v>
      </c>
      <c r="J452">
        <v>3448.5</v>
      </c>
      <c r="K452">
        <v>1809.6</v>
      </c>
      <c r="L452">
        <v>23.669753570000001</v>
      </c>
      <c r="M452">
        <v>5835.6</v>
      </c>
      <c r="N452">
        <v>76.330246430000003</v>
      </c>
    </row>
    <row r="453" spans="1:14" x14ac:dyDescent="0.3">
      <c r="A453" t="s">
        <v>541</v>
      </c>
      <c r="B453" t="s">
        <v>20</v>
      </c>
      <c r="C453" t="s">
        <v>15</v>
      </c>
      <c r="D453" t="s">
        <v>16</v>
      </c>
      <c r="E453" t="s">
        <v>22</v>
      </c>
      <c r="F453" t="s">
        <v>18</v>
      </c>
      <c r="G453">
        <v>2000</v>
      </c>
      <c r="H453">
        <v>7628.1</v>
      </c>
      <c r="I453">
        <v>6657.6</v>
      </c>
      <c r="J453">
        <v>974.8</v>
      </c>
      <c r="K453">
        <v>3569</v>
      </c>
      <c r="L453">
        <v>46.787535560000002</v>
      </c>
      <c r="M453">
        <v>4059.1</v>
      </c>
      <c r="N453">
        <v>53.212464439999998</v>
      </c>
    </row>
    <row r="454" spans="1:14" x14ac:dyDescent="0.3">
      <c r="A454" t="s">
        <v>542</v>
      </c>
      <c r="B454" t="s">
        <v>14</v>
      </c>
      <c r="C454" t="s">
        <v>166</v>
      </c>
      <c r="D454" t="s">
        <v>167</v>
      </c>
      <c r="E454" t="s">
        <v>82</v>
      </c>
      <c r="F454" t="s">
        <v>18</v>
      </c>
      <c r="G454">
        <v>2003</v>
      </c>
      <c r="H454">
        <v>7618.8</v>
      </c>
      <c r="I454">
        <v>5257.8</v>
      </c>
      <c r="J454">
        <v>2361</v>
      </c>
      <c r="K454">
        <v>2908.3</v>
      </c>
      <c r="L454">
        <v>38.17267811</v>
      </c>
      <c r="M454">
        <v>4710.5</v>
      </c>
      <c r="N454">
        <v>61.82732189</v>
      </c>
    </row>
    <row r="455" spans="1:14" x14ac:dyDescent="0.3">
      <c r="A455" t="s">
        <v>543</v>
      </c>
      <c r="B455" t="s">
        <v>14</v>
      </c>
      <c r="C455" t="s">
        <v>21</v>
      </c>
      <c r="D455" t="s">
        <v>16</v>
      </c>
      <c r="E455" t="s">
        <v>291</v>
      </c>
      <c r="F455" t="s">
        <v>48</v>
      </c>
      <c r="G455">
        <v>2000</v>
      </c>
      <c r="H455">
        <v>7612.3</v>
      </c>
      <c r="I455">
        <v>7614.9</v>
      </c>
      <c r="J455">
        <v>0</v>
      </c>
      <c r="K455">
        <v>6849.1</v>
      </c>
      <c r="L455">
        <v>89.974120830000004</v>
      </c>
      <c r="M455">
        <v>763.2</v>
      </c>
      <c r="N455">
        <v>10.02587917</v>
      </c>
    </row>
    <row r="456" spans="1:14" x14ac:dyDescent="0.3">
      <c r="A456" t="s">
        <v>544</v>
      </c>
      <c r="B456" t="s">
        <v>20</v>
      </c>
      <c r="C456" t="s">
        <v>21</v>
      </c>
      <c r="D456" t="s">
        <v>16</v>
      </c>
      <c r="E456" t="s">
        <v>27</v>
      </c>
      <c r="F456" t="s">
        <v>18</v>
      </c>
      <c r="G456">
        <v>2016</v>
      </c>
      <c r="H456">
        <v>7608.2</v>
      </c>
      <c r="I456">
        <v>3801.5</v>
      </c>
      <c r="J456">
        <v>3806.7</v>
      </c>
      <c r="K456">
        <v>2191.8000000000002</v>
      </c>
      <c r="L456">
        <v>28.80839095</v>
      </c>
      <c r="M456">
        <v>5416.4</v>
      </c>
      <c r="N456">
        <v>71.191609049999997</v>
      </c>
    </row>
    <row r="457" spans="1:14" x14ac:dyDescent="0.3">
      <c r="A457" t="s">
        <v>545</v>
      </c>
      <c r="B457" t="s">
        <v>20</v>
      </c>
      <c r="C457" t="s">
        <v>33</v>
      </c>
      <c r="D457" t="s">
        <v>16</v>
      </c>
      <c r="E457" t="s">
        <v>22</v>
      </c>
      <c r="F457" t="s">
        <v>18</v>
      </c>
      <c r="G457">
        <v>2012</v>
      </c>
      <c r="H457">
        <v>7596.7</v>
      </c>
      <c r="I457">
        <v>3575.7</v>
      </c>
      <c r="J457">
        <v>4021</v>
      </c>
      <c r="K457">
        <v>2786.1</v>
      </c>
      <c r="L457">
        <v>36.675135259999998</v>
      </c>
      <c r="M457">
        <v>4810.6000000000004</v>
      </c>
      <c r="N457">
        <v>63.324864740000002</v>
      </c>
    </row>
    <row r="458" spans="1:14" x14ac:dyDescent="0.3">
      <c r="A458" t="s">
        <v>546</v>
      </c>
      <c r="B458" t="s">
        <v>14</v>
      </c>
      <c r="C458" t="s">
        <v>21</v>
      </c>
      <c r="D458" t="s">
        <v>16</v>
      </c>
      <c r="E458" t="s">
        <v>17</v>
      </c>
      <c r="F458" t="s">
        <v>18</v>
      </c>
      <c r="G458">
        <v>2007</v>
      </c>
      <c r="H458">
        <v>7589.1</v>
      </c>
      <c r="I458">
        <v>6273.4</v>
      </c>
      <c r="J458">
        <v>1315.7</v>
      </c>
      <c r="K458">
        <v>5418.2</v>
      </c>
      <c r="L458">
        <v>71.394500010000002</v>
      </c>
      <c r="M458">
        <v>2170.9</v>
      </c>
      <c r="N458">
        <v>28.605499989999998</v>
      </c>
    </row>
    <row r="459" spans="1:14" x14ac:dyDescent="0.3">
      <c r="A459" t="s">
        <v>547</v>
      </c>
      <c r="B459" t="s">
        <v>20</v>
      </c>
      <c r="C459" t="s">
        <v>548</v>
      </c>
      <c r="D459" t="s">
        <v>16</v>
      </c>
      <c r="E459" t="s">
        <v>51</v>
      </c>
      <c r="F459" t="s">
        <v>18</v>
      </c>
      <c r="G459">
        <v>2017</v>
      </c>
      <c r="H459">
        <v>7552.8</v>
      </c>
      <c r="I459">
        <v>5418.1</v>
      </c>
      <c r="J459">
        <v>2144.1</v>
      </c>
      <c r="K459">
        <v>4710</v>
      </c>
      <c r="L459">
        <v>62.360978709999998</v>
      </c>
      <c r="M459">
        <v>2842.8</v>
      </c>
      <c r="N459">
        <v>37.639021290000002</v>
      </c>
    </row>
    <row r="460" spans="1:14" x14ac:dyDescent="0.3">
      <c r="A460" t="s">
        <v>549</v>
      </c>
      <c r="B460" t="s">
        <v>14</v>
      </c>
      <c r="C460" t="s">
        <v>71</v>
      </c>
      <c r="D460" t="s">
        <v>550</v>
      </c>
      <c r="E460" t="s">
        <v>17</v>
      </c>
      <c r="F460" t="s">
        <v>18</v>
      </c>
      <c r="G460">
        <v>2014</v>
      </c>
      <c r="H460">
        <v>7550.3</v>
      </c>
      <c r="I460">
        <v>6212.4</v>
      </c>
      <c r="J460">
        <v>1334.7</v>
      </c>
      <c r="K460">
        <v>1537.2</v>
      </c>
      <c r="L460">
        <v>20.359455919999998</v>
      </c>
      <c r="M460">
        <v>6013.1</v>
      </c>
      <c r="N460">
        <v>79.640544079999998</v>
      </c>
    </row>
    <row r="461" spans="1:14" x14ac:dyDescent="0.3">
      <c r="A461" t="s">
        <v>551</v>
      </c>
      <c r="B461" t="s">
        <v>20</v>
      </c>
      <c r="C461" t="s">
        <v>15</v>
      </c>
      <c r="D461" t="s">
        <v>257</v>
      </c>
      <c r="E461" t="s">
        <v>22</v>
      </c>
      <c r="F461" t="s">
        <v>18</v>
      </c>
      <c r="G461">
        <v>1981</v>
      </c>
      <c r="H461">
        <v>7543.1</v>
      </c>
      <c r="I461">
        <v>7093.1</v>
      </c>
      <c r="J461">
        <v>450</v>
      </c>
      <c r="K461">
        <v>6268.7</v>
      </c>
      <c r="L461">
        <v>83.105089419999999</v>
      </c>
      <c r="M461">
        <v>1274.4000000000001</v>
      </c>
      <c r="N461">
        <v>16.894910580000001</v>
      </c>
    </row>
    <row r="462" spans="1:14" x14ac:dyDescent="0.3">
      <c r="A462" t="s">
        <v>552</v>
      </c>
      <c r="B462" t="s">
        <v>14</v>
      </c>
      <c r="C462" t="s">
        <v>15</v>
      </c>
      <c r="D462" t="s">
        <v>16</v>
      </c>
      <c r="E462" t="s">
        <v>51</v>
      </c>
      <c r="F462" t="s">
        <v>18</v>
      </c>
      <c r="G462">
        <v>1980</v>
      </c>
      <c r="H462">
        <v>7503.2</v>
      </c>
      <c r="I462">
        <v>5958.2</v>
      </c>
      <c r="J462">
        <v>1568.1</v>
      </c>
      <c r="K462">
        <v>6592.7</v>
      </c>
      <c r="L462">
        <v>87.865177520000003</v>
      </c>
      <c r="M462">
        <v>910.5</v>
      </c>
      <c r="N462">
        <v>12.13482248</v>
      </c>
    </row>
    <row r="463" spans="1:14" x14ac:dyDescent="0.3">
      <c r="A463" t="s">
        <v>553</v>
      </c>
      <c r="B463" t="s">
        <v>14</v>
      </c>
      <c r="C463" t="s">
        <v>45</v>
      </c>
      <c r="D463" t="s">
        <v>46</v>
      </c>
      <c r="E463" t="s">
        <v>47</v>
      </c>
      <c r="F463" t="s">
        <v>48</v>
      </c>
      <c r="G463">
        <v>2020</v>
      </c>
      <c r="H463">
        <v>7486.2</v>
      </c>
      <c r="I463">
        <v>7178.8</v>
      </c>
      <c r="J463">
        <v>328.1</v>
      </c>
      <c r="K463">
        <v>7290.2</v>
      </c>
      <c r="L463">
        <v>97.381849270000004</v>
      </c>
      <c r="M463">
        <v>196</v>
      </c>
      <c r="N463">
        <v>2.6181507310000001</v>
      </c>
    </row>
    <row r="464" spans="1:14" x14ac:dyDescent="0.3">
      <c r="A464" t="s">
        <v>554</v>
      </c>
      <c r="B464" t="s">
        <v>14</v>
      </c>
      <c r="C464" t="s">
        <v>21</v>
      </c>
      <c r="D464" t="s">
        <v>16</v>
      </c>
      <c r="E464" t="s">
        <v>57</v>
      </c>
      <c r="F464" t="s">
        <v>18</v>
      </c>
      <c r="G464">
        <v>2017</v>
      </c>
      <c r="H464">
        <v>7485.1</v>
      </c>
      <c r="I464">
        <v>6757.7</v>
      </c>
      <c r="J464">
        <v>735.7</v>
      </c>
      <c r="K464">
        <v>6205.8</v>
      </c>
      <c r="L464">
        <v>82.908711969999999</v>
      </c>
      <c r="M464">
        <v>1279.3</v>
      </c>
      <c r="N464">
        <v>17.091288030000001</v>
      </c>
    </row>
    <row r="465" spans="1:14" x14ac:dyDescent="0.3">
      <c r="A465" t="s">
        <v>555</v>
      </c>
      <c r="B465" t="s">
        <v>20</v>
      </c>
      <c r="C465" t="s">
        <v>166</v>
      </c>
      <c r="D465" t="s">
        <v>167</v>
      </c>
      <c r="E465" t="s">
        <v>168</v>
      </c>
      <c r="F465" t="s">
        <v>18</v>
      </c>
      <c r="G465">
        <v>2021</v>
      </c>
      <c r="H465">
        <v>7467.3</v>
      </c>
      <c r="I465">
        <v>7464.6</v>
      </c>
      <c r="J465">
        <v>26</v>
      </c>
      <c r="K465">
        <v>1330.8</v>
      </c>
      <c r="L465">
        <v>17.82170262</v>
      </c>
      <c r="M465">
        <v>6136.5</v>
      </c>
      <c r="N465">
        <v>82.178297380000004</v>
      </c>
    </row>
    <row r="466" spans="1:14" x14ac:dyDescent="0.3">
      <c r="A466" t="s">
        <v>556</v>
      </c>
      <c r="B466" t="s">
        <v>14</v>
      </c>
      <c r="C466" t="s">
        <v>21</v>
      </c>
      <c r="D466" t="s">
        <v>16</v>
      </c>
      <c r="E466" t="s">
        <v>22</v>
      </c>
      <c r="F466" t="s">
        <v>48</v>
      </c>
      <c r="G466">
        <v>2014</v>
      </c>
      <c r="H466">
        <v>7453.2</v>
      </c>
      <c r="I466">
        <v>2524.9</v>
      </c>
      <c r="J466">
        <v>4942.3999999999996</v>
      </c>
      <c r="K466">
        <v>6424.3</v>
      </c>
      <c r="L466">
        <v>86.19519133</v>
      </c>
      <c r="M466">
        <v>1028.9000000000001</v>
      </c>
      <c r="N466">
        <v>13.80480867</v>
      </c>
    </row>
    <row r="467" spans="1:14" x14ac:dyDescent="0.3">
      <c r="A467" t="s">
        <v>557</v>
      </c>
      <c r="B467" t="s">
        <v>14</v>
      </c>
      <c r="C467" t="s">
        <v>21</v>
      </c>
      <c r="D467" t="s">
        <v>16</v>
      </c>
      <c r="E467" t="s">
        <v>98</v>
      </c>
      <c r="F467" t="s">
        <v>18</v>
      </c>
      <c r="G467">
        <v>1955</v>
      </c>
      <c r="H467">
        <v>7450.6</v>
      </c>
      <c r="I467">
        <v>6491.8</v>
      </c>
      <c r="J467">
        <v>961.4</v>
      </c>
      <c r="K467">
        <v>5866.4</v>
      </c>
      <c r="L467">
        <v>78.737282899999997</v>
      </c>
      <c r="M467">
        <v>1584.2</v>
      </c>
      <c r="N467">
        <v>21.2627171</v>
      </c>
    </row>
    <row r="468" spans="1:14" x14ac:dyDescent="0.3">
      <c r="A468" t="s">
        <v>558</v>
      </c>
      <c r="B468" t="s">
        <v>14</v>
      </c>
      <c r="C468" t="s">
        <v>21</v>
      </c>
      <c r="D468" t="s">
        <v>16</v>
      </c>
      <c r="E468" t="s">
        <v>17</v>
      </c>
      <c r="F468" t="s">
        <v>18</v>
      </c>
      <c r="G468">
        <v>2007</v>
      </c>
      <c r="H468">
        <v>7431.9</v>
      </c>
      <c r="I468">
        <v>6391.9</v>
      </c>
      <c r="J468">
        <v>1058.7</v>
      </c>
      <c r="K468">
        <v>528.20000000000005</v>
      </c>
      <c r="L468">
        <v>7.1072000429999997</v>
      </c>
      <c r="M468">
        <v>6903.7</v>
      </c>
      <c r="N468">
        <v>92.892799960000005</v>
      </c>
    </row>
    <row r="469" spans="1:14" x14ac:dyDescent="0.3">
      <c r="A469" t="s">
        <v>559</v>
      </c>
      <c r="B469" t="s">
        <v>14</v>
      </c>
      <c r="C469" t="s">
        <v>21</v>
      </c>
      <c r="D469" t="s">
        <v>16</v>
      </c>
      <c r="E469" t="s">
        <v>98</v>
      </c>
      <c r="F469" t="s">
        <v>18</v>
      </c>
      <c r="G469">
        <v>2005</v>
      </c>
      <c r="H469">
        <v>7423.5</v>
      </c>
      <c r="I469">
        <v>7117.2</v>
      </c>
      <c r="J469">
        <v>319.89999999999998</v>
      </c>
      <c r="K469">
        <v>6510.5</v>
      </c>
      <c r="L469">
        <v>87.701219100000003</v>
      </c>
      <c r="M469">
        <v>913</v>
      </c>
      <c r="N469">
        <v>12.298780900000001</v>
      </c>
    </row>
    <row r="470" spans="1:14" x14ac:dyDescent="0.3">
      <c r="A470" t="s">
        <v>560</v>
      </c>
      <c r="B470" t="s">
        <v>14</v>
      </c>
      <c r="C470" t="s">
        <v>166</v>
      </c>
      <c r="D470" t="s">
        <v>167</v>
      </c>
      <c r="E470" t="s">
        <v>168</v>
      </c>
      <c r="F470" t="s">
        <v>18</v>
      </c>
      <c r="G470">
        <v>2009</v>
      </c>
      <c r="H470">
        <v>7416.8</v>
      </c>
      <c r="I470">
        <v>4668.1000000000004</v>
      </c>
      <c r="J470">
        <v>2767</v>
      </c>
      <c r="K470">
        <v>4913.6000000000004</v>
      </c>
      <c r="L470">
        <v>66.249595510000006</v>
      </c>
      <c r="M470">
        <v>2503.1999999999998</v>
      </c>
      <c r="N470">
        <v>33.750404490000001</v>
      </c>
    </row>
    <row r="471" spans="1:14" x14ac:dyDescent="0.3">
      <c r="A471" t="s">
        <v>561</v>
      </c>
      <c r="B471" t="s">
        <v>14</v>
      </c>
      <c r="C471" t="s">
        <v>222</v>
      </c>
      <c r="D471" t="s">
        <v>24</v>
      </c>
      <c r="E471" t="s">
        <v>17</v>
      </c>
      <c r="F471" t="s">
        <v>18</v>
      </c>
      <c r="G471">
        <v>2017</v>
      </c>
      <c r="H471">
        <v>7405.6</v>
      </c>
      <c r="I471">
        <v>6405.3</v>
      </c>
      <c r="J471">
        <v>1014.5</v>
      </c>
      <c r="K471">
        <v>639.20000000000005</v>
      </c>
      <c r="L471">
        <v>8.631306039</v>
      </c>
      <c r="M471">
        <v>6766.4</v>
      </c>
      <c r="N471">
        <v>91.368693960000002</v>
      </c>
    </row>
    <row r="472" spans="1:14" x14ac:dyDescent="0.3">
      <c r="A472" t="s">
        <v>562</v>
      </c>
      <c r="B472" t="s">
        <v>20</v>
      </c>
      <c r="C472" t="s">
        <v>166</v>
      </c>
      <c r="D472" t="s">
        <v>167</v>
      </c>
      <c r="E472" t="s">
        <v>168</v>
      </c>
      <c r="F472" t="s">
        <v>48</v>
      </c>
      <c r="G472">
        <v>2013</v>
      </c>
      <c r="H472">
        <v>7388.4</v>
      </c>
      <c r="I472">
        <v>3471.7</v>
      </c>
      <c r="J472">
        <v>3933.9</v>
      </c>
      <c r="K472">
        <v>2317.8000000000002</v>
      </c>
      <c r="L472">
        <v>31.370797469999999</v>
      </c>
      <c r="M472">
        <v>5070.6000000000004</v>
      </c>
      <c r="N472">
        <v>68.629202530000001</v>
      </c>
    </row>
    <row r="473" spans="1:14" x14ac:dyDescent="0.3">
      <c r="A473" t="s">
        <v>563</v>
      </c>
      <c r="B473" t="s">
        <v>14</v>
      </c>
      <c r="C473" t="s">
        <v>166</v>
      </c>
      <c r="D473" t="s">
        <v>167</v>
      </c>
      <c r="E473" t="s">
        <v>82</v>
      </c>
      <c r="F473" t="s">
        <v>18</v>
      </c>
      <c r="G473">
        <v>2015</v>
      </c>
      <c r="H473">
        <v>7387.8</v>
      </c>
      <c r="I473">
        <v>2807.5</v>
      </c>
      <c r="J473">
        <v>4581</v>
      </c>
      <c r="K473">
        <v>359.7</v>
      </c>
      <c r="L473">
        <v>4.8688378139999999</v>
      </c>
      <c r="M473">
        <v>7028.1</v>
      </c>
      <c r="N473">
        <v>95.131162189999998</v>
      </c>
    </row>
    <row r="474" spans="1:14" x14ac:dyDescent="0.3">
      <c r="A474" t="s">
        <v>564</v>
      </c>
      <c r="B474" t="s">
        <v>14</v>
      </c>
      <c r="C474" t="s">
        <v>222</v>
      </c>
      <c r="D474" t="s">
        <v>24</v>
      </c>
      <c r="E474" t="s">
        <v>17</v>
      </c>
      <c r="F474" t="s">
        <v>18</v>
      </c>
      <c r="G474">
        <v>2018</v>
      </c>
      <c r="H474">
        <v>7377.9</v>
      </c>
      <c r="I474">
        <v>4274.5</v>
      </c>
      <c r="J474">
        <v>3113.3</v>
      </c>
      <c r="K474">
        <v>716.5</v>
      </c>
      <c r="L474">
        <v>9.7114355030000006</v>
      </c>
      <c r="M474">
        <v>6661.4</v>
      </c>
      <c r="N474">
        <v>90.288564500000007</v>
      </c>
    </row>
    <row r="475" spans="1:14" x14ac:dyDescent="0.3">
      <c r="A475" t="s">
        <v>565</v>
      </c>
      <c r="B475" t="s">
        <v>14</v>
      </c>
      <c r="C475" t="s">
        <v>33</v>
      </c>
      <c r="D475" t="s">
        <v>16</v>
      </c>
      <c r="E475" t="s">
        <v>22</v>
      </c>
      <c r="F475" t="s">
        <v>18</v>
      </c>
      <c r="G475">
        <v>2012</v>
      </c>
      <c r="H475">
        <v>7352.6</v>
      </c>
      <c r="I475">
        <v>3894</v>
      </c>
      <c r="J475">
        <v>3483.8</v>
      </c>
      <c r="K475">
        <v>6069.3</v>
      </c>
      <c r="L475">
        <v>82.546310149999996</v>
      </c>
      <c r="M475">
        <v>1283.3</v>
      </c>
      <c r="N475">
        <v>17.45368985</v>
      </c>
    </row>
    <row r="476" spans="1:14" x14ac:dyDescent="0.3">
      <c r="A476" t="s">
        <v>566</v>
      </c>
      <c r="B476" t="s">
        <v>78</v>
      </c>
      <c r="C476" t="s">
        <v>21</v>
      </c>
      <c r="D476" t="s">
        <v>16</v>
      </c>
      <c r="E476" t="s">
        <v>17</v>
      </c>
      <c r="F476" t="s">
        <v>48</v>
      </c>
      <c r="G476">
        <v>2009</v>
      </c>
      <c r="H476">
        <v>7347.9</v>
      </c>
      <c r="I476">
        <v>6711.8</v>
      </c>
      <c r="J476">
        <v>643.70000000000005</v>
      </c>
      <c r="K476">
        <v>114.9</v>
      </c>
      <c r="L476">
        <v>1.563712081</v>
      </c>
      <c r="M476">
        <v>7233</v>
      </c>
      <c r="N476">
        <v>98.436287919999998</v>
      </c>
    </row>
    <row r="477" spans="1:14" x14ac:dyDescent="0.3">
      <c r="A477" t="s">
        <v>567</v>
      </c>
      <c r="B477" t="s">
        <v>14</v>
      </c>
      <c r="C477" t="s">
        <v>21</v>
      </c>
      <c r="D477" t="s">
        <v>16</v>
      </c>
      <c r="E477" t="s">
        <v>98</v>
      </c>
      <c r="F477" t="s">
        <v>18</v>
      </c>
      <c r="G477">
        <v>2012</v>
      </c>
      <c r="H477">
        <v>7337.5</v>
      </c>
      <c r="I477">
        <v>3928</v>
      </c>
      <c r="J477">
        <v>3422.3</v>
      </c>
      <c r="K477">
        <v>5340.9</v>
      </c>
      <c r="L477">
        <v>72.789097100000006</v>
      </c>
      <c r="M477">
        <v>1996.6</v>
      </c>
      <c r="N477">
        <v>27.210902900000001</v>
      </c>
    </row>
    <row r="478" spans="1:14" x14ac:dyDescent="0.3">
      <c r="A478" t="s">
        <v>568</v>
      </c>
      <c r="B478" t="s">
        <v>20</v>
      </c>
      <c r="C478" t="s">
        <v>569</v>
      </c>
      <c r="D478" t="s">
        <v>16</v>
      </c>
      <c r="E478" t="s">
        <v>22</v>
      </c>
      <c r="F478" t="s">
        <v>18</v>
      </c>
      <c r="G478">
        <v>2006</v>
      </c>
      <c r="H478">
        <v>7335.2</v>
      </c>
      <c r="I478">
        <v>6735.6</v>
      </c>
      <c r="J478">
        <v>602</v>
      </c>
      <c r="K478">
        <v>1341.8</v>
      </c>
      <c r="L478">
        <v>18.292616420000002</v>
      </c>
      <c r="M478">
        <v>5993.4</v>
      </c>
      <c r="N478">
        <v>81.707383579999998</v>
      </c>
    </row>
    <row r="479" spans="1:14" x14ac:dyDescent="0.3">
      <c r="A479" t="s">
        <v>570</v>
      </c>
      <c r="B479" t="s">
        <v>14</v>
      </c>
      <c r="C479" t="s">
        <v>21</v>
      </c>
      <c r="D479" t="s">
        <v>16</v>
      </c>
      <c r="E479" t="s">
        <v>291</v>
      </c>
      <c r="F479" t="s">
        <v>48</v>
      </c>
      <c r="G479">
        <v>2007</v>
      </c>
      <c r="H479">
        <v>7326.6</v>
      </c>
      <c r="I479">
        <v>1671.1</v>
      </c>
      <c r="J479">
        <v>5664.1</v>
      </c>
      <c r="K479">
        <v>6816.6</v>
      </c>
      <c r="L479">
        <v>93.039063139999996</v>
      </c>
      <c r="M479">
        <v>510</v>
      </c>
      <c r="N479">
        <v>6.9609368600000003</v>
      </c>
    </row>
    <row r="480" spans="1:14" x14ac:dyDescent="0.3">
      <c r="A480" t="s">
        <v>571</v>
      </c>
      <c r="B480" t="s">
        <v>14</v>
      </c>
      <c r="C480" t="s">
        <v>21</v>
      </c>
      <c r="D480" t="s">
        <v>16</v>
      </c>
      <c r="E480" t="s">
        <v>98</v>
      </c>
      <c r="F480" t="s">
        <v>18</v>
      </c>
      <c r="G480">
        <v>2014</v>
      </c>
      <c r="H480">
        <v>7313.2</v>
      </c>
      <c r="I480">
        <v>7318.3</v>
      </c>
      <c r="J480">
        <v>8.3000000000000007</v>
      </c>
      <c r="K480">
        <v>2901.6</v>
      </c>
      <c r="L480">
        <v>39.676201939999999</v>
      </c>
      <c r="M480">
        <v>4411.6000000000004</v>
      </c>
      <c r="N480">
        <v>60.323798060000001</v>
      </c>
    </row>
    <row r="481" spans="1:14" x14ac:dyDescent="0.3">
      <c r="A481" t="s">
        <v>572</v>
      </c>
      <c r="B481" t="s">
        <v>20</v>
      </c>
      <c r="C481" t="s">
        <v>573</v>
      </c>
      <c r="D481" t="s">
        <v>16</v>
      </c>
      <c r="E481" t="s">
        <v>22</v>
      </c>
      <c r="F481" t="s">
        <v>18</v>
      </c>
      <c r="G481">
        <v>2020</v>
      </c>
      <c r="H481">
        <v>7286.8</v>
      </c>
      <c r="I481">
        <v>4703.7</v>
      </c>
      <c r="J481">
        <v>2609.5</v>
      </c>
      <c r="K481">
        <v>6083.2</v>
      </c>
      <c r="L481">
        <v>83.482461439999994</v>
      </c>
      <c r="M481">
        <v>1203.5999999999999</v>
      </c>
      <c r="N481">
        <v>16.517538559999998</v>
      </c>
    </row>
    <row r="482" spans="1:14" x14ac:dyDescent="0.3">
      <c r="A482" t="s">
        <v>574</v>
      </c>
      <c r="B482" t="s">
        <v>14</v>
      </c>
      <c r="C482" t="s">
        <v>166</v>
      </c>
      <c r="D482" t="s">
        <v>167</v>
      </c>
      <c r="E482" t="s">
        <v>82</v>
      </c>
      <c r="F482" t="s">
        <v>48</v>
      </c>
      <c r="G482">
        <v>2016</v>
      </c>
      <c r="H482">
        <v>7277.6</v>
      </c>
      <c r="I482">
        <v>6836.9</v>
      </c>
      <c r="J482">
        <v>455.9</v>
      </c>
      <c r="K482">
        <v>3003</v>
      </c>
      <c r="L482">
        <v>41.26360339</v>
      </c>
      <c r="M482">
        <v>4274.6000000000004</v>
      </c>
      <c r="N482">
        <v>58.73639661</v>
      </c>
    </row>
    <row r="483" spans="1:14" x14ac:dyDescent="0.3">
      <c r="A483" t="s">
        <v>575</v>
      </c>
      <c r="B483" t="s">
        <v>20</v>
      </c>
      <c r="C483" t="s">
        <v>222</v>
      </c>
      <c r="D483" t="s">
        <v>24</v>
      </c>
      <c r="E483" t="s">
        <v>82</v>
      </c>
      <c r="F483" t="s">
        <v>18</v>
      </c>
      <c r="G483">
        <v>2019</v>
      </c>
      <c r="H483">
        <v>7256.2</v>
      </c>
      <c r="I483">
        <v>2470.4</v>
      </c>
      <c r="J483">
        <v>4785.8</v>
      </c>
      <c r="K483">
        <v>976.1</v>
      </c>
      <c r="L483">
        <v>13.45194454</v>
      </c>
      <c r="M483">
        <v>6280.1</v>
      </c>
      <c r="N483">
        <v>86.54805546</v>
      </c>
    </row>
    <row r="484" spans="1:14" x14ac:dyDescent="0.3">
      <c r="A484" t="s">
        <v>576</v>
      </c>
      <c r="B484" t="s">
        <v>14</v>
      </c>
      <c r="C484" t="s">
        <v>21</v>
      </c>
      <c r="D484" t="s">
        <v>16</v>
      </c>
      <c r="E484" t="s">
        <v>17</v>
      </c>
      <c r="F484" t="s">
        <v>18</v>
      </c>
      <c r="G484">
        <v>2012</v>
      </c>
      <c r="H484">
        <v>7252.1</v>
      </c>
      <c r="I484">
        <v>4583.7</v>
      </c>
      <c r="J484">
        <v>2668.4</v>
      </c>
      <c r="K484">
        <v>2499</v>
      </c>
      <c r="L484">
        <v>34.458984289999997</v>
      </c>
      <c r="M484">
        <v>4753.1000000000004</v>
      </c>
      <c r="N484">
        <v>65.541015709999996</v>
      </c>
    </row>
    <row r="485" spans="1:14" x14ac:dyDescent="0.3">
      <c r="A485" t="s">
        <v>577</v>
      </c>
      <c r="B485" t="s">
        <v>20</v>
      </c>
      <c r="C485" t="s">
        <v>407</v>
      </c>
      <c r="D485" t="s">
        <v>408</v>
      </c>
      <c r="E485" t="s">
        <v>22</v>
      </c>
      <c r="F485" t="s">
        <v>18</v>
      </c>
      <c r="G485">
        <v>1997</v>
      </c>
      <c r="H485">
        <v>7239.7</v>
      </c>
      <c r="I485">
        <v>0</v>
      </c>
      <c r="J485">
        <v>7239.7</v>
      </c>
      <c r="K485">
        <v>0</v>
      </c>
      <c r="L485">
        <v>0</v>
      </c>
      <c r="M485">
        <v>7239.7</v>
      </c>
      <c r="N485">
        <v>100</v>
      </c>
    </row>
    <row r="486" spans="1:14" x14ac:dyDescent="0.3">
      <c r="A486" t="s">
        <v>578</v>
      </c>
      <c r="B486" t="s">
        <v>14</v>
      </c>
      <c r="C486" t="s">
        <v>21</v>
      </c>
      <c r="D486" t="s">
        <v>16</v>
      </c>
      <c r="E486" t="s">
        <v>17</v>
      </c>
      <c r="F486" t="s">
        <v>18</v>
      </c>
      <c r="G486">
        <v>2008</v>
      </c>
      <c r="H486">
        <v>7237.6</v>
      </c>
      <c r="I486">
        <v>0</v>
      </c>
      <c r="J486">
        <v>7237.6</v>
      </c>
      <c r="K486">
        <v>0</v>
      </c>
      <c r="L486">
        <v>0</v>
      </c>
      <c r="M486">
        <v>7237.6</v>
      </c>
      <c r="N486">
        <v>100</v>
      </c>
    </row>
    <row r="487" spans="1:14" x14ac:dyDescent="0.3">
      <c r="A487" t="s">
        <v>579</v>
      </c>
      <c r="B487" t="s">
        <v>14</v>
      </c>
      <c r="C487" t="s">
        <v>242</v>
      </c>
      <c r="D487" t="s">
        <v>24</v>
      </c>
      <c r="E487" t="s">
        <v>17</v>
      </c>
      <c r="F487" t="s">
        <v>18</v>
      </c>
      <c r="G487">
        <v>2018</v>
      </c>
      <c r="H487">
        <v>7209.6</v>
      </c>
      <c r="I487">
        <v>3303.8</v>
      </c>
      <c r="J487">
        <v>3905.7</v>
      </c>
      <c r="K487">
        <v>2183.8000000000002</v>
      </c>
      <c r="L487">
        <v>30.290168659999999</v>
      </c>
      <c r="M487">
        <v>5025.8</v>
      </c>
      <c r="N487">
        <v>69.709831339999994</v>
      </c>
    </row>
    <row r="488" spans="1:14" x14ac:dyDescent="0.3">
      <c r="A488" t="s">
        <v>580</v>
      </c>
      <c r="B488" t="s">
        <v>14</v>
      </c>
      <c r="C488" t="s">
        <v>33</v>
      </c>
      <c r="D488" t="s">
        <v>16</v>
      </c>
      <c r="E488" t="s">
        <v>22</v>
      </c>
      <c r="F488" t="s">
        <v>18</v>
      </c>
      <c r="G488">
        <v>2016</v>
      </c>
      <c r="H488">
        <v>7192.6</v>
      </c>
      <c r="I488">
        <v>4689.2</v>
      </c>
      <c r="J488">
        <v>2505.3000000000002</v>
      </c>
      <c r="K488">
        <v>3982.2</v>
      </c>
      <c r="L488">
        <v>55.365236490000001</v>
      </c>
      <c r="M488">
        <v>3210.4</v>
      </c>
      <c r="N488">
        <v>44.634763509999999</v>
      </c>
    </row>
    <row r="489" spans="1:14" x14ac:dyDescent="0.3">
      <c r="A489" t="s">
        <v>581</v>
      </c>
      <c r="B489" t="s">
        <v>14</v>
      </c>
      <c r="C489" t="s">
        <v>45</v>
      </c>
      <c r="D489" t="s">
        <v>46</v>
      </c>
      <c r="E489" t="s">
        <v>47</v>
      </c>
      <c r="F489" t="s">
        <v>48</v>
      </c>
      <c r="G489">
        <v>2019</v>
      </c>
      <c r="H489">
        <v>7182.1</v>
      </c>
      <c r="I489">
        <v>6877.5</v>
      </c>
      <c r="J489">
        <v>304.7</v>
      </c>
      <c r="K489">
        <v>6118.4</v>
      </c>
      <c r="L489">
        <v>85.189568510000001</v>
      </c>
      <c r="M489">
        <v>1063.7</v>
      </c>
      <c r="N489">
        <v>14.810431489999999</v>
      </c>
    </row>
    <row r="490" spans="1:14" x14ac:dyDescent="0.3">
      <c r="A490" t="s">
        <v>582</v>
      </c>
      <c r="B490" t="s">
        <v>14</v>
      </c>
      <c r="C490" t="s">
        <v>89</v>
      </c>
      <c r="D490" t="s">
        <v>24</v>
      </c>
      <c r="E490" t="s">
        <v>90</v>
      </c>
      <c r="F490" t="s">
        <v>48</v>
      </c>
      <c r="G490">
        <v>2015</v>
      </c>
      <c r="H490">
        <v>7123.4</v>
      </c>
      <c r="I490">
        <v>5595.9</v>
      </c>
      <c r="J490">
        <v>1527.5</v>
      </c>
      <c r="K490">
        <v>3002</v>
      </c>
      <c r="L490">
        <v>42.14279698</v>
      </c>
      <c r="M490">
        <v>4121.3999999999996</v>
      </c>
      <c r="N490">
        <v>57.85720302</v>
      </c>
    </row>
    <row r="491" spans="1:14" x14ac:dyDescent="0.3">
      <c r="A491" t="s">
        <v>583</v>
      </c>
      <c r="B491" t="s">
        <v>14</v>
      </c>
      <c r="C491" t="s">
        <v>21</v>
      </c>
      <c r="D491" t="s">
        <v>16</v>
      </c>
      <c r="E491" t="s">
        <v>22</v>
      </c>
      <c r="F491" t="s">
        <v>18</v>
      </c>
      <c r="G491">
        <v>2007</v>
      </c>
      <c r="H491">
        <v>7114.1</v>
      </c>
      <c r="I491">
        <v>4400.3</v>
      </c>
      <c r="J491">
        <v>2716</v>
      </c>
      <c r="K491">
        <v>3.9</v>
      </c>
      <c r="L491">
        <v>5.4820708170000003E-2</v>
      </c>
      <c r="M491">
        <v>7110.2</v>
      </c>
      <c r="N491">
        <v>99.945179289999999</v>
      </c>
    </row>
    <row r="492" spans="1:14" x14ac:dyDescent="0.3">
      <c r="A492" t="s">
        <v>584</v>
      </c>
      <c r="B492" t="s">
        <v>14</v>
      </c>
      <c r="C492" t="s">
        <v>21</v>
      </c>
      <c r="D492" t="s">
        <v>16</v>
      </c>
      <c r="E492" t="s">
        <v>17</v>
      </c>
      <c r="F492" t="s">
        <v>18</v>
      </c>
      <c r="G492">
        <v>2010</v>
      </c>
      <c r="H492">
        <v>7073.7</v>
      </c>
      <c r="I492">
        <v>2882.3</v>
      </c>
      <c r="J492">
        <v>4191.3999999999996</v>
      </c>
      <c r="K492">
        <v>1158.3</v>
      </c>
      <c r="L492">
        <v>16.37474023</v>
      </c>
      <c r="M492">
        <v>5915.4</v>
      </c>
      <c r="N492">
        <v>83.62525977</v>
      </c>
    </row>
    <row r="493" spans="1:14" x14ac:dyDescent="0.3">
      <c r="A493" t="s">
        <v>585</v>
      </c>
      <c r="B493" t="s">
        <v>14</v>
      </c>
      <c r="C493" t="s">
        <v>21</v>
      </c>
      <c r="D493" t="s">
        <v>16</v>
      </c>
      <c r="E493" t="s">
        <v>17</v>
      </c>
      <c r="F493" t="s">
        <v>18</v>
      </c>
      <c r="G493">
        <v>2017</v>
      </c>
      <c r="H493">
        <v>7061.3</v>
      </c>
      <c r="I493">
        <v>7067.3</v>
      </c>
      <c r="J493">
        <v>0</v>
      </c>
      <c r="K493">
        <v>4346.8</v>
      </c>
      <c r="L493">
        <v>61.558070039999997</v>
      </c>
      <c r="M493">
        <v>2714.5</v>
      </c>
      <c r="N493">
        <v>38.441929960000003</v>
      </c>
    </row>
    <row r="494" spans="1:14" x14ac:dyDescent="0.3">
      <c r="A494" t="s">
        <v>586</v>
      </c>
      <c r="B494" t="s">
        <v>14</v>
      </c>
      <c r="C494" t="s">
        <v>89</v>
      </c>
      <c r="D494" t="s">
        <v>24</v>
      </c>
      <c r="E494" t="s">
        <v>82</v>
      </c>
      <c r="F494" t="s">
        <v>18</v>
      </c>
      <c r="G494">
        <v>1971</v>
      </c>
      <c r="H494">
        <v>7059.2</v>
      </c>
      <c r="I494">
        <v>6505.8</v>
      </c>
      <c r="J494">
        <v>557.1</v>
      </c>
      <c r="K494">
        <v>5676.3</v>
      </c>
      <c r="L494">
        <v>80.409961469999999</v>
      </c>
      <c r="M494">
        <v>1382.9</v>
      </c>
      <c r="N494">
        <v>19.590038530000001</v>
      </c>
    </row>
    <row r="495" spans="1:14" x14ac:dyDescent="0.3">
      <c r="A495" t="s">
        <v>587</v>
      </c>
      <c r="B495" t="s">
        <v>14</v>
      </c>
      <c r="C495" t="s">
        <v>89</v>
      </c>
      <c r="D495" t="s">
        <v>24</v>
      </c>
      <c r="E495" t="s">
        <v>82</v>
      </c>
      <c r="F495" t="s">
        <v>48</v>
      </c>
      <c r="G495">
        <v>1977</v>
      </c>
      <c r="H495">
        <v>7059.2</v>
      </c>
      <c r="I495">
        <v>6607.2</v>
      </c>
      <c r="J495">
        <v>446.9</v>
      </c>
      <c r="K495">
        <v>7059.2</v>
      </c>
      <c r="L495">
        <v>100</v>
      </c>
      <c r="M495">
        <v>0</v>
      </c>
      <c r="N495">
        <v>0</v>
      </c>
    </row>
    <row r="496" spans="1:14" x14ac:dyDescent="0.3">
      <c r="A496" t="s">
        <v>588</v>
      </c>
      <c r="B496" t="s">
        <v>14</v>
      </c>
      <c r="C496" t="s">
        <v>21</v>
      </c>
      <c r="D496" t="s">
        <v>16</v>
      </c>
      <c r="E496" t="s">
        <v>22</v>
      </c>
      <c r="F496" t="s">
        <v>18</v>
      </c>
      <c r="G496">
        <v>2002</v>
      </c>
      <c r="H496">
        <v>7048.5</v>
      </c>
      <c r="I496">
        <v>6851.4</v>
      </c>
      <c r="J496">
        <v>199.1</v>
      </c>
      <c r="K496">
        <v>5805</v>
      </c>
      <c r="L496">
        <v>82.357948500000006</v>
      </c>
      <c r="M496">
        <v>1243.5</v>
      </c>
      <c r="N496">
        <v>17.642051500000001</v>
      </c>
    </row>
    <row r="497" spans="1:14" x14ac:dyDescent="0.3">
      <c r="A497" t="s">
        <v>589</v>
      </c>
      <c r="B497" t="s">
        <v>14</v>
      </c>
      <c r="C497" t="s">
        <v>33</v>
      </c>
      <c r="D497" t="s">
        <v>16</v>
      </c>
      <c r="E497" t="s">
        <v>51</v>
      </c>
      <c r="F497" t="s">
        <v>48</v>
      </c>
      <c r="G497">
        <v>1979</v>
      </c>
      <c r="H497">
        <v>7034.1</v>
      </c>
      <c r="I497">
        <v>7035</v>
      </c>
      <c r="J497">
        <v>3.3</v>
      </c>
      <c r="K497">
        <v>6940.1</v>
      </c>
      <c r="L497">
        <v>98.663652780000007</v>
      </c>
      <c r="M497">
        <v>94</v>
      </c>
      <c r="N497">
        <v>1.336347223</v>
      </c>
    </row>
    <row r="498" spans="1:14" x14ac:dyDescent="0.3">
      <c r="A498" t="s">
        <v>590</v>
      </c>
      <c r="B498" t="s">
        <v>78</v>
      </c>
      <c r="C498" t="s">
        <v>21</v>
      </c>
      <c r="D498" t="s">
        <v>16</v>
      </c>
      <c r="E498" t="s">
        <v>22</v>
      </c>
      <c r="F498" t="s">
        <v>48</v>
      </c>
      <c r="G498">
        <v>2017</v>
      </c>
      <c r="H498">
        <v>7029.1</v>
      </c>
      <c r="I498">
        <v>5774.4</v>
      </c>
      <c r="J498">
        <v>1261.4000000000001</v>
      </c>
      <c r="K498">
        <v>5705.9</v>
      </c>
      <c r="L498">
        <v>81.175399409999997</v>
      </c>
      <c r="M498">
        <v>1323.2</v>
      </c>
      <c r="N498">
        <v>18.824600589999999</v>
      </c>
    </row>
    <row r="499" spans="1:14" x14ac:dyDescent="0.3">
      <c r="A499" t="s">
        <v>591</v>
      </c>
      <c r="B499" t="s">
        <v>14</v>
      </c>
      <c r="C499" t="s">
        <v>21</v>
      </c>
      <c r="D499" t="s">
        <v>16</v>
      </c>
      <c r="E499" t="s">
        <v>592</v>
      </c>
      <c r="F499" t="s">
        <v>48</v>
      </c>
      <c r="G499">
        <v>1997</v>
      </c>
      <c r="H499">
        <v>7018.9</v>
      </c>
      <c r="I499">
        <v>7018.4</v>
      </c>
      <c r="J499">
        <v>5.4</v>
      </c>
      <c r="K499">
        <v>6806</v>
      </c>
      <c r="L499">
        <v>96.966761169999998</v>
      </c>
      <c r="M499">
        <v>212.9</v>
      </c>
      <c r="N499">
        <v>3.0332388269999999</v>
      </c>
    </row>
    <row r="500" spans="1:14" x14ac:dyDescent="0.3">
      <c r="A500" t="s">
        <v>593</v>
      </c>
      <c r="B500" t="s">
        <v>14</v>
      </c>
      <c r="C500" t="s">
        <v>21</v>
      </c>
      <c r="D500" t="s">
        <v>16</v>
      </c>
      <c r="E500" t="s">
        <v>291</v>
      </c>
      <c r="F500" t="s">
        <v>48</v>
      </c>
      <c r="G500">
        <v>1994</v>
      </c>
      <c r="H500">
        <v>6976.4</v>
      </c>
      <c r="I500">
        <v>4188.3999999999996</v>
      </c>
      <c r="J500">
        <v>2798.5</v>
      </c>
      <c r="K500">
        <v>6414.9</v>
      </c>
      <c r="L500">
        <v>91.951436270000002</v>
      </c>
      <c r="M500">
        <v>561.5</v>
      </c>
      <c r="N500">
        <v>8.0485637289999996</v>
      </c>
    </row>
    <row r="501" spans="1:14" x14ac:dyDescent="0.3">
      <c r="A501" t="s">
        <v>594</v>
      </c>
      <c r="B501" t="s">
        <v>14</v>
      </c>
      <c r="C501" t="s">
        <v>21</v>
      </c>
      <c r="D501" t="s">
        <v>24</v>
      </c>
      <c r="E501" t="s">
        <v>25</v>
      </c>
      <c r="F501" t="s">
        <v>18</v>
      </c>
      <c r="G501">
        <v>2017</v>
      </c>
      <c r="H501">
        <v>6972</v>
      </c>
      <c r="I501">
        <v>6956</v>
      </c>
      <c r="J501">
        <v>20.3</v>
      </c>
      <c r="K501">
        <v>1876.2</v>
      </c>
      <c r="L501">
        <v>26.910499139999999</v>
      </c>
      <c r="M501">
        <v>5095.8</v>
      </c>
      <c r="N501">
        <v>73.089500860000001</v>
      </c>
    </row>
  </sheetData>
  <autoFilter ref="A1:N501" xr:uid="{CE7EFF0A-E241-4CFF-BDF0-0D68FEDE637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454F-0088-494A-A83F-2F9739DD8EAC}">
  <sheetPr codeName="Sheet2"/>
  <dimension ref="A1:P505"/>
  <sheetViews>
    <sheetView workbookViewId="0">
      <selection activeCell="H11" sqref="H11"/>
    </sheetView>
  </sheetViews>
  <sheetFormatPr defaultRowHeight="14.4" x14ac:dyDescent="0.3"/>
  <cols>
    <col min="1" max="1" width="12.77734375" customWidth="1"/>
    <col min="2" max="2" width="9" customWidth="1"/>
    <col min="3" max="3" width="17.33203125" customWidth="1"/>
    <col min="4" max="4" width="18" customWidth="1"/>
    <col min="5" max="5" width="14.88671875" customWidth="1"/>
    <col min="6" max="6" width="12.33203125" customWidth="1"/>
    <col min="7" max="7" width="12.109375" customWidth="1"/>
    <col min="8" max="8" width="24.5546875" customWidth="1"/>
    <col min="9" max="9" width="24.33203125" customWidth="1"/>
    <col min="10" max="10" width="26.6640625" customWidth="1"/>
    <col min="11" max="11" width="24" customWidth="1"/>
    <col min="12" max="12" width="17.88671875" customWidth="1"/>
    <col min="13" max="13" width="17.88671875" style="6" customWidth="1"/>
    <col min="14" max="14" width="32.33203125" bestFit="1" customWidth="1"/>
    <col min="15" max="15" width="25.33203125" style="3" customWidth="1"/>
    <col min="16" max="16" width="26.77734375" style="5" bestFit="1" customWidth="1"/>
  </cols>
  <sheetData>
    <row r="1" spans="1:16" x14ac:dyDescent="0.3">
      <c r="A1" t="s">
        <v>0</v>
      </c>
      <c r="B1" t="s">
        <v>595</v>
      </c>
      <c r="C1" t="s">
        <v>1</v>
      </c>
      <c r="D1" t="s">
        <v>2</v>
      </c>
      <c r="E1" t="s">
        <v>3</v>
      </c>
      <c r="F1" t="s">
        <v>4</v>
      </c>
      <c r="G1" t="s">
        <v>5</v>
      </c>
      <c r="H1" t="s">
        <v>6</v>
      </c>
      <c r="I1" t="s">
        <v>7</v>
      </c>
      <c r="J1" t="s">
        <v>8</v>
      </c>
      <c r="K1" t="s">
        <v>9</v>
      </c>
      <c r="L1" s="7" t="s">
        <v>10</v>
      </c>
      <c r="M1" s="6" t="s">
        <v>599</v>
      </c>
      <c r="N1" s="7" t="s">
        <v>11</v>
      </c>
      <c r="O1" s="3" t="s">
        <v>12</v>
      </c>
      <c r="P1" s="5" t="s">
        <v>598</v>
      </c>
    </row>
    <row r="2" spans="1:16" x14ac:dyDescent="0.3">
      <c r="A2" s="2" t="s">
        <v>13</v>
      </c>
      <c r="B2" s="2" t="s">
        <v>14</v>
      </c>
      <c r="C2" s="2" t="s">
        <v>15</v>
      </c>
      <c r="D2" s="2" t="s">
        <v>16</v>
      </c>
      <c r="E2" s="2" t="s">
        <v>17</v>
      </c>
      <c r="F2" s="2" t="s">
        <v>18</v>
      </c>
      <c r="G2" s="4">
        <v>2006</v>
      </c>
      <c r="H2" s="4">
        <v>137492.1</v>
      </c>
      <c r="I2" s="4">
        <v>94851.1</v>
      </c>
      <c r="J2" s="4">
        <v>42640.9</v>
      </c>
      <c r="K2" s="4">
        <v>53323.9</v>
      </c>
      <c r="L2" s="6">
        <v>38.783246460000001</v>
      </c>
      <c r="M2" s="6">
        <f>Table2[[#This Row],[% of Solo Streams]]/100</f>
        <v>0.38783246459999998</v>
      </c>
      <c r="N2" s="3">
        <v>84168.2</v>
      </c>
      <c r="O2" s="5">
        <v>61.216753539999999</v>
      </c>
      <c r="P2" s="6">
        <f>Table2[[#This Row],[% of Collaborative Streams]]/100</f>
        <v>0.61216753540000002</v>
      </c>
    </row>
    <row r="3" spans="1:16" x14ac:dyDescent="0.3">
      <c r="A3" s="2" t="s">
        <v>19</v>
      </c>
      <c r="B3" s="2" t="s">
        <v>20</v>
      </c>
      <c r="C3" s="2" t="s">
        <v>21</v>
      </c>
      <c r="D3" s="2" t="s">
        <v>16</v>
      </c>
      <c r="E3" s="2" t="s">
        <v>22</v>
      </c>
      <c r="F3" s="2" t="s">
        <v>18</v>
      </c>
      <c r="G3" s="4">
        <v>2006</v>
      </c>
      <c r="H3" s="4">
        <v>127861</v>
      </c>
      <c r="I3" s="4">
        <v>126177.3</v>
      </c>
      <c r="J3" s="4">
        <v>1683.8</v>
      </c>
      <c r="K3" s="4">
        <v>113421.5</v>
      </c>
      <c r="L3" s="6">
        <v>88.706877000000006</v>
      </c>
      <c r="M3" s="6">
        <f>Table2[[#This Row],[% of Solo Streams]]/100</f>
        <v>0.88706877000000006</v>
      </c>
      <c r="N3" s="3">
        <v>14439.5</v>
      </c>
      <c r="O3" s="5">
        <v>11.293123</v>
      </c>
      <c r="P3" s="6">
        <f>Table2[[#This Row],[% of Collaborative Streams]]/100</f>
        <v>0.11293122999999999</v>
      </c>
    </row>
    <row r="4" spans="1:16" x14ac:dyDescent="0.3">
      <c r="A4" s="2" t="s">
        <v>23</v>
      </c>
      <c r="B4" s="2" t="s">
        <v>14</v>
      </c>
      <c r="C4" s="2" t="s">
        <v>21</v>
      </c>
      <c r="D4" s="2" t="s">
        <v>24</v>
      </c>
      <c r="E4" s="2" t="s">
        <v>25</v>
      </c>
      <c r="F4" s="2" t="s">
        <v>18</v>
      </c>
      <c r="G4" s="4">
        <v>2013</v>
      </c>
      <c r="H4" s="4">
        <v>125899.8</v>
      </c>
      <c r="I4" s="4">
        <v>82189.3</v>
      </c>
      <c r="J4" s="4">
        <v>43710.5</v>
      </c>
      <c r="K4" s="4">
        <v>48887</v>
      </c>
      <c r="L4" s="6">
        <v>38.830085510000004</v>
      </c>
      <c r="M4" s="6">
        <f>Table2[[#This Row],[% of Solo Streams]]/100</f>
        <v>0.38830085510000001</v>
      </c>
      <c r="N4" s="3">
        <v>77012.800000000003</v>
      </c>
      <c r="O4" s="5">
        <v>61.169914489999996</v>
      </c>
      <c r="P4" s="6">
        <f>Table2[[#This Row],[% of Collaborative Streams]]/100</f>
        <v>0.61169914489999999</v>
      </c>
    </row>
    <row r="5" spans="1:16" x14ac:dyDescent="0.3">
      <c r="A5" s="2" t="s">
        <v>26</v>
      </c>
      <c r="B5" s="2" t="s">
        <v>14</v>
      </c>
      <c r="C5" s="2" t="s">
        <v>15</v>
      </c>
      <c r="D5" s="2" t="s">
        <v>16</v>
      </c>
      <c r="E5" s="2" t="s">
        <v>27</v>
      </c>
      <c r="F5" s="2" t="s">
        <v>18</v>
      </c>
      <c r="G5" s="4">
        <v>2009</v>
      </c>
      <c r="H5" s="4">
        <v>95703.2</v>
      </c>
      <c r="I5" s="4">
        <v>77189.399999999994</v>
      </c>
      <c r="J5" s="4">
        <v>18513.8</v>
      </c>
      <c r="K5" s="4">
        <v>51020</v>
      </c>
      <c r="L5" s="6">
        <v>53.310652099999999</v>
      </c>
      <c r="M5" s="6">
        <f>Table2[[#This Row],[% of Solo Streams]]/100</f>
        <v>0.533106521</v>
      </c>
      <c r="N5" s="3">
        <v>44683.199999999997</v>
      </c>
      <c r="O5" s="5">
        <v>46.689347900000001</v>
      </c>
      <c r="P5" s="6">
        <f>Table2[[#This Row],[% of Collaborative Streams]]/100</f>
        <v>0.466893479</v>
      </c>
    </row>
    <row r="6" spans="1:16" x14ac:dyDescent="0.3">
      <c r="A6" s="2" t="s">
        <v>28</v>
      </c>
      <c r="B6" s="2" t="s">
        <v>14</v>
      </c>
      <c r="C6" s="2" t="s">
        <v>15</v>
      </c>
      <c r="D6" s="2" t="s">
        <v>16</v>
      </c>
      <c r="E6" s="2" t="s">
        <v>22</v>
      </c>
      <c r="F6" s="2" t="s">
        <v>18</v>
      </c>
      <c r="G6" s="4">
        <v>2009</v>
      </c>
      <c r="H6" s="4">
        <v>78104.399999999994</v>
      </c>
      <c r="I6" s="4">
        <v>48316.2</v>
      </c>
      <c r="J6" s="4">
        <v>29788.2</v>
      </c>
      <c r="K6" s="4">
        <v>29638.3</v>
      </c>
      <c r="L6" s="6">
        <v>37.947029870000001</v>
      </c>
      <c r="M6" s="6">
        <f>Table2[[#This Row],[% of Solo Streams]]/100</f>
        <v>0.37947029870000004</v>
      </c>
      <c r="N6" s="3">
        <v>48466.1</v>
      </c>
      <c r="O6" s="5">
        <v>62.052970129999999</v>
      </c>
      <c r="P6" s="6">
        <f>Table2[[#This Row],[% of Collaborative Streams]]/100</f>
        <v>0.62052970129999996</v>
      </c>
    </row>
    <row r="7" spans="1:16" x14ac:dyDescent="0.3">
      <c r="A7" s="2" t="s">
        <v>29</v>
      </c>
      <c r="B7" s="2" t="s">
        <v>20</v>
      </c>
      <c r="C7" s="2" t="s">
        <v>21</v>
      </c>
      <c r="D7" s="2" t="s">
        <v>16</v>
      </c>
      <c r="E7" s="2" t="s">
        <v>22</v>
      </c>
      <c r="F7" s="2" t="s">
        <v>18</v>
      </c>
      <c r="G7" s="4">
        <v>2013</v>
      </c>
      <c r="H7" s="4">
        <v>68298.899999999994</v>
      </c>
      <c r="I7" s="4">
        <v>57097.5</v>
      </c>
      <c r="J7" s="4">
        <v>11201.4</v>
      </c>
      <c r="K7" s="4">
        <v>41615.5</v>
      </c>
      <c r="L7" s="6">
        <v>60.931435209999997</v>
      </c>
      <c r="M7" s="6">
        <f>Table2[[#This Row],[% of Solo Streams]]/100</f>
        <v>0.60931435209999996</v>
      </c>
      <c r="N7" s="3">
        <v>26683.4</v>
      </c>
      <c r="O7" s="5">
        <v>39.068564790000003</v>
      </c>
      <c r="P7" s="6">
        <f>Table2[[#This Row],[% of Collaborative Streams]]/100</f>
        <v>0.39068564790000004</v>
      </c>
    </row>
    <row r="8" spans="1:16" x14ac:dyDescent="0.3">
      <c r="A8" s="2" t="s">
        <v>30</v>
      </c>
      <c r="B8" s="2" t="s">
        <v>14</v>
      </c>
      <c r="C8" s="2" t="s">
        <v>21</v>
      </c>
      <c r="D8" s="2" t="s">
        <v>16</v>
      </c>
      <c r="E8" s="2" t="s">
        <v>17</v>
      </c>
      <c r="F8" s="2" t="s">
        <v>18</v>
      </c>
      <c r="G8" s="4">
        <v>2013</v>
      </c>
      <c r="H8" s="4">
        <v>65349.7</v>
      </c>
      <c r="I8" s="4">
        <v>35338.699999999997</v>
      </c>
      <c r="J8" s="4">
        <v>30027</v>
      </c>
      <c r="K8" s="4">
        <v>25309.9</v>
      </c>
      <c r="L8" s="6">
        <v>38.72994061</v>
      </c>
      <c r="M8" s="6">
        <f>Table2[[#This Row],[% of Solo Streams]]/100</f>
        <v>0.38729940610000002</v>
      </c>
      <c r="N8" s="3">
        <v>40039.800000000003</v>
      </c>
      <c r="O8" s="5">
        <v>61.27005939</v>
      </c>
      <c r="P8" s="6">
        <f>Table2[[#This Row],[% of Collaborative Streams]]/100</f>
        <v>0.61270059389999998</v>
      </c>
    </row>
    <row r="9" spans="1:16" x14ac:dyDescent="0.3">
      <c r="A9" s="2" t="s">
        <v>31</v>
      </c>
      <c r="B9" s="2" t="s">
        <v>14</v>
      </c>
      <c r="C9" s="2" t="s">
        <v>21</v>
      </c>
      <c r="D9" s="2" t="s">
        <v>16</v>
      </c>
      <c r="E9" s="2" t="s">
        <v>17</v>
      </c>
      <c r="F9" s="2" t="s">
        <v>18</v>
      </c>
      <c r="G9" s="4">
        <v>2004</v>
      </c>
      <c r="H9" s="4">
        <v>65142.9</v>
      </c>
      <c r="I9" s="4">
        <v>46558.400000000001</v>
      </c>
      <c r="J9" s="4">
        <v>18584.5</v>
      </c>
      <c r="K9" s="4">
        <v>28473</v>
      </c>
      <c r="L9" s="6">
        <v>43.708523880000001</v>
      </c>
      <c r="M9" s="6">
        <f>Table2[[#This Row],[% of Solo Streams]]/100</f>
        <v>0.4370852388</v>
      </c>
      <c r="N9" s="3">
        <v>36669.9</v>
      </c>
      <c r="O9" s="5">
        <v>56.291476119999999</v>
      </c>
      <c r="P9" s="6">
        <f>Table2[[#This Row],[% of Collaborative Streams]]/100</f>
        <v>0.56291476119999995</v>
      </c>
    </row>
    <row r="10" spans="1:16" x14ac:dyDescent="0.3">
      <c r="A10" s="2" t="s">
        <v>32</v>
      </c>
      <c r="B10" s="2" t="s">
        <v>14</v>
      </c>
      <c r="C10" s="2" t="s">
        <v>33</v>
      </c>
      <c r="D10" s="2" t="s">
        <v>16</v>
      </c>
      <c r="E10" s="2" t="s">
        <v>22</v>
      </c>
      <c r="F10" s="2" t="s">
        <v>18</v>
      </c>
      <c r="G10" s="4">
        <v>2011</v>
      </c>
      <c r="H10" s="4">
        <v>64656.9</v>
      </c>
      <c r="I10" s="4">
        <v>57704</v>
      </c>
      <c r="J10" s="4">
        <v>6967.8</v>
      </c>
      <c r="K10" s="4">
        <v>46700</v>
      </c>
      <c r="L10" s="6">
        <v>72.227403420000002</v>
      </c>
      <c r="M10" s="6">
        <f>Table2[[#This Row],[% of Solo Streams]]/100</f>
        <v>0.72227403420000003</v>
      </c>
      <c r="N10" s="3">
        <v>17956.900000000001</v>
      </c>
      <c r="O10" s="5">
        <v>27.772596579999998</v>
      </c>
      <c r="P10" s="6">
        <f>Table2[[#This Row],[% of Collaborative Streams]]/100</f>
        <v>0.27772596579999997</v>
      </c>
    </row>
    <row r="11" spans="1:16" x14ac:dyDescent="0.3">
      <c r="A11" s="2" t="s">
        <v>34</v>
      </c>
      <c r="B11" s="2" t="s">
        <v>14</v>
      </c>
      <c r="C11" s="2" t="s">
        <v>21</v>
      </c>
      <c r="D11" s="2" t="s">
        <v>16</v>
      </c>
      <c r="E11" s="2" t="s">
        <v>17</v>
      </c>
      <c r="F11" s="2" t="s">
        <v>18</v>
      </c>
      <c r="G11" s="4">
        <v>1996</v>
      </c>
      <c r="H11" s="4">
        <v>64549</v>
      </c>
      <c r="I11" s="4">
        <v>54466.8</v>
      </c>
      <c r="J11" s="4">
        <v>10100.700000000001</v>
      </c>
      <c r="K11" s="4">
        <v>32940</v>
      </c>
      <c r="L11" s="6">
        <v>51.030999710000003</v>
      </c>
      <c r="M11" s="6">
        <f>Table2[[#This Row],[% of Solo Streams]]/100</f>
        <v>0.51030999710000002</v>
      </c>
      <c r="N11" s="3">
        <v>31609</v>
      </c>
      <c r="O11" s="5">
        <v>48.969000289999997</v>
      </c>
      <c r="P11" s="6">
        <f>Table2[[#This Row],[% of Collaborative Streams]]/100</f>
        <v>0.48969000289999998</v>
      </c>
    </row>
    <row r="12" spans="1:16" x14ac:dyDescent="0.3">
      <c r="A12" s="2" t="s">
        <v>35</v>
      </c>
      <c r="B12" s="2" t="s">
        <v>20</v>
      </c>
      <c r="C12" s="2" t="s">
        <v>36</v>
      </c>
      <c r="D12" s="2" t="s">
        <v>16</v>
      </c>
      <c r="E12" s="2" t="s">
        <v>22</v>
      </c>
      <c r="F12" s="2" t="s">
        <v>18</v>
      </c>
      <c r="G12" s="4">
        <v>2005</v>
      </c>
      <c r="H12" s="4">
        <v>60670.7</v>
      </c>
      <c r="I12" s="4">
        <v>44824.4</v>
      </c>
      <c r="J12" s="4">
        <v>15846.4</v>
      </c>
      <c r="K12" s="4">
        <v>30261.8</v>
      </c>
      <c r="L12" s="6">
        <v>49.878771800000003</v>
      </c>
      <c r="M12" s="6">
        <f>Table2[[#This Row],[% of Solo Streams]]/100</f>
        <v>0.49878771800000005</v>
      </c>
      <c r="N12" s="3">
        <v>30408.9</v>
      </c>
      <c r="O12" s="5">
        <v>50.121228199999997</v>
      </c>
      <c r="P12" s="6">
        <f>Table2[[#This Row],[% of Collaborative Streams]]/100</f>
        <v>0.50121228200000001</v>
      </c>
    </row>
    <row r="13" spans="1:16" x14ac:dyDescent="0.3">
      <c r="A13" s="2" t="s">
        <v>37</v>
      </c>
      <c r="B13" s="2" t="s">
        <v>20</v>
      </c>
      <c r="C13" s="2" t="s">
        <v>21</v>
      </c>
      <c r="D13" s="2" t="s">
        <v>16</v>
      </c>
      <c r="E13" s="2" t="s">
        <v>22</v>
      </c>
      <c r="F13" s="2" t="s">
        <v>18</v>
      </c>
      <c r="G13" s="4">
        <v>2015</v>
      </c>
      <c r="H13" s="4">
        <v>58049.5</v>
      </c>
      <c r="I13" s="4">
        <v>57160.1</v>
      </c>
      <c r="J13" s="4">
        <v>889.4</v>
      </c>
      <c r="K13" s="4">
        <v>51567.9</v>
      </c>
      <c r="L13" s="6">
        <v>88.834356889999995</v>
      </c>
      <c r="M13" s="6">
        <f>Table2[[#This Row],[% of Solo Streams]]/100</f>
        <v>0.88834356889999999</v>
      </c>
      <c r="N13" s="3">
        <v>6481.6</v>
      </c>
      <c r="O13" s="5">
        <v>11.16564311</v>
      </c>
      <c r="P13" s="6">
        <f>Table2[[#This Row],[% of Collaborative Streams]]/100</f>
        <v>0.11165643109999999</v>
      </c>
    </row>
    <row r="14" spans="1:16" x14ac:dyDescent="0.3">
      <c r="A14" s="2" t="s">
        <v>38</v>
      </c>
      <c r="B14" s="2" t="s">
        <v>14</v>
      </c>
      <c r="C14" s="2" t="s">
        <v>21</v>
      </c>
      <c r="D14" s="2" t="s">
        <v>16</v>
      </c>
      <c r="E14" s="2" t="s">
        <v>22</v>
      </c>
      <c r="F14" s="2" t="s">
        <v>18</v>
      </c>
      <c r="G14" s="4">
        <v>2010</v>
      </c>
      <c r="H14" s="4">
        <v>56727.1</v>
      </c>
      <c r="I14" s="4">
        <v>40714</v>
      </c>
      <c r="J14" s="4">
        <v>16013.1</v>
      </c>
      <c r="K14" s="4">
        <v>33618.1</v>
      </c>
      <c r="L14" s="6">
        <v>59.262856730000003</v>
      </c>
      <c r="M14" s="6">
        <f>Table2[[#This Row],[% of Solo Streams]]/100</f>
        <v>0.59262856730000002</v>
      </c>
      <c r="N14" s="3">
        <v>23109</v>
      </c>
      <c r="O14" s="5">
        <v>40.737143269999997</v>
      </c>
      <c r="P14" s="6">
        <f>Table2[[#This Row],[% of Collaborative Streams]]/100</f>
        <v>0.40737143269999998</v>
      </c>
    </row>
    <row r="15" spans="1:16" x14ac:dyDescent="0.3">
      <c r="A15" s="2" t="s">
        <v>39</v>
      </c>
      <c r="B15" s="2" t="s">
        <v>14</v>
      </c>
      <c r="C15" s="2" t="s">
        <v>21</v>
      </c>
      <c r="D15" s="2" t="s">
        <v>16</v>
      </c>
      <c r="E15" s="2" t="s">
        <v>17</v>
      </c>
      <c r="F15" s="2" t="s">
        <v>18</v>
      </c>
      <c r="G15" s="4">
        <v>2009</v>
      </c>
      <c r="H15" s="4">
        <v>56459.5</v>
      </c>
      <c r="I15" s="4">
        <v>40752.199999999997</v>
      </c>
      <c r="J15" s="4">
        <v>15725</v>
      </c>
      <c r="K15" s="4">
        <v>23403.5</v>
      </c>
      <c r="L15" s="6">
        <v>41.451837159999997</v>
      </c>
      <c r="M15" s="6">
        <f>Table2[[#This Row],[% of Solo Streams]]/100</f>
        <v>0.41451837159999999</v>
      </c>
      <c r="N15" s="3">
        <v>33056</v>
      </c>
      <c r="O15" s="5">
        <v>58.548162840000003</v>
      </c>
      <c r="P15" s="6">
        <f>Table2[[#This Row],[% of Collaborative Streams]]/100</f>
        <v>0.58548162840000006</v>
      </c>
    </row>
    <row r="16" spans="1:16" x14ac:dyDescent="0.3">
      <c r="A16" s="2" t="s">
        <v>40</v>
      </c>
      <c r="B16" s="2" t="s">
        <v>14</v>
      </c>
      <c r="C16" s="2" t="s">
        <v>21</v>
      </c>
      <c r="D16" s="2" t="s">
        <v>16</v>
      </c>
      <c r="E16" s="2" t="s">
        <v>22</v>
      </c>
      <c r="F16" s="2" t="s">
        <v>18</v>
      </c>
      <c r="G16" s="4">
        <v>2011</v>
      </c>
      <c r="H16" s="4">
        <v>55028.3</v>
      </c>
      <c r="I16" s="4">
        <v>48805.599999999999</v>
      </c>
      <c r="J16" s="4">
        <v>6235.6</v>
      </c>
      <c r="K16" s="4">
        <v>25419.4</v>
      </c>
      <c r="L16" s="6">
        <v>46.193322350000003</v>
      </c>
      <c r="M16" s="6">
        <f>Table2[[#This Row],[% of Solo Streams]]/100</f>
        <v>0.46193322350000005</v>
      </c>
      <c r="N16" s="3">
        <v>29608.9</v>
      </c>
      <c r="O16" s="5">
        <v>53.806677649999997</v>
      </c>
      <c r="P16" s="6">
        <f>Table2[[#This Row],[% of Collaborative Streams]]/100</f>
        <v>0.53806677650000001</v>
      </c>
    </row>
    <row r="17" spans="1:16" x14ac:dyDescent="0.3">
      <c r="A17" s="2" t="s">
        <v>41</v>
      </c>
      <c r="B17" s="2" t="s">
        <v>14</v>
      </c>
      <c r="C17" s="2" t="s">
        <v>42</v>
      </c>
      <c r="D17" s="2" t="s">
        <v>24</v>
      </c>
      <c r="E17" s="2" t="s">
        <v>25</v>
      </c>
      <c r="F17" s="2" t="s">
        <v>18</v>
      </c>
      <c r="G17" s="4">
        <v>2004</v>
      </c>
      <c r="H17" s="4">
        <v>54649.2</v>
      </c>
      <c r="I17" s="4">
        <v>25333.3</v>
      </c>
      <c r="J17" s="4">
        <v>29334</v>
      </c>
      <c r="K17" s="4">
        <v>7844.5</v>
      </c>
      <c r="L17" s="6">
        <v>14.35428149</v>
      </c>
      <c r="M17" s="6">
        <f>Table2[[#This Row],[% of Solo Streams]]/100</f>
        <v>0.14354281490000001</v>
      </c>
      <c r="N17" s="3">
        <v>46804.7</v>
      </c>
      <c r="O17" s="5">
        <v>85.645718509999995</v>
      </c>
      <c r="P17" s="6">
        <f>Table2[[#This Row],[% of Collaborative Streams]]/100</f>
        <v>0.85645718509999991</v>
      </c>
    </row>
    <row r="18" spans="1:16" x14ac:dyDescent="0.3">
      <c r="A18" s="2" t="s">
        <v>43</v>
      </c>
      <c r="B18" s="2" t="s">
        <v>14</v>
      </c>
      <c r="C18" s="2" t="s">
        <v>21</v>
      </c>
      <c r="D18" s="2" t="s">
        <v>16</v>
      </c>
      <c r="E18" s="2" t="s">
        <v>17</v>
      </c>
      <c r="F18" s="2" t="s">
        <v>18</v>
      </c>
      <c r="G18" s="4">
        <v>2010</v>
      </c>
      <c r="H18" s="4">
        <v>53951.5</v>
      </c>
      <c r="I18" s="4">
        <v>27879</v>
      </c>
      <c r="J18" s="4">
        <v>26072.5</v>
      </c>
      <c r="K18" s="4">
        <v>12647.5</v>
      </c>
      <c r="L18" s="6">
        <v>23.442350999999999</v>
      </c>
      <c r="M18" s="6">
        <f>Table2[[#This Row],[% of Solo Streams]]/100</f>
        <v>0.23442350999999997</v>
      </c>
      <c r="N18" s="3">
        <v>41304</v>
      </c>
      <c r="O18" s="5">
        <v>76.557648999999998</v>
      </c>
      <c r="P18" s="6">
        <f>Table2[[#This Row],[% of Collaborative Streams]]/100</f>
        <v>0.76557648999999994</v>
      </c>
    </row>
    <row r="19" spans="1:16" x14ac:dyDescent="0.3">
      <c r="A19" s="2" t="s">
        <v>44</v>
      </c>
      <c r="B19" s="2" t="s">
        <v>14</v>
      </c>
      <c r="C19" s="2" t="s">
        <v>45</v>
      </c>
      <c r="D19" s="2" t="s">
        <v>46</v>
      </c>
      <c r="E19" s="2" t="s">
        <v>47</v>
      </c>
      <c r="F19" s="2" t="s">
        <v>48</v>
      </c>
      <c r="G19" s="4">
        <v>2013</v>
      </c>
      <c r="H19" s="4">
        <v>53308.9</v>
      </c>
      <c r="I19" s="4">
        <v>47969.9</v>
      </c>
      <c r="J19" s="4">
        <v>5339</v>
      </c>
      <c r="K19" s="4">
        <v>44114.400000000001</v>
      </c>
      <c r="L19" s="6">
        <v>82.752410949999998</v>
      </c>
      <c r="M19" s="6">
        <f>Table2[[#This Row],[% of Solo Streams]]/100</f>
        <v>0.82752410949999999</v>
      </c>
      <c r="N19" s="3">
        <v>9194.5</v>
      </c>
      <c r="O19" s="5">
        <v>17.247589049999998</v>
      </c>
      <c r="P19" s="6">
        <f>Table2[[#This Row],[% of Collaborative Streams]]/100</f>
        <v>0.17247589049999998</v>
      </c>
    </row>
    <row r="20" spans="1:16" x14ac:dyDescent="0.3">
      <c r="A20" s="2" t="s">
        <v>49</v>
      </c>
      <c r="B20" s="2" t="s">
        <v>14</v>
      </c>
      <c r="C20" s="2" t="s">
        <v>21</v>
      </c>
      <c r="D20" s="2" t="s">
        <v>24</v>
      </c>
      <c r="E20" s="2" t="s">
        <v>25</v>
      </c>
      <c r="F20" s="2" t="s">
        <v>18</v>
      </c>
      <c r="G20" s="4">
        <v>2012</v>
      </c>
      <c r="H20" s="4">
        <v>47649.2</v>
      </c>
      <c r="I20" s="4">
        <v>20247.099999999999</v>
      </c>
      <c r="J20" s="4">
        <v>27418.9</v>
      </c>
      <c r="K20" s="4">
        <v>8621.1</v>
      </c>
      <c r="L20" s="6">
        <v>18.092853609999999</v>
      </c>
      <c r="M20" s="6">
        <f>Table2[[#This Row],[% of Solo Streams]]/100</f>
        <v>0.18092853609999998</v>
      </c>
      <c r="N20" s="3">
        <v>39028.1</v>
      </c>
      <c r="O20" s="5">
        <v>81.907146389999994</v>
      </c>
      <c r="P20" s="6">
        <f>Table2[[#This Row],[% of Collaborative Streams]]/100</f>
        <v>0.81907146389999996</v>
      </c>
    </row>
    <row r="21" spans="1:16" x14ac:dyDescent="0.3">
      <c r="A21" s="2" t="s">
        <v>50</v>
      </c>
      <c r="B21" s="2" t="s">
        <v>14</v>
      </c>
      <c r="C21" s="2" t="s">
        <v>33</v>
      </c>
      <c r="D21" s="2" t="s">
        <v>16</v>
      </c>
      <c r="E21" s="2" t="s">
        <v>51</v>
      </c>
      <c r="F21" s="2" t="s">
        <v>48</v>
      </c>
      <c r="G21" s="4">
        <v>1999</v>
      </c>
      <c r="H21" s="4">
        <v>46720.4</v>
      </c>
      <c r="I21" s="4">
        <v>42837.1</v>
      </c>
      <c r="J21" s="4">
        <v>3901.3</v>
      </c>
      <c r="K21" s="4">
        <v>38535.199999999997</v>
      </c>
      <c r="L21" s="6">
        <v>82.480458220000003</v>
      </c>
      <c r="M21" s="6">
        <f>Table2[[#This Row],[% of Solo Streams]]/100</f>
        <v>0.82480458220000008</v>
      </c>
      <c r="N21" s="3">
        <v>8185.2</v>
      </c>
      <c r="O21" s="5">
        <v>17.519541780000001</v>
      </c>
      <c r="P21" s="6">
        <f>Table2[[#This Row],[% of Collaborative Streams]]/100</f>
        <v>0.1751954178</v>
      </c>
    </row>
    <row r="22" spans="1:16" x14ac:dyDescent="0.3">
      <c r="A22" s="2" t="s">
        <v>52</v>
      </c>
      <c r="B22" s="2" t="s">
        <v>14</v>
      </c>
      <c r="C22" s="2" t="s">
        <v>21</v>
      </c>
      <c r="D22" s="2" t="s">
        <v>16</v>
      </c>
      <c r="E22" s="2" t="s">
        <v>17</v>
      </c>
      <c r="F22" s="2" t="s">
        <v>18</v>
      </c>
      <c r="G22" s="4">
        <v>2015</v>
      </c>
      <c r="H22" s="4">
        <v>46276.4</v>
      </c>
      <c r="I22" s="4">
        <v>34132.1</v>
      </c>
      <c r="J22" s="4">
        <v>12155.1</v>
      </c>
      <c r="K22" s="4">
        <v>26675.7</v>
      </c>
      <c r="L22" s="6">
        <v>57.64428521</v>
      </c>
      <c r="M22" s="6">
        <f>Table2[[#This Row],[% of Solo Streams]]/100</f>
        <v>0.57644285210000001</v>
      </c>
      <c r="N22" s="3">
        <v>19600.7</v>
      </c>
      <c r="O22" s="5">
        <v>42.35571479</v>
      </c>
      <c r="P22" s="6">
        <f>Table2[[#This Row],[% of Collaborative Streams]]/100</f>
        <v>0.42355714789999999</v>
      </c>
    </row>
    <row r="23" spans="1:16" x14ac:dyDescent="0.3">
      <c r="A23" s="2" t="s">
        <v>53</v>
      </c>
      <c r="B23" s="2" t="s">
        <v>14</v>
      </c>
      <c r="C23" s="2" t="s">
        <v>21</v>
      </c>
      <c r="D23" s="2" t="s">
        <v>16</v>
      </c>
      <c r="E23" s="2" t="s">
        <v>27</v>
      </c>
      <c r="F23" s="2" t="s">
        <v>18</v>
      </c>
      <c r="G23" s="4">
        <v>2005</v>
      </c>
      <c r="H23" s="4">
        <v>43963.8</v>
      </c>
      <c r="I23" s="4">
        <v>24455.7</v>
      </c>
      <c r="J23" s="4">
        <v>19523.900000000001</v>
      </c>
      <c r="K23" s="4">
        <v>12219.3</v>
      </c>
      <c r="L23" s="6">
        <v>27.794003249999999</v>
      </c>
      <c r="M23" s="6">
        <f>Table2[[#This Row],[% of Solo Streams]]/100</f>
        <v>0.27794003249999999</v>
      </c>
      <c r="N23" s="3">
        <v>31744.5</v>
      </c>
      <c r="O23" s="5">
        <v>72.205996749999997</v>
      </c>
      <c r="P23" s="6">
        <f>Table2[[#This Row],[% of Collaborative Streams]]/100</f>
        <v>0.72205996750000001</v>
      </c>
    </row>
    <row r="24" spans="1:16" x14ac:dyDescent="0.3">
      <c r="A24" s="2" t="s">
        <v>54</v>
      </c>
      <c r="B24" s="2" t="s">
        <v>20</v>
      </c>
      <c r="C24" s="2" t="s">
        <v>55</v>
      </c>
      <c r="D24" s="2" t="s">
        <v>16</v>
      </c>
      <c r="E24" s="2" t="s">
        <v>17</v>
      </c>
      <c r="F24" s="2" t="s">
        <v>18</v>
      </c>
      <c r="G24" s="4">
        <v>2007</v>
      </c>
      <c r="H24" s="4">
        <v>43330.3</v>
      </c>
      <c r="I24" s="4">
        <v>16316.4</v>
      </c>
      <c r="J24" s="4">
        <v>27027.9</v>
      </c>
      <c r="K24" s="4">
        <v>9618.2000000000007</v>
      </c>
      <c r="L24" s="6">
        <v>22.197399969999999</v>
      </c>
      <c r="M24" s="6">
        <f>Table2[[#This Row],[% of Solo Streams]]/100</f>
        <v>0.22197399969999998</v>
      </c>
      <c r="N24" s="3">
        <v>33712.1</v>
      </c>
      <c r="O24" s="5">
        <v>77.802600029999994</v>
      </c>
      <c r="P24" s="6">
        <f>Table2[[#This Row],[% of Collaborative Streams]]/100</f>
        <v>0.77802600029999991</v>
      </c>
    </row>
    <row r="25" spans="1:16" x14ac:dyDescent="0.3">
      <c r="A25" s="2" t="s">
        <v>56</v>
      </c>
      <c r="B25" s="2" t="s">
        <v>20</v>
      </c>
      <c r="C25" s="2" t="s">
        <v>21</v>
      </c>
      <c r="D25" s="2" t="s">
        <v>16</v>
      </c>
      <c r="E25" s="2" t="s">
        <v>57</v>
      </c>
      <c r="F25" s="2" t="s">
        <v>18</v>
      </c>
      <c r="G25" s="4">
        <v>2010</v>
      </c>
      <c r="H25" s="4">
        <v>42464.1</v>
      </c>
      <c r="I25" s="4">
        <v>38477.300000000003</v>
      </c>
      <c r="J25" s="4">
        <v>3986.8</v>
      </c>
      <c r="K25" s="4">
        <v>34578.400000000001</v>
      </c>
      <c r="L25" s="6">
        <v>81.429725340000005</v>
      </c>
      <c r="M25" s="6">
        <f>Table2[[#This Row],[% of Solo Streams]]/100</f>
        <v>0.81429725340000003</v>
      </c>
      <c r="N25" s="3">
        <v>7885.7</v>
      </c>
      <c r="O25" s="5">
        <v>18.570274659999999</v>
      </c>
      <c r="P25" s="6">
        <f>Table2[[#This Row],[% of Collaborative Streams]]/100</f>
        <v>0.1857027466</v>
      </c>
    </row>
    <row r="26" spans="1:16" x14ac:dyDescent="0.3">
      <c r="A26" s="2" t="s">
        <v>58</v>
      </c>
      <c r="B26" s="2" t="s">
        <v>14</v>
      </c>
      <c r="C26" s="2" t="s">
        <v>59</v>
      </c>
      <c r="D26" s="2" t="s">
        <v>16</v>
      </c>
      <c r="E26" s="2" t="s">
        <v>60</v>
      </c>
      <c r="F26" s="2" t="s">
        <v>18</v>
      </c>
      <c r="G26" s="4">
        <v>1990</v>
      </c>
      <c r="H26" s="4">
        <v>42059.5</v>
      </c>
      <c r="I26" s="4">
        <v>30750.799999999999</v>
      </c>
      <c r="J26" s="4">
        <v>11325.3</v>
      </c>
      <c r="K26" s="4">
        <v>406.8</v>
      </c>
      <c r="L26" s="6">
        <v>0.96720122679999998</v>
      </c>
      <c r="M26" s="6">
        <f>Table2[[#This Row],[% of Solo Streams]]/100</f>
        <v>9.6720122679999996E-3</v>
      </c>
      <c r="N26" s="3">
        <v>41652.699999999997</v>
      </c>
      <c r="O26" s="5">
        <v>99.032798769999999</v>
      </c>
      <c r="P26" s="6">
        <f>Table2[[#This Row],[% of Collaborative Streams]]/100</f>
        <v>0.99032798769999997</v>
      </c>
    </row>
    <row r="27" spans="1:16" x14ac:dyDescent="0.3">
      <c r="A27" s="2" t="s">
        <v>61</v>
      </c>
      <c r="B27" s="2" t="s">
        <v>20</v>
      </c>
      <c r="C27" s="2" t="s">
        <v>33</v>
      </c>
      <c r="D27" s="2" t="s">
        <v>16</v>
      </c>
      <c r="E27" s="2" t="s">
        <v>22</v>
      </c>
      <c r="F27" s="2" t="s">
        <v>18</v>
      </c>
      <c r="G27" s="4">
        <v>2015</v>
      </c>
      <c r="H27" s="4">
        <v>41944.1</v>
      </c>
      <c r="I27" s="4">
        <v>28269.7</v>
      </c>
      <c r="J27" s="4">
        <v>13687.6</v>
      </c>
      <c r="K27" s="4">
        <v>23133.7</v>
      </c>
      <c r="L27" s="6">
        <v>55.153644970000002</v>
      </c>
      <c r="M27" s="6">
        <f>Table2[[#This Row],[% of Solo Streams]]/100</f>
        <v>0.55153644970000004</v>
      </c>
      <c r="N27" s="3">
        <v>18810.400000000001</v>
      </c>
      <c r="O27" s="5">
        <v>44.846355029999998</v>
      </c>
      <c r="P27" s="6">
        <f>Table2[[#This Row],[% of Collaborative Streams]]/100</f>
        <v>0.44846355029999996</v>
      </c>
    </row>
    <row r="28" spans="1:16" x14ac:dyDescent="0.3">
      <c r="A28" s="2" t="s">
        <v>62</v>
      </c>
      <c r="B28" s="2" t="s">
        <v>14</v>
      </c>
      <c r="C28" s="2" t="s">
        <v>21</v>
      </c>
      <c r="D28" s="2" t="s">
        <v>24</v>
      </c>
      <c r="E28" s="2" t="s">
        <v>25</v>
      </c>
      <c r="F28" s="2" t="s">
        <v>18</v>
      </c>
      <c r="G28" s="4">
        <v>1991</v>
      </c>
      <c r="H28" s="4">
        <v>41405.4</v>
      </c>
      <c r="I28" s="4">
        <v>19772.099999999999</v>
      </c>
      <c r="J28" s="4">
        <v>21650</v>
      </c>
      <c r="K28" s="4">
        <v>10692.8</v>
      </c>
      <c r="L28" s="6">
        <v>25.824650890000001</v>
      </c>
      <c r="M28" s="6">
        <f>Table2[[#This Row],[% of Solo Streams]]/100</f>
        <v>0.2582465089</v>
      </c>
      <c r="N28" s="3">
        <v>30712.6</v>
      </c>
      <c r="O28" s="5">
        <v>74.175349109999999</v>
      </c>
      <c r="P28" s="6">
        <f>Table2[[#This Row],[% of Collaborative Streams]]/100</f>
        <v>0.7417534911</v>
      </c>
    </row>
    <row r="29" spans="1:16" x14ac:dyDescent="0.3">
      <c r="A29" s="2" t="s">
        <v>63</v>
      </c>
      <c r="B29" s="2" t="s">
        <v>14</v>
      </c>
      <c r="C29" s="2" t="s">
        <v>21</v>
      </c>
      <c r="D29" s="2" t="s">
        <v>24</v>
      </c>
      <c r="E29" s="2" t="s">
        <v>25</v>
      </c>
      <c r="F29" s="2" t="s">
        <v>18</v>
      </c>
      <c r="G29" s="4">
        <v>2014</v>
      </c>
      <c r="H29" s="4">
        <v>40738.6</v>
      </c>
      <c r="I29" s="4">
        <v>24898</v>
      </c>
      <c r="J29" s="4">
        <v>15857.7</v>
      </c>
      <c r="K29" s="4">
        <v>10432.5</v>
      </c>
      <c r="L29" s="6">
        <v>25.608391059999999</v>
      </c>
      <c r="M29" s="6">
        <f>Table2[[#This Row],[% of Solo Streams]]/100</f>
        <v>0.25608391059999996</v>
      </c>
      <c r="N29" s="3">
        <v>30306.1</v>
      </c>
      <c r="O29" s="5">
        <v>74.391608939999998</v>
      </c>
      <c r="P29" s="6">
        <f>Table2[[#This Row],[% of Collaborative Streams]]/100</f>
        <v>0.74391608939999998</v>
      </c>
    </row>
    <row r="30" spans="1:16" x14ac:dyDescent="0.3">
      <c r="A30" s="2" t="s">
        <v>64</v>
      </c>
      <c r="B30" s="2" t="s">
        <v>14</v>
      </c>
      <c r="C30" s="2" t="s">
        <v>21</v>
      </c>
      <c r="D30" s="2" t="s">
        <v>24</v>
      </c>
      <c r="E30" s="2" t="s">
        <v>25</v>
      </c>
      <c r="F30" s="2" t="s">
        <v>18</v>
      </c>
      <c r="G30" s="4">
        <v>2011</v>
      </c>
      <c r="H30" s="4">
        <v>40453.300000000003</v>
      </c>
      <c r="I30" s="4">
        <v>18355.599999999999</v>
      </c>
      <c r="J30" s="4">
        <v>22118.9</v>
      </c>
      <c r="K30" s="4">
        <v>6177</v>
      </c>
      <c r="L30" s="6">
        <v>15.26945886</v>
      </c>
      <c r="M30" s="6">
        <f>Table2[[#This Row],[% of Solo Streams]]/100</f>
        <v>0.15269458860000001</v>
      </c>
      <c r="N30" s="3">
        <v>34276.300000000003</v>
      </c>
      <c r="O30" s="5">
        <v>84.73054114</v>
      </c>
      <c r="P30" s="6">
        <f>Table2[[#This Row],[% of Collaborative Streams]]/100</f>
        <v>0.84730541140000004</v>
      </c>
    </row>
    <row r="31" spans="1:16" x14ac:dyDescent="0.3">
      <c r="A31" s="2" t="s">
        <v>65</v>
      </c>
      <c r="B31" s="2" t="s">
        <v>14</v>
      </c>
      <c r="C31" s="2" t="s">
        <v>21</v>
      </c>
      <c r="D31" s="2" t="s">
        <v>16</v>
      </c>
      <c r="E31" s="2" t="s">
        <v>17</v>
      </c>
      <c r="F31" s="2" t="s">
        <v>18</v>
      </c>
      <c r="G31" s="4">
        <v>2013</v>
      </c>
      <c r="H31" s="4">
        <v>40411.300000000003</v>
      </c>
      <c r="I31" s="4">
        <v>34419.9</v>
      </c>
      <c r="J31" s="4">
        <v>5998.9</v>
      </c>
      <c r="K31" s="4">
        <v>28138.400000000001</v>
      </c>
      <c r="L31" s="6">
        <v>69.630029219999997</v>
      </c>
      <c r="M31" s="6">
        <f>Table2[[#This Row],[% of Solo Streams]]/100</f>
        <v>0.6963002922</v>
      </c>
      <c r="N31" s="3">
        <v>12272.9</v>
      </c>
      <c r="O31" s="5">
        <v>30.369970779999999</v>
      </c>
      <c r="P31" s="6">
        <f>Table2[[#This Row],[% of Collaborative Streams]]/100</f>
        <v>0.3036997078</v>
      </c>
    </row>
    <row r="32" spans="1:16" x14ac:dyDescent="0.3">
      <c r="A32" s="2" t="s">
        <v>66</v>
      </c>
      <c r="B32" s="2" t="s">
        <v>14</v>
      </c>
      <c r="C32" s="2" t="s">
        <v>21</v>
      </c>
      <c r="D32" s="2" t="s">
        <v>16</v>
      </c>
      <c r="E32" s="2" t="s">
        <v>51</v>
      </c>
      <c r="F32" s="2" t="s">
        <v>48</v>
      </c>
      <c r="G32" s="4">
        <v>2012</v>
      </c>
      <c r="H32" s="4">
        <v>40279.5</v>
      </c>
      <c r="I32" s="4">
        <v>38006.699999999997</v>
      </c>
      <c r="J32" s="4">
        <v>2283.1999999999998</v>
      </c>
      <c r="K32" s="4">
        <v>33880.400000000001</v>
      </c>
      <c r="L32" s="6">
        <v>84.113258610000003</v>
      </c>
      <c r="M32" s="6">
        <f>Table2[[#This Row],[% of Solo Streams]]/100</f>
        <v>0.84113258610000008</v>
      </c>
      <c r="N32" s="3">
        <v>6399.1</v>
      </c>
      <c r="O32" s="5">
        <v>15.886741389999999</v>
      </c>
      <c r="P32" s="6">
        <f>Table2[[#This Row],[% of Collaborative Streams]]/100</f>
        <v>0.1588674139</v>
      </c>
    </row>
    <row r="33" spans="1:16" x14ac:dyDescent="0.3">
      <c r="A33" s="2" t="s">
        <v>67</v>
      </c>
      <c r="B33" s="2" t="s">
        <v>14</v>
      </c>
      <c r="C33" s="2" t="s">
        <v>21</v>
      </c>
      <c r="D33" s="2" t="s">
        <v>16</v>
      </c>
      <c r="E33" s="2" t="s">
        <v>17</v>
      </c>
      <c r="F33" s="2" t="s">
        <v>18</v>
      </c>
      <c r="G33" s="4">
        <v>1997</v>
      </c>
      <c r="H33" s="4">
        <v>40148.199999999997</v>
      </c>
      <c r="I33" s="4">
        <v>15870.4</v>
      </c>
      <c r="J33" s="4">
        <v>24279.9</v>
      </c>
      <c r="K33" s="4">
        <v>4050.9</v>
      </c>
      <c r="L33" s="6">
        <v>10.08986704</v>
      </c>
      <c r="M33" s="6">
        <f>Table2[[#This Row],[% of Solo Streams]]/100</f>
        <v>0.1008986704</v>
      </c>
      <c r="N33" s="3">
        <v>36097.300000000003</v>
      </c>
      <c r="O33" s="5">
        <v>89.910132959999999</v>
      </c>
      <c r="P33" s="6">
        <f>Table2[[#This Row],[% of Collaborative Streams]]/100</f>
        <v>0.8991013296</v>
      </c>
    </row>
    <row r="34" spans="1:16" x14ac:dyDescent="0.3">
      <c r="A34" s="2" t="s">
        <v>68</v>
      </c>
      <c r="B34" s="2" t="s">
        <v>14</v>
      </c>
      <c r="C34" s="2" t="s">
        <v>33</v>
      </c>
      <c r="D34" s="2" t="s">
        <v>16</v>
      </c>
      <c r="E34" s="2" t="s">
        <v>17</v>
      </c>
      <c r="F34" s="2" t="s">
        <v>18</v>
      </c>
      <c r="G34" s="4">
        <v>2014</v>
      </c>
      <c r="H34" s="4">
        <v>39024.300000000003</v>
      </c>
      <c r="I34" s="4">
        <v>15878</v>
      </c>
      <c r="J34" s="4">
        <v>23155.599999999999</v>
      </c>
      <c r="K34" s="4">
        <v>7883.1</v>
      </c>
      <c r="L34" s="6">
        <v>20.200490460000001</v>
      </c>
      <c r="M34" s="6">
        <f>Table2[[#This Row],[% of Solo Streams]]/100</f>
        <v>0.20200490460000001</v>
      </c>
      <c r="N34" s="3">
        <v>31141.200000000001</v>
      </c>
      <c r="O34" s="5">
        <v>79.799509540000003</v>
      </c>
      <c r="P34" s="6">
        <f>Table2[[#This Row],[% of Collaborative Streams]]/100</f>
        <v>0.79799509540000002</v>
      </c>
    </row>
    <row r="35" spans="1:16" x14ac:dyDescent="0.3">
      <c r="A35" s="2" t="s">
        <v>69</v>
      </c>
      <c r="B35" s="2" t="s">
        <v>20</v>
      </c>
      <c r="C35" s="2" t="s">
        <v>21</v>
      </c>
      <c r="D35" s="2" t="s">
        <v>16</v>
      </c>
      <c r="E35" s="2" t="s">
        <v>27</v>
      </c>
      <c r="F35" s="2" t="s">
        <v>18</v>
      </c>
      <c r="G35" s="4">
        <v>2012</v>
      </c>
      <c r="H35" s="4">
        <v>38879.599999999999</v>
      </c>
      <c r="I35" s="4">
        <v>25267.5</v>
      </c>
      <c r="J35" s="4">
        <v>13627.2</v>
      </c>
      <c r="K35" s="4">
        <v>19804.599999999999</v>
      </c>
      <c r="L35" s="6">
        <v>50.938281259999997</v>
      </c>
      <c r="M35" s="6">
        <f>Table2[[#This Row],[% of Solo Streams]]/100</f>
        <v>0.50938281259999996</v>
      </c>
      <c r="N35" s="3">
        <v>19075</v>
      </c>
      <c r="O35" s="5">
        <v>49.061718740000003</v>
      </c>
      <c r="P35" s="6">
        <f>Table2[[#This Row],[% of Collaborative Streams]]/100</f>
        <v>0.49061718740000004</v>
      </c>
    </row>
    <row r="36" spans="1:16" x14ac:dyDescent="0.3">
      <c r="A36" s="2" t="s">
        <v>70</v>
      </c>
      <c r="B36" s="2" t="s">
        <v>14</v>
      </c>
      <c r="C36" s="2" t="s">
        <v>71</v>
      </c>
      <c r="D36" s="2" t="s">
        <v>72</v>
      </c>
      <c r="E36" s="2" t="s">
        <v>73</v>
      </c>
      <c r="F36" s="2" t="s">
        <v>18</v>
      </c>
      <c r="G36" s="4">
        <v>2011</v>
      </c>
      <c r="H36" s="4">
        <v>37687.800000000003</v>
      </c>
      <c r="I36" s="4">
        <v>13330.4</v>
      </c>
      <c r="J36" s="4">
        <v>24384.799999999999</v>
      </c>
      <c r="K36" s="4">
        <v>4537.3999999999996</v>
      </c>
      <c r="L36" s="6">
        <v>12.03943982</v>
      </c>
      <c r="M36" s="6">
        <f>Table2[[#This Row],[% of Solo Streams]]/100</f>
        <v>0.1203943982</v>
      </c>
      <c r="N36" s="3">
        <v>33150.400000000001</v>
      </c>
      <c r="O36" s="5">
        <v>87.960560180000002</v>
      </c>
      <c r="P36" s="6">
        <f>Table2[[#This Row],[% of Collaborative Streams]]/100</f>
        <v>0.87960560180000003</v>
      </c>
    </row>
    <row r="37" spans="1:16" x14ac:dyDescent="0.3">
      <c r="A37" s="2" t="s">
        <v>74</v>
      </c>
      <c r="B37" s="2" t="s">
        <v>20</v>
      </c>
      <c r="C37" s="2" t="s">
        <v>21</v>
      </c>
      <c r="D37" s="2" t="s">
        <v>16</v>
      </c>
      <c r="E37" s="2" t="s">
        <v>22</v>
      </c>
      <c r="F37" s="2" t="s">
        <v>18</v>
      </c>
      <c r="G37" s="4">
        <v>2008</v>
      </c>
      <c r="H37" s="4">
        <v>37565.4</v>
      </c>
      <c r="I37" s="4">
        <v>37009.699999999997</v>
      </c>
      <c r="J37" s="4">
        <v>572</v>
      </c>
      <c r="K37" s="4">
        <v>23546.2</v>
      </c>
      <c r="L37" s="6">
        <v>62.680551780000002</v>
      </c>
      <c r="M37" s="6">
        <f>Table2[[#This Row],[% of Solo Streams]]/100</f>
        <v>0.62680551780000004</v>
      </c>
      <c r="N37" s="3">
        <v>14019.2</v>
      </c>
      <c r="O37" s="5">
        <v>37.319448219999998</v>
      </c>
      <c r="P37" s="6">
        <f>Table2[[#This Row],[% of Collaborative Streams]]/100</f>
        <v>0.37319448219999996</v>
      </c>
    </row>
    <row r="38" spans="1:16" x14ac:dyDescent="0.3">
      <c r="A38" s="2" t="s">
        <v>75</v>
      </c>
      <c r="B38" s="2" t="s">
        <v>20</v>
      </c>
      <c r="C38" s="2" t="s">
        <v>42</v>
      </c>
      <c r="D38" s="2" t="s">
        <v>24</v>
      </c>
      <c r="E38" s="2" t="s">
        <v>25</v>
      </c>
      <c r="F38" s="2" t="s">
        <v>18</v>
      </c>
      <c r="G38" s="4">
        <v>2007</v>
      </c>
      <c r="H38" s="4">
        <v>37549.699999999997</v>
      </c>
      <c r="I38" s="4">
        <v>29603.8</v>
      </c>
      <c r="J38" s="4">
        <v>7961.5</v>
      </c>
      <c r="K38" s="4">
        <v>14790.4</v>
      </c>
      <c r="L38" s="6">
        <v>39.388863290000003</v>
      </c>
      <c r="M38" s="6">
        <f>Table2[[#This Row],[% of Solo Streams]]/100</f>
        <v>0.39388863290000004</v>
      </c>
      <c r="N38" s="3">
        <v>22759.3</v>
      </c>
      <c r="O38" s="5">
        <v>60.611136709999997</v>
      </c>
      <c r="P38" s="6">
        <f>Table2[[#This Row],[% of Collaborative Streams]]/100</f>
        <v>0.60611136710000002</v>
      </c>
    </row>
    <row r="39" spans="1:16" x14ac:dyDescent="0.3">
      <c r="A39" s="2" t="s">
        <v>76</v>
      </c>
      <c r="B39" s="2" t="s">
        <v>14</v>
      </c>
      <c r="C39" s="2" t="s">
        <v>21</v>
      </c>
      <c r="D39" s="2" t="s">
        <v>16</v>
      </c>
      <c r="E39" s="2" t="s">
        <v>17</v>
      </c>
      <c r="F39" s="2" t="s">
        <v>18</v>
      </c>
      <c r="G39" s="4">
        <v>2017</v>
      </c>
      <c r="H39" s="4">
        <v>35931.9</v>
      </c>
      <c r="I39" s="4">
        <v>18773.5</v>
      </c>
      <c r="J39" s="4">
        <v>17171.5</v>
      </c>
      <c r="K39" s="4">
        <v>8928.7999999999993</v>
      </c>
      <c r="L39" s="6">
        <v>24.84922868</v>
      </c>
      <c r="M39" s="6">
        <f>Table2[[#This Row],[% of Solo Streams]]/100</f>
        <v>0.24849228679999999</v>
      </c>
      <c r="N39" s="3">
        <v>27003.1</v>
      </c>
      <c r="O39" s="5">
        <v>75.150771320000004</v>
      </c>
      <c r="P39" s="6">
        <f>Table2[[#This Row],[% of Collaborative Streams]]/100</f>
        <v>0.75150771320000009</v>
      </c>
    </row>
    <row r="40" spans="1:16" x14ac:dyDescent="0.3">
      <c r="A40" s="2" t="s">
        <v>77</v>
      </c>
      <c r="B40" s="2" t="s">
        <v>78</v>
      </c>
      <c r="C40" s="2" t="s">
        <v>21</v>
      </c>
      <c r="D40" s="2" t="s">
        <v>16</v>
      </c>
      <c r="E40" s="2" t="s">
        <v>22</v>
      </c>
      <c r="F40" s="2" t="s">
        <v>48</v>
      </c>
      <c r="G40" s="4">
        <v>2002</v>
      </c>
      <c r="H40" s="4">
        <v>35794.1</v>
      </c>
      <c r="I40" s="4">
        <v>35585.800000000003</v>
      </c>
      <c r="J40" s="4">
        <v>222.6</v>
      </c>
      <c r="K40" s="4">
        <v>23312.5</v>
      </c>
      <c r="L40" s="6">
        <v>65.129448710000005</v>
      </c>
      <c r="M40" s="6">
        <f>Table2[[#This Row],[% of Solo Streams]]/100</f>
        <v>0.65129448710000004</v>
      </c>
      <c r="N40" s="3">
        <v>12481.6</v>
      </c>
      <c r="O40" s="5">
        <v>34.870551290000002</v>
      </c>
      <c r="P40" s="6">
        <f>Table2[[#This Row],[% of Collaborative Streams]]/100</f>
        <v>0.34870551290000001</v>
      </c>
    </row>
    <row r="41" spans="1:16" x14ac:dyDescent="0.3">
      <c r="A41" s="2" t="s">
        <v>79</v>
      </c>
      <c r="B41" s="2" t="s">
        <v>14</v>
      </c>
      <c r="C41" s="2" t="s">
        <v>21</v>
      </c>
      <c r="D41" s="2" t="s">
        <v>16</v>
      </c>
      <c r="E41" s="2" t="s">
        <v>27</v>
      </c>
      <c r="F41" s="2" t="s">
        <v>18</v>
      </c>
      <c r="G41" s="4">
        <v>2016</v>
      </c>
      <c r="H41" s="4">
        <v>35727.199999999997</v>
      </c>
      <c r="I41" s="4">
        <v>18499.900000000001</v>
      </c>
      <c r="J41" s="4">
        <v>17234.400000000001</v>
      </c>
      <c r="K41" s="4">
        <v>12520.6</v>
      </c>
      <c r="L41" s="6">
        <v>35.045007730000002</v>
      </c>
      <c r="M41" s="6">
        <f>Table2[[#This Row],[% of Solo Streams]]/100</f>
        <v>0.3504500773</v>
      </c>
      <c r="N41" s="3">
        <v>23206.6</v>
      </c>
      <c r="O41" s="5">
        <v>64.954992270000005</v>
      </c>
      <c r="P41" s="6">
        <f>Table2[[#This Row],[% of Collaborative Streams]]/100</f>
        <v>0.6495499227</v>
      </c>
    </row>
    <row r="42" spans="1:16" x14ac:dyDescent="0.3">
      <c r="A42" s="2" t="s">
        <v>80</v>
      </c>
      <c r="B42" s="2" t="s">
        <v>20</v>
      </c>
      <c r="C42" s="2" t="s">
        <v>21</v>
      </c>
      <c r="D42" s="2" t="s">
        <v>16</v>
      </c>
      <c r="E42" s="2" t="s">
        <v>22</v>
      </c>
      <c r="F42" s="2" t="s">
        <v>18</v>
      </c>
      <c r="G42" s="4">
        <v>2003</v>
      </c>
      <c r="H42" s="4">
        <v>34975.199999999997</v>
      </c>
      <c r="I42" s="4">
        <v>29662.799999999999</v>
      </c>
      <c r="J42" s="4">
        <v>5325.3</v>
      </c>
      <c r="K42" s="4">
        <v>21863.9</v>
      </c>
      <c r="L42" s="6">
        <v>62.51258034</v>
      </c>
      <c r="M42" s="6">
        <f>Table2[[#This Row],[% of Solo Streams]]/100</f>
        <v>0.62512580340000001</v>
      </c>
      <c r="N42" s="3">
        <v>13111.3</v>
      </c>
      <c r="O42" s="5">
        <v>37.48741966</v>
      </c>
      <c r="P42" s="6">
        <f>Table2[[#This Row],[% of Collaborative Streams]]/100</f>
        <v>0.37487419659999999</v>
      </c>
    </row>
    <row r="43" spans="1:16" x14ac:dyDescent="0.3">
      <c r="A43" s="2" t="s">
        <v>81</v>
      </c>
      <c r="B43" s="2" t="s">
        <v>14</v>
      </c>
      <c r="C43" s="2" t="s">
        <v>42</v>
      </c>
      <c r="D43" s="2" t="s">
        <v>24</v>
      </c>
      <c r="E43" s="2" t="s">
        <v>82</v>
      </c>
      <c r="F43" s="2" t="s">
        <v>18</v>
      </c>
      <c r="G43" s="4">
        <v>2010</v>
      </c>
      <c r="H43" s="4">
        <v>34841</v>
      </c>
      <c r="I43" s="4">
        <v>19449.8</v>
      </c>
      <c r="J43" s="4">
        <v>15404.7</v>
      </c>
      <c r="K43" s="4">
        <v>11616.3</v>
      </c>
      <c r="L43" s="6">
        <v>33.340891480000003</v>
      </c>
      <c r="M43" s="6">
        <f>Table2[[#This Row],[% of Solo Streams]]/100</f>
        <v>0.33340891480000001</v>
      </c>
      <c r="N43" s="3">
        <v>23224.7</v>
      </c>
      <c r="O43" s="5">
        <v>66.659108520000004</v>
      </c>
      <c r="P43" s="6">
        <f>Table2[[#This Row],[% of Collaborative Streams]]/100</f>
        <v>0.66659108519999999</v>
      </c>
    </row>
    <row r="44" spans="1:16" x14ac:dyDescent="0.3">
      <c r="A44" s="2" t="s">
        <v>83</v>
      </c>
      <c r="B44" s="2" t="s">
        <v>14</v>
      </c>
      <c r="C44" s="2" t="s">
        <v>42</v>
      </c>
      <c r="D44" s="2" t="s">
        <v>24</v>
      </c>
      <c r="E44" s="2" t="s">
        <v>25</v>
      </c>
      <c r="F44" s="2" t="s">
        <v>18</v>
      </c>
      <c r="G44" s="4">
        <v>2015</v>
      </c>
      <c r="H44" s="4">
        <v>34579.1</v>
      </c>
      <c r="I44" s="4">
        <v>18725.599999999999</v>
      </c>
      <c r="J44" s="4">
        <v>15774.1</v>
      </c>
      <c r="K44" s="4">
        <v>9877.2999999999993</v>
      </c>
      <c r="L44" s="6">
        <v>28.564364019999999</v>
      </c>
      <c r="M44" s="6">
        <f>Table2[[#This Row],[% of Solo Streams]]/100</f>
        <v>0.28564364019999999</v>
      </c>
      <c r="N44" s="3">
        <v>24701.8</v>
      </c>
      <c r="O44" s="5">
        <v>71.435635980000001</v>
      </c>
      <c r="P44" s="6">
        <f>Table2[[#This Row],[% of Collaborative Streams]]/100</f>
        <v>0.71435635980000001</v>
      </c>
    </row>
    <row r="45" spans="1:16" x14ac:dyDescent="0.3">
      <c r="A45" s="2" t="s">
        <v>84</v>
      </c>
      <c r="B45" s="2" t="s">
        <v>14</v>
      </c>
      <c r="C45" s="2" t="s">
        <v>85</v>
      </c>
      <c r="D45" s="2" t="s">
        <v>16</v>
      </c>
      <c r="E45" s="2" t="s">
        <v>60</v>
      </c>
      <c r="F45" s="2" t="s">
        <v>18</v>
      </c>
      <c r="G45" s="4">
        <v>2007</v>
      </c>
      <c r="H45" s="4">
        <v>34129.699999999997</v>
      </c>
      <c r="I45" s="4">
        <v>31846</v>
      </c>
      <c r="J45" s="4">
        <v>2298.3000000000002</v>
      </c>
      <c r="K45" s="4">
        <v>5998.8</v>
      </c>
      <c r="L45" s="6">
        <v>17.576480310000001</v>
      </c>
      <c r="M45" s="6">
        <f>Table2[[#This Row],[% of Solo Streams]]/100</f>
        <v>0.17576480310000001</v>
      </c>
      <c r="N45" s="3">
        <v>28130.9</v>
      </c>
      <c r="O45" s="5">
        <v>82.423519690000006</v>
      </c>
      <c r="P45" s="6">
        <f>Table2[[#This Row],[% of Collaborative Streams]]/100</f>
        <v>0.82423519690000002</v>
      </c>
    </row>
    <row r="46" spans="1:16" x14ac:dyDescent="0.3">
      <c r="A46" s="2" t="s">
        <v>86</v>
      </c>
      <c r="B46" s="2" t="s">
        <v>14</v>
      </c>
      <c r="C46" s="2" t="s">
        <v>21</v>
      </c>
      <c r="D46" s="2" t="s">
        <v>24</v>
      </c>
      <c r="E46" s="2" t="s">
        <v>25</v>
      </c>
      <c r="F46" s="2" t="s">
        <v>18</v>
      </c>
      <c r="G46" s="4">
        <v>2016</v>
      </c>
      <c r="H46" s="4">
        <v>33620.699999999997</v>
      </c>
      <c r="I46" s="4">
        <v>14022.5</v>
      </c>
      <c r="J46" s="4">
        <v>19614.7</v>
      </c>
      <c r="K46" s="4">
        <v>9406.6</v>
      </c>
      <c r="L46" s="6">
        <v>27.97859652</v>
      </c>
      <c r="M46" s="6">
        <f>Table2[[#This Row],[% of Solo Streams]]/100</f>
        <v>0.27978596519999999</v>
      </c>
      <c r="N46" s="3">
        <v>24214.1</v>
      </c>
      <c r="O46" s="5">
        <v>72.021403480000004</v>
      </c>
      <c r="P46" s="6">
        <f>Table2[[#This Row],[% of Collaborative Streams]]/100</f>
        <v>0.72021403480000001</v>
      </c>
    </row>
    <row r="47" spans="1:16" x14ac:dyDescent="0.3">
      <c r="A47" s="2" t="s">
        <v>87</v>
      </c>
      <c r="B47" s="2" t="s">
        <v>78</v>
      </c>
      <c r="C47" s="2" t="s">
        <v>21</v>
      </c>
      <c r="D47" s="2" t="s">
        <v>16</v>
      </c>
      <c r="E47" s="2" t="s">
        <v>51</v>
      </c>
      <c r="F47" s="2" t="s">
        <v>48</v>
      </c>
      <c r="G47" s="4">
        <v>2000</v>
      </c>
      <c r="H47" s="4">
        <v>33224.699999999997</v>
      </c>
      <c r="I47" s="4">
        <v>31426.6</v>
      </c>
      <c r="J47" s="4">
        <v>1798.1</v>
      </c>
      <c r="K47" s="4">
        <v>30151.200000000001</v>
      </c>
      <c r="L47" s="6">
        <v>90.749352139999999</v>
      </c>
      <c r="M47" s="6">
        <f>Table2[[#This Row],[% of Solo Streams]]/100</f>
        <v>0.90749352139999995</v>
      </c>
      <c r="N47" s="3">
        <v>3073.5</v>
      </c>
      <c r="O47" s="5">
        <v>9.2506478609999991</v>
      </c>
      <c r="P47" s="6">
        <f>Table2[[#This Row],[% of Collaborative Streams]]/100</f>
        <v>9.2506478609999998E-2</v>
      </c>
    </row>
    <row r="48" spans="1:16" x14ac:dyDescent="0.3">
      <c r="A48" s="2" t="s">
        <v>88</v>
      </c>
      <c r="B48" s="2" t="s">
        <v>14</v>
      </c>
      <c r="C48" s="2" t="s">
        <v>89</v>
      </c>
      <c r="D48" s="2" t="s">
        <v>24</v>
      </c>
      <c r="E48" s="2" t="s">
        <v>90</v>
      </c>
      <c r="F48" s="2" t="s">
        <v>18</v>
      </c>
      <c r="G48" s="4">
        <v>2020</v>
      </c>
      <c r="H48" s="4">
        <v>33179.800000000003</v>
      </c>
      <c r="I48" s="4">
        <v>18699.099999999999</v>
      </c>
      <c r="J48" s="4">
        <v>14501.2</v>
      </c>
      <c r="K48" s="4">
        <v>3938.3</v>
      </c>
      <c r="L48" s="6">
        <v>11.86957125</v>
      </c>
      <c r="M48" s="6">
        <f>Table2[[#This Row],[% of Solo Streams]]/100</f>
        <v>0.11869571249999999</v>
      </c>
      <c r="N48" s="3">
        <v>29241.5</v>
      </c>
      <c r="O48" s="5">
        <v>88.130428749999993</v>
      </c>
      <c r="P48" s="6">
        <f>Table2[[#This Row],[% of Collaborative Streams]]/100</f>
        <v>0.88130428749999989</v>
      </c>
    </row>
    <row r="49" spans="1:16" x14ac:dyDescent="0.3">
      <c r="A49" s="2" t="s">
        <v>91</v>
      </c>
      <c r="B49" s="2" t="s">
        <v>14</v>
      </c>
      <c r="C49" s="2" t="s">
        <v>21</v>
      </c>
      <c r="D49" s="2" t="s">
        <v>16</v>
      </c>
      <c r="E49" s="2" t="s">
        <v>17</v>
      </c>
      <c r="F49" s="2" t="s">
        <v>18</v>
      </c>
      <c r="G49" s="4">
        <v>2007</v>
      </c>
      <c r="H49" s="4">
        <v>32200.9</v>
      </c>
      <c r="I49" s="4">
        <v>24334.7</v>
      </c>
      <c r="J49" s="4">
        <v>7876.1</v>
      </c>
      <c r="K49" s="4">
        <v>18999.5</v>
      </c>
      <c r="L49" s="6">
        <v>59.003009230000004</v>
      </c>
      <c r="M49" s="6">
        <f>Table2[[#This Row],[% of Solo Streams]]/100</f>
        <v>0.59003009230000003</v>
      </c>
      <c r="N49" s="3">
        <v>13201.4</v>
      </c>
      <c r="O49" s="5">
        <v>40.996990769999996</v>
      </c>
      <c r="P49" s="6">
        <f>Table2[[#This Row],[% of Collaborative Streams]]/100</f>
        <v>0.40996990769999997</v>
      </c>
    </row>
    <row r="50" spans="1:16" x14ac:dyDescent="0.3">
      <c r="A50" s="2" t="s">
        <v>92</v>
      </c>
      <c r="B50" s="2" t="s">
        <v>14</v>
      </c>
      <c r="C50" s="2" t="s">
        <v>21</v>
      </c>
      <c r="D50" s="2" t="s">
        <v>16</v>
      </c>
      <c r="E50" s="2" t="s">
        <v>17</v>
      </c>
      <c r="F50" s="2" t="s">
        <v>18</v>
      </c>
      <c r="G50" s="4">
        <v>2014</v>
      </c>
      <c r="H50" s="4">
        <v>32115.9</v>
      </c>
      <c r="I50" s="4">
        <v>21117.5</v>
      </c>
      <c r="J50" s="4">
        <v>11006.6</v>
      </c>
      <c r="K50" s="4">
        <v>16803.2</v>
      </c>
      <c r="L50" s="6">
        <v>52.32050168</v>
      </c>
      <c r="M50" s="6">
        <f>Table2[[#This Row],[% of Solo Streams]]/100</f>
        <v>0.52320501679999998</v>
      </c>
      <c r="N50" s="3">
        <v>15312.7</v>
      </c>
      <c r="O50" s="5">
        <v>47.67949832</v>
      </c>
      <c r="P50" s="6">
        <f>Table2[[#This Row],[% of Collaborative Streams]]/100</f>
        <v>0.47679498320000002</v>
      </c>
    </row>
    <row r="51" spans="1:16" x14ac:dyDescent="0.3">
      <c r="A51" s="2" t="s">
        <v>93</v>
      </c>
      <c r="B51" s="2" t="s">
        <v>20</v>
      </c>
      <c r="C51" s="2" t="s">
        <v>94</v>
      </c>
      <c r="D51" s="2" t="s">
        <v>16</v>
      </c>
      <c r="E51" s="2" t="s">
        <v>22</v>
      </c>
      <c r="F51" s="2" t="s">
        <v>18</v>
      </c>
      <c r="G51" s="4">
        <v>1997</v>
      </c>
      <c r="H51" s="4">
        <v>31642.1</v>
      </c>
      <c r="I51" s="4">
        <v>21063.200000000001</v>
      </c>
      <c r="J51" s="4">
        <v>10588.2</v>
      </c>
      <c r="K51" s="4">
        <v>15741.1</v>
      </c>
      <c r="L51" s="6">
        <v>49.747330300000002</v>
      </c>
      <c r="M51" s="6">
        <f>Table2[[#This Row],[% of Solo Streams]]/100</f>
        <v>0.49747330300000003</v>
      </c>
      <c r="N51" s="3">
        <v>15901</v>
      </c>
      <c r="O51" s="5">
        <v>50.252669699999998</v>
      </c>
      <c r="P51" s="6">
        <f>Table2[[#This Row],[% of Collaborative Streams]]/100</f>
        <v>0.50252669699999997</v>
      </c>
    </row>
    <row r="52" spans="1:16" x14ac:dyDescent="0.3">
      <c r="A52" s="2" t="s">
        <v>95</v>
      </c>
      <c r="B52" s="2" t="s">
        <v>20</v>
      </c>
      <c r="C52" s="2" t="s">
        <v>21</v>
      </c>
      <c r="D52" s="2" t="s">
        <v>16</v>
      </c>
      <c r="E52" s="2" t="s">
        <v>22</v>
      </c>
      <c r="F52" s="2" t="s">
        <v>18</v>
      </c>
      <c r="G52" s="4">
        <v>2012</v>
      </c>
      <c r="H52" s="4">
        <v>31214.3</v>
      </c>
      <c r="I52" s="4">
        <v>25574.2</v>
      </c>
      <c r="J52" s="4">
        <v>5650.9</v>
      </c>
      <c r="K52" s="4">
        <v>18797.099999999999</v>
      </c>
      <c r="L52" s="6">
        <v>60.219514770000004</v>
      </c>
      <c r="M52" s="6">
        <f>Table2[[#This Row],[% of Solo Streams]]/100</f>
        <v>0.60219514770000004</v>
      </c>
      <c r="N52" s="3">
        <v>12417.2</v>
      </c>
      <c r="O52" s="5">
        <v>39.780485229999996</v>
      </c>
      <c r="P52" s="6">
        <f>Table2[[#This Row],[% of Collaborative Streams]]/100</f>
        <v>0.39780485229999996</v>
      </c>
    </row>
    <row r="53" spans="1:16" x14ac:dyDescent="0.3">
      <c r="A53" s="2" t="s">
        <v>96</v>
      </c>
      <c r="B53" s="2" t="s">
        <v>20</v>
      </c>
      <c r="C53" s="2" t="s">
        <v>42</v>
      </c>
      <c r="D53" s="2" t="s">
        <v>24</v>
      </c>
      <c r="E53" s="2" t="s">
        <v>82</v>
      </c>
      <c r="F53" s="2" t="s">
        <v>18</v>
      </c>
      <c r="G53" s="4">
        <v>1991</v>
      </c>
      <c r="H53" s="4">
        <v>31212.400000000001</v>
      </c>
      <c r="I53" s="4">
        <v>24041</v>
      </c>
      <c r="J53" s="4">
        <v>7171.5</v>
      </c>
      <c r="K53" s="4">
        <v>11661.1</v>
      </c>
      <c r="L53" s="6">
        <v>37.360472119999997</v>
      </c>
      <c r="M53" s="6">
        <f>Table2[[#This Row],[% of Solo Streams]]/100</f>
        <v>0.37360472119999999</v>
      </c>
      <c r="N53" s="3">
        <v>19551.3</v>
      </c>
      <c r="O53" s="5">
        <v>62.639527880000003</v>
      </c>
      <c r="P53" s="6">
        <f>Table2[[#This Row],[% of Collaborative Streams]]/100</f>
        <v>0.62639527880000001</v>
      </c>
    </row>
    <row r="54" spans="1:16" x14ac:dyDescent="0.3">
      <c r="A54" s="2" t="s">
        <v>97</v>
      </c>
      <c r="B54" s="2" t="s">
        <v>14</v>
      </c>
      <c r="C54" s="2" t="s">
        <v>21</v>
      </c>
      <c r="D54" s="2" t="s">
        <v>16</v>
      </c>
      <c r="E54" s="2" t="s">
        <v>98</v>
      </c>
      <c r="F54" s="2" t="s">
        <v>18</v>
      </c>
      <c r="G54" s="4">
        <v>2014</v>
      </c>
      <c r="H54" s="4">
        <v>31171.1</v>
      </c>
      <c r="I54" s="4">
        <v>26589.9</v>
      </c>
      <c r="J54" s="4">
        <v>4600.3999999999996</v>
      </c>
      <c r="K54" s="4">
        <v>23825.8</v>
      </c>
      <c r="L54" s="6">
        <v>76.435544460000003</v>
      </c>
      <c r="M54" s="6">
        <f>Table2[[#This Row],[% of Solo Streams]]/100</f>
        <v>0.76435544460000004</v>
      </c>
      <c r="N54" s="3">
        <v>7345.3</v>
      </c>
      <c r="O54" s="5">
        <v>23.564455540000001</v>
      </c>
      <c r="P54" s="6">
        <f>Table2[[#This Row],[% of Collaborative Streams]]/100</f>
        <v>0.23564455540000001</v>
      </c>
    </row>
    <row r="55" spans="1:16" x14ac:dyDescent="0.3">
      <c r="A55" s="2" t="s">
        <v>99</v>
      </c>
      <c r="B55" s="2" t="s">
        <v>14</v>
      </c>
      <c r="C55" s="2" t="s">
        <v>21</v>
      </c>
      <c r="D55" s="2" t="s">
        <v>16</v>
      </c>
      <c r="E55" s="2" t="s">
        <v>17</v>
      </c>
      <c r="F55" s="2" t="s">
        <v>18</v>
      </c>
      <c r="G55" s="4">
        <v>2011</v>
      </c>
      <c r="H55" s="4">
        <v>30933.8</v>
      </c>
      <c r="I55" s="4">
        <v>10464.200000000001</v>
      </c>
      <c r="J55" s="4">
        <v>20472.3</v>
      </c>
      <c r="K55" s="4">
        <v>2792.1</v>
      </c>
      <c r="L55" s="6">
        <v>9.0260491760000008</v>
      </c>
      <c r="M55" s="6">
        <f>Table2[[#This Row],[% of Solo Streams]]/100</f>
        <v>9.0260491760000006E-2</v>
      </c>
      <c r="N55" s="3">
        <v>28141.7</v>
      </c>
      <c r="O55" s="5">
        <v>90.973950819999999</v>
      </c>
      <c r="P55" s="6">
        <f>Table2[[#This Row],[% of Collaborative Streams]]/100</f>
        <v>0.90973950819999994</v>
      </c>
    </row>
    <row r="56" spans="1:16" x14ac:dyDescent="0.3">
      <c r="A56" s="2" t="s">
        <v>100</v>
      </c>
      <c r="B56" s="2" t="s">
        <v>14</v>
      </c>
      <c r="C56" s="2" t="s">
        <v>21</v>
      </c>
      <c r="D56" s="2" t="s">
        <v>24</v>
      </c>
      <c r="E56" s="2" t="s">
        <v>25</v>
      </c>
      <c r="F56" s="2" t="s">
        <v>18</v>
      </c>
      <c r="G56" s="4">
        <v>2009</v>
      </c>
      <c r="H56" s="4">
        <v>29775.3</v>
      </c>
      <c r="I56" s="4">
        <v>8548.7000000000007</v>
      </c>
      <c r="J56" s="4">
        <v>21237.200000000001</v>
      </c>
      <c r="K56" s="4">
        <v>4615.8999999999996</v>
      </c>
      <c r="L56" s="6">
        <v>15.50244666</v>
      </c>
      <c r="M56" s="6">
        <f>Table2[[#This Row],[% of Solo Streams]]/100</f>
        <v>0.15502446659999999</v>
      </c>
      <c r="N56" s="3">
        <v>25159.4</v>
      </c>
      <c r="O56" s="5">
        <v>84.497553339999996</v>
      </c>
      <c r="P56" s="6">
        <f>Table2[[#This Row],[% of Collaborative Streams]]/100</f>
        <v>0.84497553339999998</v>
      </c>
    </row>
    <row r="57" spans="1:16" x14ac:dyDescent="0.3">
      <c r="A57" s="2" t="s">
        <v>101</v>
      </c>
      <c r="B57" s="2" t="s">
        <v>14</v>
      </c>
      <c r="C57" s="2" t="s">
        <v>15</v>
      </c>
      <c r="D57" s="2" t="s">
        <v>16</v>
      </c>
      <c r="E57" s="2" t="s">
        <v>22</v>
      </c>
      <c r="F57" s="2" t="s">
        <v>18</v>
      </c>
      <c r="G57" s="4">
        <v>2014</v>
      </c>
      <c r="H57" s="4">
        <v>29471.1</v>
      </c>
      <c r="I57" s="4">
        <v>28781</v>
      </c>
      <c r="J57" s="4">
        <v>699</v>
      </c>
      <c r="K57" s="4">
        <v>22074.9</v>
      </c>
      <c r="L57" s="6">
        <v>74.903549580000004</v>
      </c>
      <c r="M57" s="6">
        <f>Table2[[#This Row],[% of Solo Streams]]/100</f>
        <v>0.74903549580000006</v>
      </c>
      <c r="N57" s="3">
        <v>7396.2</v>
      </c>
      <c r="O57" s="5">
        <v>25.09645042</v>
      </c>
      <c r="P57" s="6">
        <f>Table2[[#This Row],[% of Collaborative Streams]]/100</f>
        <v>0.25096450419999999</v>
      </c>
    </row>
    <row r="58" spans="1:16" x14ac:dyDescent="0.3">
      <c r="A58" s="2" t="s">
        <v>102</v>
      </c>
      <c r="B58" s="2" t="s">
        <v>14</v>
      </c>
      <c r="C58" s="2" t="s">
        <v>33</v>
      </c>
      <c r="D58" s="2" t="s">
        <v>16</v>
      </c>
      <c r="E58" s="2" t="s">
        <v>22</v>
      </c>
      <c r="F58" s="2" t="s">
        <v>18</v>
      </c>
      <c r="G58" s="4">
        <v>2010</v>
      </c>
      <c r="H58" s="4">
        <v>29449</v>
      </c>
      <c r="I58" s="4">
        <v>29462.799999999999</v>
      </c>
      <c r="J58" s="4">
        <v>0</v>
      </c>
      <c r="K58" s="4">
        <v>29449</v>
      </c>
      <c r="L58" s="6">
        <v>100</v>
      </c>
      <c r="M58" s="6">
        <f>Table2[[#This Row],[% of Solo Streams]]/100</f>
        <v>1</v>
      </c>
      <c r="N58" s="3">
        <v>0</v>
      </c>
      <c r="O58" s="5">
        <v>0</v>
      </c>
      <c r="P58" s="6">
        <f>Table2[[#This Row],[% of Collaborative Streams]]/100</f>
        <v>0</v>
      </c>
    </row>
    <row r="59" spans="1:16" x14ac:dyDescent="0.3">
      <c r="A59" s="2" t="s">
        <v>103</v>
      </c>
      <c r="B59" s="2" t="s">
        <v>14</v>
      </c>
      <c r="C59" s="2" t="s">
        <v>33</v>
      </c>
      <c r="D59" s="2" t="s">
        <v>16</v>
      </c>
      <c r="E59" s="2" t="s">
        <v>51</v>
      </c>
      <c r="F59" s="2" t="s">
        <v>48</v>
      </c>
      <c r="G59" s="4">
        <v>1973</v>
      </c>
      <c r="H59" s="4">
        <v>29370</v>
      </c>
      <c r="I59" s="4">
        <v>29307.599999999999</v>
      </c>
      <c r="J59" s="4">
        <v>70.8</v>
      </c>
      <c r="K59" s="4">
        <v>26931.7</v>
      </c>
      <c r="L59" s="6">
        <v>91.697991149999993</v>
      </c>
      <c r="M59" s="6">
        <f>Table2[[#This Row],[% of Solo Streams]]/100</f>
        <v>0.91697991149999991</v>
      </c>
      <c r="N59" s="3">
        <v>2438.3000000000002</v>
      </c>
      <c r="O59" s="5">
        <v>8.3020088530000002</v>
      </c>
      <c r="P59" s="6">
        <f>Table2[[#This Row],[% of Collaborative Streams]]/100</f>
        <v>8.3020088530000008E-2</v>
      </c>
    </row>
    <row r="60" spans="1:16" x14ac:dyDescent="0.3">
      <c r="A60" s="2" t="s">
        <v>104</v>
      </c>
      <c r="B60" s="2" t="s">
        <v>14</v>
      </c>
      <c r="C60" s="2" t="s">
        <v>33</v>
      </c>
      <c r="D60" s="2" t="s">
        <v>16</v>
      </c>
      <c r="E60" s="2" t="s">
        <v>22</v>
      </c>
      <c r="F60" s="2" t="s">
        <v>18</v>
      </c>
      <c r="G60" s="4">
        <v>2012</v>
      </c>
      <c r="H60" s="4">
        <v>29197.200000000001</v>
      </c>
      <c r="I60" s="4">
        <v>24125.8</v>
      </c>
      <c r="J60" s="4">
        <v>5078.3</v>
      </c>
      <c r="K60" s="4">
        <v>17995.2</v>
      </c>
      <c r="L60" s="6">
        <v>61.633307299999998</v>
      </c>
      <c r="M60" s="6">
        <f>Table2[[#This Row],[% of Solo Streams]]/100</f>
        <v>0.61633307299999995</v>
      </c>
      <c r="N60" s="3">
        <v>11202</v>
      </c>
      <c r="O60" s="5">
        <v>38.366692700000002</v>
      </c>
      <c r="P60" s="6">
        <f>Table2[[#This Row],[% of Collaborative Streams]]/100</f>
        <v>0.38366692699999999</v>
      </c>
    </row>
    <row r="61" spans="1:16" x14ac:dyDescent="0.3">
      <c r="A61" s="2" t="s">
        <v>105</v>
      </c>
      <c r="B61" s="2" t="s">
        <v>78</v>
      </c>
      <c r="C61" s="2" t="s">
        <v>33</v>
      </c>
      <c r="D61" s="2" t="s">
        <v>16</v>
      </c>
      <c r="E61" s="2" t="s">
        <v>22</v>
      </c>
      <c r="F61" s="2" t="s">
        <v>48</v>
      </c>
      <c r="G61" s="4">
        <v>2011</v>
      </c>
      <c r="H61" s="4">
        <v>28889.5</v>
      </c>
      <c r="I61" s="4">
        <v>28898.2</v>
      </c>
      <c r="J61" s="4">
        <v>0</v>
      </c>
      <c r="K61" s="4">
        <v>28801.9</v>
      </c>
      <c r="L61" s="6">
        <v>99.696775650000006</v>
      </c>
      <c r="M61" s="6">
        <f>Table2[[#This Row],[% of Solo Streams]]/100</f>
        <v>0.99696775650000002</v>
      </c>
      <c r="N61" s="3">
        <v>87.6</v>
      </c>
      <c r="O61" s="5">
        <v>0.30322435489999999</v>
      </c>
      <c r="P61" s="6">
        <f>Table2[[#This Row],[% of Collaborative Streams]]/100</f>
        <v>3.032243549E-3</v>
      </c>
    </row>
    <row r="62" spans="1:16" x14ac:dyDescent="0.3">
      <c r="A62" s="2" t="s">
        <v>106</v>
      </c>
      <c r="B62" s="2" t="s">
        <v>14</v>
      </c>
      <c r="C62" s="2" t="s">
        <v>21</v>
      </c>
      <c r="D62" s="2" t="s">
        <v>16</v>
      </c>
      <c r="E62" s="2" t="s">
        <v>17</v>
      </c>
      <c r="F62" s="2" t="s">
        <v>18</v>
      </c>
      <c r="G62" s="4">
        <v>2013</v>
      </c>
      <c r="H62" s="4">
        <v>28848.7</v>
      </c>
      <c r="I62" s="4">
        <v>13945.2</v>
      </c>
      <c r="J62" s="4">
        <v>14911.9</v>
      </c>
      <c r="K62" s="4">
        <v>119.7</v>
      </c>
      <c r="L62" s="6">
        <v>0.41492337610000002</v>
      </c>
      <c r="M62" s="6">
        <f>Table2[[#This Row],[% of Solo Streams]]/100</f>
        <v>4.1492337610000004E-3</v>
      </c>
      <c r="N62" s="3">
        <v>28729</v>
      </c>
      <c r="O62" s="5">
        <v>99.585076619999995</v>
      </c>
      <c r="P62" s="6">
        <f>Table2[[#This Row],[% of Collaborative Streams]]/100</f>
        <v>0.9958507661999999</v>
      </c>
    </row>
    <row r="63" spans="1:16" x14ac:dyDescent="0.3">
      <c r="A63" s="2" t="s">
        <v>107</v>
      </c>
      <c r="B63" s="2" t="s">
        <v>20</v>
      </c>
      <c r="C63" s="2" t="s">
        <v>21</v>
      </c>
      <c r="D63" s="2" t="s">
        <v>16</v>
      </c>
      <c r="E63" s="2" t="s">
        <v>22</v>
      </c>
      <c r="F63" s="2" t="s">
        <v>18</v>
      </c>
      <c r="G63" s="4">
        <v>2021</v>
      </c>
      <c r="H63" s="4">
        <v>28799.7</v>
      </c>
      <c r="I63" s="4">
        <v>28797.599999999999</v>
      </c>
      <c r="J63" s="4">
        <v>2.2000000000000002</v>
      </c>
      <c r="K63" s="4">
        <v>26750.5</v>
      </c>
      <c r="L63" s="6">
        <v>92.884648100000007</v>
      </c>
      <c r="M63" s="6">
        <f>Table2[[#This Row],[% of Solo Streams]]/100</f>
        <v>0.92884648100000011</v>
      </c>
      <c r="N63" s="3">
        <v>2049.1999999999998</v>
      </c>
      <c r="O63" s="5">
        <v>7.115351896</v>
      </c>
      <c r="P63" s="6">
        <f>Table2[[#This Row],[% of Collaborative Streams]]/100</f>
        <v>7.1153518959999995E-2</v>
      </c>
    </row>
    <row r="64" spans="1:16" x14ac:dyDescent="0.3">
      <c r="A64" s="2" t="s">
        <v>108</v>
      </c>
      <c r="B64" s="2" t="s">
        <v>20</v>
      </c>
      <c r="C64" s="2" t="s">
        <v>33</v>
      </c>
      <c r="D64" s="2" t="s">
        <v>16</v>
      </c>
      <c r="E64" s="2" t="s">
        <v>22</v>
      </c>
      <c r="F64" s="2" t="s">
        <v>18</v>
      </c>
      <c r="G64" s="4">
        <v>2008</v>
      </c>
      <c r="H64" s="4">
        <v>28690.5</v>
      </c>
      <c r="I64" s="4">
        <v>28699.5</v>
      </c>
      <c r="J64" s="4">
        <v>0</v>
      </c>
      <c r="K64" s="4">
        <v>28537.7</v>
      </c>
      <c r="L64" s="6">
        <v>99.467419530000001</v>
      </c>
      <c r="M64" s="6">
        <f>Table2[[#This Row],[% of Solo Streams]]/100</f>
        <v>0.99467419530000001</v>
      </c>
      <c r="N64" s="3">
        <v>152.80000000000001</v>
      </c>
      <c r="O64" s="5">
        <v>0.53258047090000005</v>
      </c>
      <c r="P64" s="6">
        <f>Table2[[#This Row],[% of Collaborative Streams]]/100</f>
        <v>5.3258047090000002E-3</v>
      </c>
    </row>
    <row r="65" spans="1:16" x14ac:dyDescent="0.3">
      <c r="A65" s="2" t="s">
        <v>109</v>
      </c>
      <c r="B65" s="2" t="s">
        <v>14</v>
      </c>
      <c r="C65" s="2" t="s">
        <v>71</v>
      </c>
      <c r="D65" s="2" t="s">
        <v>72</v>
      </c>
      <c r="E65" s="2" t="s">
        <v>22</v>
      </c>
      <c r="F65" s="2" t="s">
        <v>18</v>
      </c>
      <c r="G65" s="4">
        <v>2001</v>
      </c>
      <c r="H65" s="4">
        <v>28543.9</v>
      </c>
      <c r="I65" s="4">
        <v>25181.4</v>
      </c>
      <c r="J65" s="4">
        <v>3362.5</v>
      </c>
      <c r="K65" s="4">
        <v>11.7</v>
      </c>
      <c r="L65" s="6">
        <v>4.0989493379999999E-2</v>
      </c>
      <c r="M65" s="6">
        <f>Table2[[#This Row],[% of Solo Streams]]/100</f>
        <v>4.098949338E-4</v>
      </c>
      <c r="N65" s="3">
        <v>28532.2</v>
      </c>
      <c r="O65" s="5">
        <v>99.959010509999999</v>
      </c>
      <c r="P65" s="6">
        <f>Table2[[#This Row],[% of Collaborative Streams]]/100</f>
        <v>0.99959010510000001</v>
      </c>
    </row>
    <row r="66" spans="1:16" x14ac:dyDescent="0.3">
      <c r="A66" s="2" t="s">
        <v>110</v>
      </c>
      <c r="B66" s="2" t="s">
        <v>20</v>
      </c>
      <c r="C66" s="2" t="s">
        <v>21</v>
      </c>
      <c r="D66" s="2" t="s">
        <v>16</v>
      </c>
      <c r="E66" s="2" t="s">
        <v>22</v>
      </c>
      <c r="F66" s="2" t="s">
        <v>18</v>
      </c>
      <c r="G66" s="4">
        <v>2001</v>
      </c>
      <c r="H66" s="4">
        <v>28248</v>
      </c>
      <c r="I66" s="4">
        <v>25287.5</v>
      </c>
      <c r="J66" s="4">
        <v>2977.8</v>
      </c>
      <c r="K66" s="4">
        <v>19629.7</v>
      </c>
      <c r="L66" s="6">
        <v>69.490583400000006</v>
      </c>
      <c r="M66" s="6">
        <f>Table2[[#This Row],[% of Solo Streams]]/100</f>
        <v>0.69490583400000006</v>
      </c>
      <c r="N66" s="3">
        <v>8618.2999999999993</v>
      </c>
      <c r="O66" s="5">
        <v>30.509416600000002</v>
      </c>
      <c r="P66" s="6">
        <f>Table2[[#This Row],[% of Collaborative Streams]]/100</f>
        <v>0.305094166</v>
      </c>
    </row>
    <row r="67" spans="1:16" x14ac:dyDescent="0.3">
      <c r="A67" s="2" t="s">
        <v>111</v>
      </c>
      <c r="B67" s="2" t="s">
        <v>14</v>
      </c>
      <c r="C67" s="2" t="s">
        <v>21</v>
      </c>
      <c r="D67" s="2" t="s">
        <v>16</v>
      </c>
      <c r="E67" s="2" t="s">
        <v>17</v>
      </c>
      <c r="F67" s="2" t="s">
        <v>18</v>
      </c>
      <c r="G67" s="4">
        <v>2013</v>
      </c>
      <c r="H67" s="4">
        <v>28195.8</v>
      </c>
      <c r="I67" s="4">
        <v>12491.3</v>
      </c>
      <c r="J67" s="4">
        <v>15715.6</v>
      </c>
      <c r="K67" s="4">
        <v>7949.8</v>
      </c>
      <c r="L67" s="6">
        <v>28.19497939</v>
      </c>
      <c r="M67" s="6">
        <f>Table2[[#This Row],[% of Solo Streams]]/100</f>
        <v>0.28194979390000002</v>
      </c>
      <c r="N67" s="3">
        <v>20246</v>
      </c>
      <c r="O67" s="5">
        <v>71.80502061</v>
      </c>
      <c r="P67" s="6">
        <f>Table2[[#This Row],[% of Collaborative Streams]]/100</f>
        <v>0.71805020610000003</v>
      </c>
    </row>
    <row r="68" spans="1:16" x14ac:dyDescent="0.3">
      <c r="A68" s="2" t="s">
        <v>112</v>
      </c>
      <c r="B68" s="2" t="s">
        <v>14</v>
      </c>
      <c r="C68" s="2" t="s">
        <v>33</v>
      </c>
      <c r="D68" s="2" t="s">
        <v>16</v>
      </c>
      <c r="E68" s="2" t="s">
        <v>51</v>
      </c>
      <c r="F68" s="2" t="s">
        <v>48</v>
      </c>
      <c r="G68" s="4">
        <v>2005</v>
      </c>
      <c r="H68" s="4">
        <v>28155.4</v>
      </c>
      <c r="I68" s="4">
        <v>28166.2</v>
      </c>
      <c r="J68" s="4">
        <v>0</v>
      </c>
      <c r="K68" s="4">
        <v>28130.400000000001</v>
      </c>
      <c r="L68" s="6">
        <v>99.911207090000005</v>
      </c>
      <c r="M68" s="6">
        <f>Table2[[#This Row],[% of Solo Streams]]/100</f>
        <v>0.99911207090000009</v>
      </c>
      <c r="N68" s="3">
        <v>25</v>
      </c>
      <c r="O68" s="5">
        <v>8.8792913619999997E-2</v>
      </c>
      <c r="P68" s="6">
        <f>Table2[[#This Row],[% of Collaborative Streams]]/100</f>
        <v>8.8792913619999993E-4</v>
      </c>
    </row>
    <row r="69" spans="1:16" x14ac:dyDescent="0.3">
      <c r="A69" s="2" t="s">
        <v>113</v>
      </c>
      <c r="B69" s="2" t="s">
        <v>14</v>
      </c>
      <c r="C69" s="2" t="s">
        <v>21</v>
      </c>
      <c r="D69" s="2" t="s">
        <v>24</v>
      </c>
      <c r="E69" s="2" t="s">
        <v>82</v>
      </c>
      <c r="F69" s="2" t="s">
        <v>48</v>
      </c>
      <c r="G69" s="4">
        <v>2018</v>
      </c>
      <c r="H69" s="4">
        <v>27466.799999999999</v>
      </c>
      <c r="I69" s="4">
        <v>19814.7</v>
      </c>
      <c r="J69" s="4">
        <v>7652.1</v>
      </c>
      <c r="K69" s="4">
        <v>11576.2</v>
      </c>
      <c r="L69" s="6">
        <v>42.146154629999998</v>
      </c>
      <c r="M69" s="6">
        <f>Table2[[#This Row],[% of Solo Streams]]/100</f>
        <v>0.42146154629999999</v>
      </c>
      <c r="N69" s="3">
        <v>15890.6</v>
      </c>
      <c r="O69" s="5">
        <v>57.853845370000002</v>
      </c>
      <c r="P69" s="6">
        <f>Table2[[#This Row],[% of Collaborative Streams]]/100</f>
        <v>0.57853845370000001</v>
      </c>
    </row>
    <row r="70" spans="1:16" x14ac:dyDescent="0.3">
      <c r="A70" s="2" t="s">
        <v>114</v>
      </c>
      <c r="B70" s="2" t="s">
        <v>14</v>
      </c>
      <c r="C70" s="2" t="s">
        <v>89</v>
      </c>
      <c r="D70" s="2" t="s">
        <v>24</v>
      </c>
      <c r="E70" s="2" t="s">
        <v>90</v>
      </c>
      <c r="F70" s="2" t="s">
        <v>18</v>
      </c>
      <c r="G70" s="4">
        <v>2019</v>
      </c>
      <c r="H70" s="4">
        <v>27406.799999999999</v>
      </c>
      <c r="I70" s="4">
        <v>18341.2</v>
      </c>
      <c r="J70" s="4">
        <v>9084.4</v>
      </c>
      <c r="K70" s="4">
        <v>13658.7</v>
      </c>
      <c r="L70" s="6">
        <v>49.836901789999999</v>
      </c>
      <c r="M70" s="6">
        <f>Table2[[#This Row],[% of Solo Streams]]/100</f>
        <v>0.49836901789999999</v>
      </c>
      <c r="N70" s="3">
        <v>13748.1</v>
      </c>
      <c r="O70" s="5">
        <v>50.163098210000001</v>
      </c>
      <c r="P70" s="6">
        <f>Table2[[#This Row],[% of Collaborative Streams]]/100</f>
        <v>0.50163098210000001</v>
      </c>
    </row>
    <row r="71" spans="1:16" x14ac:dyDescent="0.3">
      <c r="A71" s="2" t="s">
        <v>115</v>
      </c>
      <c r="B71" s="2" t="s">
        <v>14</v>
      </c>
      <c r="C71" s="2" t="s">
        <v>21</v>
      </c>
      <c r="D71" s="2" t="s">
        <v>16</v>
      </c>
      <c r="E71" s="2" t="s">
        <v>17</v>
      </c>
      <c r="F71" s="2" t="s">
        <v>18</v>
      </c>
      <c r="G71" s="4">
        <v>2009</v>
      </c>
      <c r="H71" s="4">
        <v>27125.8</v>
      </c>
      <c r="I71" s="4">
        <v>23925.9</v>
      </c>
      <c r="J71" s="4">
        <v>3208.7</v>
      </c>
      <c r="K71" s="4">
        <v>11656.5</v>
      </c>
      <c r="L71" s="6">
        <v>42.972004509999998</v>
      </c>
      <c r="M71" s="6">
        <f>Table2[[#This Row],[% of Solo Streams]]/100</f>
        <v>0.4297200451</v>
      </c>
      <c r="N71" s="3">
        <v>15469.3</v>
      </c>
      <c r="O71" s="5">
        <v>57.027995490000002</v>
      </c>
      <c r="P71" s="6">
        <f>Table2[[#This Row],[% of Collaborative Streams]]/100</f>
        <v>0.57027995490000005</v>
      </c>
    </row>
    <row r="72" spans="1:16" x14ac:dyDescent="0.3">
      <c r="A72" s="2" t="s">
        <v>116</v>
      </c>
      <c r="B72" s="2" t="s">
        <v>20</v>
      </c>
      <c r="C72" s="2" t="s">
        <v>21</v>
      </c>
      <c r="D72" s="2" t="s">
        <v>16</v>
      </c>
      <c r="E72" s="2" t="s">
        <v>22</v>
      </c>
      <c r="F72" s="2" t="s">
        <v>18</v>
      </c>
      <c r="G72" s="4">
        <v>2008</v>
      </c>
      <c r="H72" s="4">
        <v>26895.1</v>
      </c>
      <c r="I72" s="4">
        <v>16017.5</v>
      </c>
      <c r="J72" s="4">
        <v>10884.4</v>
      </c>
      <c r="K72" s="4">
        <v>10921.5</v>
      </c>
      <c r="L72" s="6">
        <v>40.607768700000001</v>
      </c>
      <c r="M72" s="6">
        <f>Table2[[#This Row],[% of Solo Streams]]/100</f>
        <v>0.40607768700000002</v>
      </c>
      <c r="N72" s="3">
        <v>15973.6</v>
      </c>
      <c r="O72" s="5">
        <v>59.392231299999999</v>
      </c>
      <c r="P72" s="6">
        <f>Table2[[#This Row],[% of Collaborative Streams]]/100</f>
        <v>0.59392231299999998</v>
      </c>
    </row>
    <row r="73" spans="1:16" x14ac:dyDescent="0.3">
      <c r="A73" s="2" t="s">
        <v>117</v>
      </c>
      <c r="B73" s="2" t="s">
        <v>14</v>
      </c>
      <c r="C73" s="2" t="s">
        <v>21</v>
      </c>
      <c r="D73" s="2" t="s">
        <v>16</v>
      </c>
      <c r="E73" s="2" t="s">
        <v>27</v>
      </c>
      <c r="F73" s="2" t="s">
        <v>18</v>
      </c>
      <c r="G73" s="4">
        <v>2011</v>
      </c>
      <c r="H73" s="4">
        <v>26465.200000000001</v>
      </c>
      <c r="I73" s="4">
        <v>5073.8</v>
      </c>
      <c r="J73" s="4">
        <v>21394.799999999999</v>
      </c>
      <c r="K73" s="4">
        <v>318.39999999999998</v>
      </c>
      <c r="L73" s="6">
        <v>1.20308934</v>
      </c>
      <c r="M73" s="6">
        <f>Table2[[#This Row],[% of Solo Streams]]/100</f>
        <v>1.2030893399999999E-2</v>
      </c>
      <c r="N73" s="3">
        <v>26146.799999999999</v>
      </c>
      <c r="O73" s="5">
        <v>98.796910659999995</v>
      </c>
      <c r="P73" s="6">
        <f>Table2[[#This Row],[% of Collaborative Streams]]/100</f>
        <v>0.98796910659999992</v>
      </c>
    </row>
    <row r="74" spans="1:16" x14ac:dyDescent="0.3">
      <c r="A74" s="2" t="s">
        <v>118</v>
      </c>
      <c r="B74" s="2" t="s">
        <v>14</v>
      </c>
      <c r="C74" s="2" t="s">
        <v>33</v>
      </c>
      <c r="D74" s="2" t="s">
        <v>16</v>
      </c>
      <c r="E74" s="2" t="s">
        <v>51</v>
      </c>
      <c r="F74" s="2" t="s">
        <v>48</v>
      </c>
      <c r="G74" s="4">
        <v>1962</v>
      </c>
      <c r="H74" s="4">
        <v>26130.5</v>
      </c>
      <c r="I74" s="4">
        <v>26138.7</v>
      </c>
      <c r="J74" s="4">
        <v>2.2000000000000002</v>
      </c>
      <c r="K74" s="4">
        <v>26123</v>
      </c>
      <c r="L74" s="6">
        <v>99.971297910000004</v>
      </c>
      <c r="M74" s="6">
        <f>Table2[[#This Row],[% of Solo Streams]]/100</f>
        <v>0.99971297910000001</v>
      </c>
      <c r="N74" s="3">
        <v>7.5</v>
      </c>
      <c r="O74" s="5">
        <v>2.870209143E-2</v>
      </c>
      <c r="P74" s="6">
        <f>Table2[[#This Row],[% of Collaborative Streams]]/100</f>
        <v>2.8702091429999999E-4</v>
      </c>
    </row>
    <row r="75" spans="1:16" x14ac:dyDescent="0.3">
      <c r="A75" s="2" t="s">
        <v>119</v>
      </c>
      <c r="B75" s="2" t="s">
        <v>14</v>
      </c>
      <c r="C75" s="2" t="s">
        <v>21</v>
      </c>
      <c r="D75" s="2" t="s">
        <v>16</v>
      </c>
      <c r="E75" s="2" t="s">
        <v>22</v>
      </c>
      <c r="F75" s="2" t="s">
        <v>18</v>
      </c>
      <c r="G75" s="4">
        <v>2004</v>
      </c>
      <c r="H75" s="4">
        <v>25875.8</v>
      </c>
      <c r="I75" s="4">
        <v>18250.900000000001</v>
      </c>
      <c r="J75" s="4">
        <v>7641</v>
      </c>
      <c r="K75" s="4">
        <v>2321.6999999999998</v>
      </c>
      <c r="L75" s="6">
        <v>8.9724762130000002</v>
      </c>
      <c r="M75" s="6">
        <f>Table2[[#This Row],[% of Solo Streams]]/100</f>
        <v>8.9724762129999996E-2</v>
      </c>
      <c r="N75" s="3">
        <v>23554.1</v>
      </c>
      <c r="O75" s="5">
        <v>91.027523790000004</v>
      </c>
      <c r="P75" s="6">
        <f>Table2[[#This Row],[% of Collaborative Streams]]/100</f>
        <v>0.91027523790000009</v>
      </c>
    </row>
    <row r="76" spans="1:16" x14ac:dyDescent="0.3">
      <c r="A76" s="2" t="s">
        <v>120</v>
      </c>
      <c r="B76" s="2" t="s">
        <v>14</v>
      </c>
      <c r="C76" s="2" t="s">
        <v>21</v>
      </c>
      <c r="D76" s="2" t="s">
        <v>24</v>
      </c>
      <c r="E76" s="2" t="s">
        <v>25</v>
      </c>
      <c r="F76" s="2" t="s">
        <v>18</v>
      </c>
      <c r="G76" s="4">
        <v>1995</v>
      </c>
      <c r="H76" s="4">
        <v>25875.4</v>
      </c>
      <c r="I76" s="4">
        <v>11175.4</v>
      </c>
      <c r="J76" s="4">
        <v>14672</v>
      </c>
      <c r="K76" s="4">
        <v>2972.5</v>
      </c>
      <c r="L76" s="6">
        <v>11.48774512</v>
      </c>
      <c r="M76" s="6">
        <f>Table2[[#This Row],[% of Solo Streams]]/100</f>
        <v>0.11487745119999999</v>
      </c>
      <c r="N76" s="3">
        <v>22902.9</v>
      </c>
      <c r="O76" s="5">
        <v>88.51225488</v>
      </c>
      <c r="P76" s="6">
        <f>Table2[[#This Row],[% of Collaborative Streams]]/100</f>
        <v>0.88512254879999996</v>
      </c>
    </row>
    <row r="77" spans="1:16" x14ac:dyDescent="0.3">
      <c r="A77" s="2" t="s">
        <v>121</v>
      </c>
      <c r="B77" s="2" t="s">
        <v>14</v>
      </c>
      <c r="C77" s="2" t="s">
        <v>21</v>
      </c>
      <c r="D77" s="2" t="s">
        <v>16</v>
      </c>
      <c r="E77" s="2" t="s">
        <v>17</v>
      </c>
      <c r="F77" s="2" t="s">
        <v>18</v>
      </c>
      <c r="G77" s="4">
        <v>2011</v>
      </c>
      <c r="H77" s="4">
        <v>25818.400000000001</v>
      </c>
      <c r="I77" s="4">
        <v>15382.2</v>
      </c>
      <c r="J77" s="4">
        <v>10446.9</v>
      </c>
      <c r="K77" s="4">
        <v>10109.799999999999</v>
      </c>
      <c r="L77" s="6">
        <v>39.157345149999998</v>
      </c>
      <c r="M77" s="6">
        <f>Table2[[#This Row],[% of Solo Streams]]/100</f>
        <v>0.3915734515</v>
      </c>
      <c r="N77" s="3">
        <v>15708.6</v>
      </c>
      <c r="O77" s="5">
        <v>60.842654850000002</v>
      </c>
      <c r="P77" s="6">
        <f>Table2[[#This Row],[% of Collaborative Streams]]/100</f>
        <v>0.6084265485</v>
      </c>
    </row>
    <row r="78" spans="1:16" x14ac:dyDescent="0.3">
      <c r="A78" s="2" t="s">
        <v>122</v>
      </c>
      <c r="B78" s="2" t="s">
        <v>20</v>
      </c>
      <c r="C78" s="2" t="s">
        <v>21</v>
      </c>
      <c r="D78" s="2" t="s">
        <v>16</v>
      </c>
      <c r="E78" s="2" t="s">
        <v>22</v>
      </c>
      <c r="F78" s="2" t="s">
        <v>18</v>
      </c>
      <c r="G78" s="4">
        <v>2014</v>
      </c>
      <c r="H78" s="4">
        <v>25687.5</v>
      </c>
      <c r="I78" s="4">
        <v>13902.2</v>
      </c>
      <c r="J78" s="4">
        <v>11792.3</v>
      </c>
      <c r="K78" s="4">
        <v>12376.1</v>
      </c>
      <c r="L78" s="6">
        <v>48.179464719999999</v>
      </c>
      <c r="M78" s="6">
        <f>Table2[[#This Row],[% of Solo Streams]]/100</f>
        <v>0.48179464719999998</v>
      </c>
      <c r="N78" s="3">
        <v>13311.4</v>
      </c>
      <c r="O78" s="5">
        <v>51.820535280000001</v>
      </c>
      <c r="P78" s="6">
        <f>Table2[[#This Row],[% of Collaborative Streams]]/100</f>
        <v>0.51820535280000002</v>
      </c>
    </row>
    <row r="79" spans="1:16" x14ac:dyDescent="0.3">
      <c r="A79" s="2" t="s">
        <v>123</v>
      </c>
      <c r="B79" s="2" t="s">
        <v>14</v>
      </c>
      <c r="C79" s="2" t="s">
        <v>21</v>
      </c>
      <c r="D79" s="2" t="s">
        <v>16</v>
      </c>
      <c r="E79" s="2" t="s">
        <v>17</v>
      </c>
      <c r="F79" s="2" t="s">
        <v>18</v>
      </c>
      <c r="G79" s="4">
        <v>2006</v>
      </c>
      <c r="H79" s="4">
        <v>25289.9</v>
      </c>
      <c r="I79" s="4">
        <v>11748.9</v>
      </c>
      <c r="J79" s="4">
        <v>13549.3</v>
      </c>
      <c r="K79" s="4">
        <v>4844.5</v>
      </c>
      <c r="L79" s="6">
        <v>19.155868550000001</v>
      </c>
      <c r="M79" s="6">
        <f>Table2[[#This Row],[% of Solo Streams]]/100</f>
        <v>0.19155868550000002</v>
      </c>
      <c r="N79" s="3">
        <v>20445.400000000001</v>
      </c>
      <c r="O79" s="5">
        <v>80.844131450000006</v>
      </c>
      <c r="P79" s="6">
        <f>Table2[[#This Row],[% of Collaborative Streams]]/100</f>
        <v>0.80844131450000001</v>
      </c>
    </row>
    <row r="80" spans="1:16" x14ac:dyDescent="0.3">
      <c r="A80" s="2" t="s">
        <v>124</v>
      </c>
      <c r="B80" s="2" t="s">
        <v>14</v>
      </c>
      <c r="C80" s="2" t="s">
        <v>21</v>
      </c>
      <c r="D80" s="2" t="s">
        <v>16</v>
      </c>
      <c r="E80" s="2" t="s">
        <v>22</v>
      </c>
      <c r="F80" s="2" t="s">
        <v>18</v>
      </c>
      <c r="G80" s="4">
        <v>1964</v>
      </c>
      <c r="H80" s="4">
        <v>25264.400000000001</v>
      </c>
      <c r="I80" s="4">
        <v>24355.5</v>
      </c>
      <c r="J80" s="4">
        <v>908.9</v>
      </c>
      <c r="K80" s="4">
        <v>22915.3</v>
      </c>
      <c r="L80" s="6">
        <v>90.701936320000002</v>
      </c>
      <c r="M80" s="6">
        <f>Table2[[#This Row],[% of Solo Streams]]/100</f>
        <v>0.90701936319999998</v>
      </c>
      <c r="N80" s="3">
        <v>2349.1</v>
      </c>
      <c r="O80" s="5">
        <v>9.2980636790000002</v>
      </c>
      <c r="P80" s="6">
        <f>Table2[[#This Row],[% of Collaborative Streams]]/100</f>
        <v>9.2980636790000001E-2</v>
      </c>
    </row>
    <row r="81" spans="1:16" x14ac:dyDescent="0.3">
      <c r="A81" s="2" t="s">
        <v>125</v>
      </c>
      <c r="B81" s="2" t="s">
        <v>20</v>
      </c>
      <c r="C81" s="2" t="s">
        <v>21</v>
      </c>
      <c r="D81" s="2" t="s">
        <v>16</v>
      </c>
      <c r="E81" s="2" t="s">
        <v>22</v>
      </c>
      <c r="F81" s="2" t="s">
        <v>18</v>
      </c>
      <c r="G81" s="4">
        <v>2014</v>
      </c>
      <c r="H81" s="4">
        <v>24888.6</v>
      </c>
      <c r="I81" s="4">
        <v>22789.599999999999</v>
      </c>
      <c r="J81" s="4">
        <v>2114.3000000000002</v>
      </c>
      <c r="K81" s="4">
        <v>22549.4</v>
      </c>
      <c r="L81" s="6">
        <v>90.601319480000001</v>
      </c>
      <c r="M81" s="6">
        <f>Table2[[#This Row],[% of Solo Streams]]/100</f>
        <v>0.90601319479999998</v>
      </c>
      <c r="N81" s="3">
        <v>2339.1999999999998</v>
      </c>
      <c r="O81" s="5">
        <v>9.3986805199999992</v>
      </c>
      <c r="P81" s="6">
        <f>Table2[[#This Row],[% of Collaborative Streams]]/100</f>
        <v>9.3986805199999995E-2</v>
      </c>
    </row>
    <row r="82" spans="1:16" x14ac:dyDescent="0.3">
      <c r="A82" s="2" t="s">
        <v>126</v>
      </c>
      <c r="B82" s="2" t="s">
        <v>14</v>
      </c>
      <c r="C82" s="2" t="s">
        <v>21</v>
      </c>
      <c r="D82" s="2" t="s">
        <v>16</v>
      </c>
      <c r="E82" s="2" t="s">
        <v>27</v>
      </c>
      <c r="F82" s="2" t="s">
        <v>18</v>
      </c>
      <c r="G82" s="4">
        <v>2011</v>
      </c>
      <c r="H82" s="4">
        <v>24807.4</v>
      </c>
      <c r="I82" s="4">
        <v>20425.400000000001</v>
      </c>
      <c r="J82" s="4">
        <v>4391.5</v>
      </c>
      <c r="K82" s="4">
        <v>18809.3</v>
      </c>
      <c r="L82" s="6">
        <v>75.821327510000003</v>
      </c>
      <c r="M82" s="6">
        <f>Table2[[#This Row],[% of Solo Streams]]/100</f>
        <v>0.75821327510000003</v>
      </c>
      <c r="N82" s="3">
        <v>5998.1</v>
      </c>
      <c r="O82" s="5">
        <v>24.17867249</v>
      </c>
      <c r="P82" s="6">
        <f>Table2[[#This Row],[% of Collaborative Streams]]/100</f>
        <v>0.2417867249</v>
      </c>
    </row>
    <row r="83" spans="1:16" x14ac:dyDescent="0.3">
      <c r="A83" s="2" t="s">
        <v>127</v>
      </c>
      <c r="B83" s="2" t="s">
        <v>14</v>
      </c>
      <c r="C83" s="2" t="s">
        <v>128</v>
      </c>
      <c r="D83" s="2" t="s">
        <v>129</v>
      </c>
      <c r="E83" s="2" t="s">
        <v>130</v>
      </c>
      <c r="F83" s="2" t="s">
        <v>48</v>
      </c>
      <c r="G83" s="4">
        <v>1979</v>
      </c>
      <c r="H83" s="4">
        <v>24607</v>
      </c>
      <c r="I83" s="4">
        <v>24525.4</v>
      </c>
      <c r="J83" s="4">
        <v>81.599999999999994</v>
      </c>
      <c r="K83" s="4">
        <v>24410.799999999999</v>
      </c>
      <c r="L83" s="6">
        <v>99.202665909999993</v>
      </c>
      <c r="M83" s="6">
        <f>Table2[[#This Row],[% of Solo Streams]]/100</f>
        <v>0.99202665909999999</v>
      </c>
      <c r="N83" s="3">
        <v>196.2</v>
      </c>
      <c r="O83" s="5">
        <v>0.79733409190000004</v>
      </c>
      <c r="P83" s="6">
        <f>Table2[[#This Row],[% of Collaborative Streams]]/100</f>
        <v>7.973340919E-3</v>
      </c>
    </row>
    <row r="84" spans="1:16" x14ac:dyDescent="0.3">
      <c r="A84" s="2" t="s">
        <v>131</v>
      </c>
      <c r="B84" s="2" t="s">
        <v>14</v>
      </c>
      <c r="C84" s="2" t="s">
        <v>21</v>
      </c>
      <c r="D84" s="2" t="s">
        <v>16</v>
      </c>
      <c r="E84" s="2" t="s">
        <v>17</v>
      </c>
      <c r="F84" s="2" t="s">
        <v>18</v>
      </c>
      <c r="G84" s="4">
        <v>1996</v>
      </c>
      <c r="H84" s="4">
        <v>24440.1</v>
      </c>
      <c r="I84" s="4">
        <v>13311.3</v>
      </c>
      <c r="J84" s="4">
        <v>11139.9</v>
      </c>
      <c r="K84" s="4">
        <v>2764.3</v>
      </c>
      <c r="L84" s="6">
        <v>11.31051019</v>
      </c>
      <c r="M84" s="6">
        <f>Table2[[#This Row],[% of Solo Streams]]/100</f>
        <v>0.1131051019</v>
      </c>
      <c r="N84" s="3">
        <v>21675.8</v>
      </c>
      <c r="O84" s="5">
        <v>88.689489809999998</v>
      </c>
      <c r="P84" s="6">
        <f>Table2[[#This Row],[% of Collaborative Streams]]/100</f>
        <v>0.8868948981</v>
      </c>
    </row>
    <row r="85" spans="1:16" x14ac:dyDescent="0.3">
      <c r="A85" s="2" t="s">
        <v>132</v>
      </c>
      <c r="B85" s="2" t="s">
        <v>14</v>
      </c>
      <c r="C85" s="2" t="s">
        <v>21</v>
      </c>
      <c r="D85" s="2" t="s">
        <v>16</v>
      </c>
      <c r="E85" s="2" t="s">
        <v>17</v>
      </c>
      <c r="F85" s="2" t="s">
        <v>18</v>
      </c>
      <c r="G85" s="4">
        <v>2011</v>
      </c>
      <c r="H85" s="4">
        <v>24217.200000000001</v>
      </c>
      <c r="I85" s="4">
        <v>14721.3</v>
      </c>
      <c r="J85" s="4">
        <v>9504.2999999999993</v>
      </c>
      <c r="K85" s="4">
        <v>6253.7</v>
      </c>
      <c r="L85" s="6">
        <v>25.823381730000001</v>
      </c>
      <c r="M85" s="6">
        <f>Table2[[#This Row],[% of Solo Streams]]/100</f>
        <v>0.2582338173</v>
      </c>
      <c r="N85" s="3">
        <v>17963.5</v>
      </c>
      <c r="O85" s="5">
        <v>74.176618270000006</v>
      </c>
      <c r="P85" s="6">
        <f>Table2[[#This Row],[% of Collaborative Streams]]/100</f>
        <v>0.74176618270000005</v>
      </c>
    </row>
    <row r="86" spans="1:16" x14ac:dyDescent="0.3">
      <c r="A86" s="2" t="s">
        <v>133</v>
      </c>
      <c r="B86" s="2" t="s">
        <v>20</v>
      </c>
      <c r="C86" s="2" t="s">
        <v>21</v>
      </c>
      <c r="D86" s="2" t="s">
        <v>16</v>
      </c>
      <c r="E86" s="2" t="s">
        <v>22</v>
      </c>
      <c r="F86" s="2" t="s">
        <v>18</v>
      </c>
      <c r="G86" s="4">
        <v>2006</v>
      </c>
      <c r="H86" s="4">
        <v>23907.599999999999</v>
      </c>
      <c r="I86" s="4">
        <v>20739</v>
      </c>
      <c r="J86" s="4">
        <v>3175.7</v>
      </c>
      <c r="K86" s="4">
        <v>18453.900000000001</v>
      </c>
      <c r="L86" s="6">
        <v>77.188425440000003</v>
      </c>
      <c r="M86" s="6">
        <f>Table2[[#This Row],[% of Solo Streams]]/100</f>
        <v>0.77188425440000008</v>
      </c>
      <c r="N86" s="3">
        <v>5453.7</v>
      </c>
      <c r="O86" s="5">
        <v>22.81157456</v>
      </c>
      <c r="P86" s="6">
        <f>Table2[[#This Row],[% of Collaborative Streams]]/100</f>
        <v>0.2281157456</v>
      </c>
    </row>
    <row r="87" spans="1:16" x14ac:dyDescent="0.3">
      <c r="A87" s="2" t="s">
        <v>134</v>
      </c>
      <c r="B87" s="2" t="s">
        <v>14</v>
      </c>
      <c r="C87" s="2" t="s">
        <v>21</v>
      </c>
      <c r="D87" s="2" t="s">
        <v>16</v>
      </c>
      <c r="E87" s="2" t="s">
        <v>60</v>
      </c>
      <c r="F87" s="2" t="s">
        <v>48</v>
      </c>
      <c r="G87" s="4">
        <v>2012</v>
      </c>
      <c r="H87" s="4">
        <v>23845.1</v>
      </c>
      <c r="I87" s="4">
        <v>22661.5</v>
      </c>
      <c r="J87" s="4">
        <v>1189.8</v>
      </c>
      <c r="K87" s="4">
        <v>3830.9</v>
      </c>
      <c r="L87" s="6">
        <v>16.065774520000002</v>
      </c>
      <c r="M87" s="6">
        <f>Table2[[#This Row],[% of Solo Streams]]/100</f>
        <v>0.16065774520000001</v>
      </c>
      <c r="N87" s="3">
        <v>20014.2</v>
      </c>
      <c r="O87" s="5">
        <v>83.934225479999995</v>
      </c>
      <c r="P87" s="6">
        <f>Table2[[#This Row],[% of Collaborative Streams]]/100</f>
        <v>0.83934225479999991</v>
      </c>
    </row>
    <row r="88" spans="1:16" x14ac:dyDescent="0.3">
      <c r="A88" s="2" t="s">
        <v>135</v>
      </c>
      <c r="B88" s="2" t="s">
        <v>14</v>
      </c>
      <c r="C88" s="2" t="s">
        <v>21</v>
      </c>
      <c r="D88" s="2" t="s">
        <v>16</v>
      </c>
      <c r="E88" s="2" t="s">
        <v>60</v>
      </c>
      <c r="F88" s="2" t="s">
        <v>18</v>
      </c>
      <c r="G88" s="4">
        <v>2015</v>
      </c>
      <c r="H88" s="4">
        <v>23705.9</v>
      </c>
      <c r="I88" s="4">
        <v>17589.400000000001</v>
      </c>
      <c r="J88" s="4">
        <v>6122.5</v>
      </c>
      <c r="K88" s="4">
        <v>1704.1</v>
      </c>
      <c r="L88" s="6">
        <v>7.1885058150000001</v>
      </c>
      <c r="M88" s="6">
        <f>Table2[[#This Row],[% of Solo Streams]]/100</f>
        <v>7.188505815E-2</v>
      </c>
      <c r="N88" s="3">
        <v>22001.8</v>
      </c>
      <c r="O88" s="5">
        <v>92.811494179999997</v>
      </c>
      <c r="P88" s="6">
        <f>Table2[[#This Row],[% of Collaborative Streams]]/100</f>
        <v>0.92811494179999998</v>
      </c>
    </row>
    <row r="89" spans="1:16" x14ac:dyDescent="0.3">
      <c r="A89" s="2" t="s">
        <v>136</v>
      </c>
      <c r="B89" s="2" t="s">
        <v>20</v>
      </c>
      <c r="C89" s="2" t="s">
        <v>21</v>
      </c>
      <c r="D89" s="2" t="s">
        <v>16</v>
      </c>
      <c r="E89" s="2" t="s">
        <v>17</v>
      </c>
      <c r="F89" s="2" t="s">
        <v>18</v>
      </c>
      <c r="G89" s="4">
        <v>2015</v>
      </c>
      <c r="H89" s="4">
        <v>22494.9</v>
      </c>
      <c r="I89" s="4">
        <v>10833.6</v>
      </c>
      <c r="J89" s="4">
        <v>11666.6</v>
      </c>
      <c r="K89" s="4">
        <v>4407.8</v>
      </c>
      <c r="L89" s="6">
        <v>19.59466368</v>
      </c>
      <c r="M89" s="6">
        <f>Table2[[#This Row],[% of Solo Streams]]/100</f>
        <v>0.19594663679999999</v>
      </c>
      <c r="N89" s="3">
        <v>18087.099999999999</v>
      </c>
      <c r="O89" s="5">
        <v>80.405336320000004</v>
      </c>
      <c r="P89" s="6">
        <f>Table2[[#This Row],[% of Collaborative Streams]]/100</f>
        <v>0.80405336319999998</v>
      </c>
    </row>
    <row r="90" spans="1:16" x14ac:dyDescent="0.3">
      <c r="A90" s="2" t="s">
        <v>137</v>
      </c>
      <c r="B90" s="2" t="s">
        <v>14</v>
      </c>
      <c r="C90" s="2" t="s">
        <v>21</v>
      </c>
      <c r="D90" s="2" t="s">
        <v>16</v>
      </c>
      <c r="E90" s="2" t="s">
        <v>57</v>
      </c>
      <c r="F90" s="2" t="s">
        <v>48</v>
      </c>
      <c r="G90" s="4">
        <v>2009</v>
      </c>
      <c r="H90" s="4">
        <v>22475.8</v>
      </c>
      <c r="I90" s="4">
        <v>22215.200000000001</v>
      </c>
      <c r="J90" s="4">
        <v>269.10000000000002</v>
      </c>
      <c r="K90" s="4">
        <v>22142.6</v>
      </c>
      <c r="L90" s="6">
        <v>98.517516619999995</v>
      </c>
      <c r="M90" s="6">
        <f>Table2[[#This Row],[% of Solo Streams]]/100</f>
        <v>0.9851751661999999</v>
      </c>
      <c r="N90" s="3">
        <v>333.2</v>
      </c>
      <c r="O90" s="5">
        <v>1.4824833820000001</v>
      </c>
      <c r="P90" s="6">
        <f>Table2[[#This Row],[% of Collaborative Streams]]/100</f>
        <v>1.4824833820000001E-2</v>
      </c>
    </row>
    <row r="91" spans="1:16" x14ac:dyDescent="0.3">
      <c r="A91" s="2" t="s">
        <v>138</v>
      </c>
      <c r="B91" s="2" t="s">
        <v>78</v>
      </c>
      <c r="C91" s="2" t="s">
        <v>21</v>
      </c>
      <c r="D91" s="2" t="s">
        <v>16</v>
      </c>
      <c r="E91" s="2" t="s">
        <v>139</v>
      </c>
      <c r="F91" s="2" t="s">
        <v>48</v>
      </c>
      <c r="G91" s="4">
        <v>1949</v>
      </c>
      <c r="H91" s="4">
        <v>22236.1</v>
      </c>
      <c r="I91" s="4">
        <v>287.8</v>
      </c>
      <c r="J91" s="4">
        <v>21966.6</v>
      </c>
      <c r="K91" s="4">
        <v>0</v>
      </c>
      <c r="L91" s="6">
        <v>0</v>
      </c>
      <c r="M91" s="6">
        <f>Table2[[#This Row],[% of Solo Streams]]/100</f>
        <v>0</v>
      </c>
      <c r="N91" s="3">
        <v>22236.1</v>
      </c>
      <c r="O91" s="5">
        <v>100</v>
      </c>
      <c r="P91" s="6">
        <f>Table2[[#This Row],[% of Collaborative Streams]]/100</f>
        <v>1</v>
      </c>
    </row>
    <row r="92" spans="1:16" x14ac:dyDescent="0.3">
      <c r="A92" s="2" t="s">
        <v>140</v>
      </c>
      <c r="B92" s="2" t="s">
        <v>14</v>
      </c>
      <c r="C92" s="2" t="s">
        <v>21</v>
      </c>
      <c r="D92" s="2" t="s">
        <v>24</v>
      </c>
      <c r="E92" s="2" t="s">
        <v>25</v>
      </c>
      <c r="F92" s="2" t="s">
        <v>18</v>
      </c>
      <c r="G92" s="4">
        <v>2004</v>
      </c>
      <c r="H92" s="4">
        <v>21937.3</v>
      </c>
      <c r="I92" s="4">
        <v>8927.4</v>
      </c>
      <c r="J92" s="4">
        <v>13023.3</v>
      </c>
      <c r="K92" s="4">
        <v>3007</v>
      </c>
      <c r="L92" s="6">
        <v>13.70724747</v>
      </c>
      <c r="M92" s="6">
        <f>Table2[[#This Row],[% of Solo Streams]]/100</f>
        <v>0.1370724747</v>
      </c>
      <c r="N92" s="3">
        <v>18930.3</v>
      </c>
      <c r="O92" s="5">
        <v>86.292752530000001</v>
      </c>
      <c r="P92" s="6">
        <f>Table2[[#This Row],[% of Collaborative Streams]]/100</f>
        <v>0.86292752530000005</v>
      </c>
    </row>
    <row r="93" spans="1:16" x14ac:dyDescent="0.3">
      <c r="A93" s="2" t="s">
        <v>141</v>
      </c>
      <c r="B93" s="2" t="s">
        <v>78</v>
      </c>
      <c r="C93" s="2" t="s">
        <v>21</v>
      </c>
      <c r="D93" s="2" t="s">
        <v>16</v>
      </c>
      <c r="E93" s="2" t="s">
        <v>51</v>
      </c>
      <c r="F93" s="2" t="s">
        <v>48</v>
      </c>
      <c r="G93" s="4">
        <v>1984</v>
      </c>
      <c r="H93" s="4">
        <v>21873.8</v>
      </c>
      <c r="I93" s="4">
        <v>21884.2</v>
      </c>
      <c r="J93" s="4">
        <v>0</v>
      </c>
      <c r="K93" s="4">
        <v>21872.400000000001</v>
      </c>
      <c r="L93" s="6">
        <v>99.993599649999993</v>
      </c>
      <c r="M93" s="6">
        <f>Table2[[#This Row],[% of Solo Streams]]/100</f>
        <v>0.99993599649999998</v>
      </c>
      <c r="N93" s="3">
        <v>1.4</v>
      </c>
      <c r="O93" s="5">
        <v>6.4003511050000003E-3</v>
      </c>
      <c r="P93" s="6">
        <f>Table2[[#This Row],[% of Collaborative Streams]]/100</f>
        <v>6.4003511049999997E-5</v>
      </c>
    </row>
    <row r="94" spans="1:16" x14ac:dyDescent="0.3">
      <c r="A94" s="2" t="s">
        <v>142</v>
      </c>
      <c r="B94" s="2" t="s">
        <v>20</v>
      </c>
      <c r="C94" s="2" t="s">
        <v>143</v>
      </c>
      <c r="D94" s="2" t="s">
        <v>16</v>
      </c>
      <c r="E94" s="2" t="s">
        <v>22</v>
      </c>
      <c r="F94" s="2" t="s">
        <v>18</v>
      </c>
      <c r="G94" s="4">
        <v>2012</v>
      </c>
      <c r="H94" s="4">
        <v>21546.2</v>
      </c>
      <c r="I94" s="4">
        <v>12365.6</v>
      </c>
      <c r="J94" s="4">
        <v>9186</v>
      </c>
      <c r="K94" s="4">
        <v>6409.3</v>
      </c>
      <c r="L94" s="6">
        <v>29.746776690000001</v>
      </c>
      <c r="M94" s="6">
        <f>Table2[[#This Row],[% of Solo Streams]]/100</f>
        <v>0.29746776689999999</v>
      </c>
      <c r="N94" s="3">
        <v>15136.9</v>
      </c>
      <c r="O94" s="5">
        <v>70.253223309999996</v>
      </c>
      <c r="P94" s="6">
        <f>Table2[[#This Row],[% of Collaborative Streams]]/100</f>
        <v>0.7025322330999999</v>
      </c>
    </row>
    <row r="95" spans="1:16" x14ac:dyDescent="0.3">
      <c r="A95" s="2" t="s">
        <v>144</v>
      </c>
      <c r="B95" s="2" t="s">
        <v>14</v>
      </c>
      <c r="C95" s="2" t="s">
        <v>21</v>
      </c>
      <c r="D95" s="2" t="s">
        <v>16</v>
      </c>
      <c r="E95" s="2" t="s">
        <v>17</v>
      </c>
      <c r="F95" s="2" t="s">
        <v>48</v>
      </c>
      <c r="G95" s="4">
        <v>2014</v>
      </c>
      <c r="H95" s="4">
        <v>21202.3</v>
      </c>
      <c r="I95" s="4">
        <v>20357.3</v>
      </c>
      <c r="J95" s="4">
        <v>851.6</v>
      </c>
      <c r="K95" s="4">
        <v>16646.900000000001</v>
      </c>
      <c r="L95" s="6">
        <v>78.514595110000002</v>
      </c>
      <c r="M95" s="6">
        <f>Table2[[#This Row],[% of Solo Streams]]/100</f>
        <v>0.78514595110000007</v>
      </c>
      <c r="N95" s="3">
        <v>4555.3999999999996</v>
      </c>
      <c r="O95" s="5">
        <v>21.485404890000002</v>
      </c>
      <c r="P95" s="6">
        <f>Table2[[#This Row],[% of Collaborative Streams]]/100</f>
        <v>0.21485404890000001</v>
      </c>
    </row>
    <row r="96" spans="1:16" x14ac:dyDescent="0.3">
      <c r="A96" s="2" t="s">
        <v>145</v>
      </c>
      <c r="B96" s="2" t="s">
        <v>78</v>
      </c>
      <c r="C96" s="2" t="s">
        <v>21</v>
      </c>
      <c r="D96" s="2" t="s">
        <v>16</v>
      </c>
      <c r="E96" s="2" t="s">
        <v>22</v>
      </c>
      <c r="F96" s="2" t="s">
        <v>48</v>
      </c>
      <c r="G96" s="4">
        <v>2007</v>
      </c>
      <c r="H96" s="4">
        <v>21182.2</v>
      </c>
      <c r="I96" s="4">
        <v>19519.400000000001</v>
      </c>
      <c r="J96" s="4">
        <v>1669.7</v>
      </c>
      <c r="K96" s="4">
        <v>17506.599999999999</v>
      </c>
      <c r="L96" s="6">
        <v>82.647694759999993</v>
      </c>
      <c r="M96" s="6">
        <f>Table2[[#This Row],[% of Solo Streams]]/100</f>
        <v>0.8264769475999999</v>
      </c>
      <c r="N96" s="3">
        <v>3675.6</v>
      </c>
      <c r="O96" s="5">
        <v>17.35230524</v>
      </c>
      <c r="P96" s="6">
        <f>Table2[[#This Row],[% of Collaborative Streams]]/100</f>
        <v>0.17352305239999999</v>
      </c>
    </row>
    <row r="97" spans="1:16" x14ac:dyDescent="0.3">
      <c r="A97" s="2" t="s">
        <v>146</v>
      </c>
      <c r="B97" s="2" t="s">
        <v>14</v>
      </c>
      <c r="C97" s="2" t="s">
        <v>147</v>
      </c>
      <c r="D97" s="2" t="s">
        <v>16</v>
      </c>
      <c r="E97" s="2" t="s">
        <v>60</v>
      </c>
      <c r="F97" s="2" t="s">
        <v>18</v>
      </c>
      <c r="G97" s="4">
        <v>2006</v>
      </c>
      <c r="H97" s="4">
        <v>21003.5</v>
      </c>
      <c r="I97" s="4">
        <v>20142.3</v>
      </c>
      <c r="J97" s="4">
        <v>867.4</v>
      </c>
      <c r="K97" s="4">
        <v>14179.7</v>
      </c>
      <c r="L97" s="6">
        <v>67.511129100000005</v>
      </c>
      <c r="M97" s="6">
        <f>Table2[[#This Row],[% of Solo Streams]]/100</f>
        <v>0.675111291</v>
      </c>
      <c r="N97" s="3">
        <v>6823.8</v>
      </c>
      <c r="O97" s="5">
        <v>32.488870900000002</v>
      </c>
      <c r="P97" s="6">
        <f>Table2[[#This Row],[% of Collaborative Streams]]/100</f>
        <v>0.324888709</v>
      </c>
    </row>
    <row r="98" spans="1:16" x14ac:dyDescent="0.3">
      <c r="A98" s="2" t="s">
        <v>148</v>
      </c>
      <c r="B98" s="2" t="s">
        <v>14</v>
      </c>
      <c r="C98" s="2" t="s">
        <v>21</v>
      </c>
      <c r="D98" s="2" t="s">
        <v>16</v>
      </c>
      <c r="E98" s="2" t="s">
        <v>60</v>
      </c>
      <c r="F98" s="2" t="s">
        <v>18</v>
      </c>
      <c r="G98" s="4">
        <v>2002</v>
      </c>
      <c r="H98" s="4">
        <v>20670.8</v>
      </c>
      <c r="I98" s="4">
        <v>5352.4</v>
      </c>
      <c r="J98" s="4">
        <v>15318.4</v>
      </c>
      <c r="K98" s="4">
        <v>32.5</v>
      </c>
      <c r="L98" s="6">
        <v>0.1572266192</v>
      </c>
      <c r="M98" s="6">
        <f>Table2[[#This Row],[% of Solo Streams]]/100</f>
        <v>1.572266192E-3</v>
      </c>
      <c r="N98" s="3">
        <v>20638.3</v>
      </c>
      <c r="O98" s="5">
        <v>99.842773379999997</v>
      </c>
      <c r="P98" s="6">
        <f>Table2[[#This Row],[% of Collaborative Streams]]/100</f>
        <v>0.99842773379999994</v>
      </c>
    </row>
    <row r="99" spans="1:16" x14ac:dyDescent="0.3">
      <c r="A99" s="2" t="s">
        <v>149</v>
      </c>
      <c r="B99" s="2" t="s">
        <v>14</v>
      </c>
      <c r="C99" s="2" t="s">
        <v>21</v>
      </c>
      <c r="D99" s="2" t="s">
        <v>16</v>
      </c>
      <c r="E99" s="2" t="s">
        <v>17</v>
      </c>
      <c r="F99" s="2" t="s">
        <v>18</v>
      </c>
      <c r="G99" s="4">
        <v>1993</v>
      </c>
      <c r="H99" s="4">
        <v>20644.8</v>
      </c>
      <c r="I99" s="4">
        <v>7762</v>
      </c>
      <c r="J99" s="4">
        <v>12890.7</v>
      </c>
      <c r="K99" s="4">
        <v>1744.2</v>
      </c>
      <c r="L99" s="6">
        <v>8.4486166009999994</v>
      </c>
      <c r="M99" s="6">
        <f>Table2[[#This Row],[% of Solo Streams]]/100</f>
        <v>8.4486166009999988E-2</v>
      </c>
      <c r="N99" s="3">
        <v>18900.599999999999</v>
      </c>
      <c r="O99" s="5">
        <v>91.551383400000006</v>
      </c>
      <c r="P99" s="6">
        <f>Table2[[#This Row],[% of Collaborative Streams]]/100</f>
        <v>0.91551383400000008</v>
      </c>
    </row>
    <row r="100" spans="1:16" x14ac:dyDescent="0.3">
      <c r="A100" s="2" t="s">
        <v>150</v>
      </c>
      <c r="B100" s="2" t="s">
        <v>14</v>
      </c>
      <c r="C100" s="2" t="s">
        <v>21</v>
      </c>
      <c r="D100" s="2" t="s">
        <v>24</v>
      </c>
      <c r="E100" s="2" t="s">
        <v>151</v>
      </c>
      <c r="F100" s="2" t="s">
        <v>18</v>
      </c>
      <c r="G100" s="4">
        <v>2011</v>
      </c>
      <c r="H100" s="4">
        <v>20549.2</v>
      </c>
      <c r="I100" s="4">
        <v>14249.8</v>
      </c>
      <c r="J100" s="4">
        <v>6311</v>
      </c>
      <c r="K100" s="4">
        <v>8225.7000000000007</v>
      </c>
      <c r="L100" s="6">
        <v>40.02929554</v>
      </c>
      <c r="M100" s="6">
        <f>Table2[[#This Row],[% of Solo Streams]]/100</f>
        <v>0.40029295539999998</v>
      </c>
      <c r="N100" s="3">
        <v>12323.5</v>
      </c>
      <c r="O100" s="5">
        <v>59.97070446</v>
      </c>
      <c r="P100" s="6">
        <f>Table2[[#This Row],[% of Collaborative Streams]]/100</f>
        <v>0.59970704460000002</v>
      </c>
    </row>
    <row r="101" spans="1:16" x14ac:dyDescent="0.3">
      <c r="A101" s="2" t="s">
        <v>152</v>
      </c>
      <c r="B101" s="2" t="s">
        <v>14</v>
      </c>
      <c r="C101" s="2" t="s">
        <v>21</v>
      </c>
      <c r="D101" s="2" t="s">
        <v>16</v>
      </c>
      <c r="E101" s="2" t="s">
        <v>17</v>
      </c>
      <c r="F101" s="2" t="s">
        <v>18</v>
      </c>
      <c r="G101" s="4">
        <v>2003</v>
      </c>
      <c r="H101" s="4">
        <v>20444.599999999999</v>
      </c>
      <c r="I101" s="4">
        <v>14112.2</v>
      </c>
      <c r="J101" s="4">
        <v>6342</v>
      </c>
      <c r="K101" s="4">
        <v>8484.4</v>
      </c>
      <c r="L101" s="6">
        <v>41.499466849999997</v>
      </c>
      <c r="M101" s="6">
        <f>Table2[[#This Row],[% of Solo Streams]]/100</f>
        <v>0.4149946685</v>
      </c>
      <c r="N101" s="3">
        <v>11960.2</v>
      </c>
      <c r="O101" s="5">
        <v>58.500533150000003</v>
      </c>
      <c r="P101" s="6">
        <f>Table2[[#This Row],[% of Collaborative Streams]]/100</f>
        <v>0.5850053315</v>
      </c>
    </row>
    <row r="102" spans="1:16" x14ac:dyDescent="0.3">
      <c r="A102" s="2" t="s">
        <v>153</v>
      </c>
      <c r="B102" s="2" t="s">
        <v>14</v>
      </c>
      <c r="C102" s="2" t="s">
        <v>89</v>
      </c>
      <c r="D102" s="2" t="s">
        <v>24</v>
      </c>
      <c r="E102" s="2" t="s">
        <v>90</v>
      </c>
      <c r="F102" s="2" t="s">
        <v>18</v>
      </c>
      <c r="G102" s="4">
        <v>2018</v>
      </c>
      <c r="H102" s="4">
        <v>20300.7</v>
      </c>
      <c r="I102" s="4">
        <v>13993.4</v>
      </c>
      <c r="J102" s="4">
        <v>6316.3</v>
      </c>
      <c r="K102" s="4">
        <v>7574.2</v>
      </c>
      <c r="L102" s="6">
        <v>37.310043499999999</v>
      </c>
      <c r="M102" s="6">
        <f>Table2[[#This Row],[% of Solo Streams]]/100</f>
        <v>0.37310043500000001</v>
      </c>
      <c r="N102" s="3">
        <v>12726.5</v>
      </c>
      <c r="O102" s="5">
        <v>62.689956500000001</v>
      </c>
      <c r="P102" s="6">
        <f>Table2[[#This Row],[% of Collaborative Streams]]/100</f>
        <v>0.62689956499999999</v>
      </c>
    </row>
    <row r="103" spans="1:16" x14ac:dyDescent="0.3">
      <c r="A103" s="2" t="s">
        <v>154</v>
      </c>
      <c r="B103" s="2" t="s">
        <v>14</v>
      </c>
      <c r="C103" s="2" t="s">
        <v>21</v>
      </c>
      <c r="D103" s="2" t="s">
        <v>16</v>
      </c>
      <c r="E103" s="2" t="s">
        <v>17</v>
      </c>
      <c r="F103" s="2" t="s">
        <v>18</v>
      </c>
      <c r="G103" s="4">
        <v>2015</v>
      </c>
      <c r="H103" s="4">
        <v>20138.099999999999</v>
      </c>
      <c r="I103" s="4">
        <v>15305.8</v>
      </c>
      <c r="J103" s="4">
        <v>4841.7</v>
      </c>
      <c r="K103" s="4">
        <v>13558.6</v>
      </c>
      <c r="L103" s="6">
        <v>67.328099469999998</v>
      </c>
      <c r="M103" s="6">
        <f>Table2[[#This Row],[% of Solo Streams]]/100</f>
        <v>0.67328099470000002</v>
      </c>
      <c r="N103" s="3">
        <v>6579.5</v>
      </c>
      <c r="O103" s="5">
        <v>32.671900530000002</v>
      </c>
      <c r="P103" s="6">
        <f>Table2[[#This Row],[% of Collaborative Streams]]/100</f>
        <v>0.32671900530000003</v>
      </c>
    </row>
    <row r="104" spans="1:16" x14ac:dyDescent="0.3">
      <c r="A104" s="2" t="s">
        <v>155</v>
      </c>
      <c r="B104" s="2" t="s">
        <v>14</v>
      </c>
      <c r="C104" s="2" t="s">
        <v>21</v>
      </c>
      <c r="D104" s="2" t="s">
        <v>16</v>
      </c>
      <c r="E104" s="2" t="s">
        <v>17</v>
      </c>
      <c r="F104" s="2" t="s">
        <v>18</v>
      </c>
      <c r="G104" s="4">
        <v>2007</v>
      </c>
      <c r="H104" s="4">
        <v>20091.099999999999</v>
      </c>
      <c r="I104" s="4">
        <v>18765.5</v>
      </c>
      <c r="J104" s="4">
        <v>1328</v>
      </c>
      <c r="K104" s="4">
        <v>12865.2</v>
      </c>
      <c r="L104" s="6">
        <v>64.034323659999998</v>
      </c>
      <c r="M104" s="6">
        <f>Table2[[#This Row],[% of Solo Streams]]/100</f>
        <v>0.64034323660000003</v>
      </c>
      <c r="N104" s="3">
        <v>7225.9</v>
      </c>
      <c r="O104" s="5">
        <v>35.965676340000002</v>
      </c>
      <c r="P104" s="6">
        <f>Table2[[#This Row],[% of Collaborative Streams]]/100</f>
        <v>0.35965676340000002</v>
      </c>
    </row>
    <row r="105" spans="1:16" x14ac:dyDescent="0.3">
      <c r="A105" s="2" t="s">
        <v>156</v>
      </c>
      <c r="B105" s="2" t="s">
        <v>14</v>
      </c>
      <c r="C105" s="2" t="s">
        <v>21</v>
      </c>
      <c r="D105" s="2" t="s">
        <v>16</v>
      </c>
      <c r="E105" s="2" t="s">
        <v>17</v>
      </c>
      <c r="F105" s="2" t="s">
        <v>18</v>
      </c>
      <c r="G105" s="4">
        <v>2015</v>
      </c>
      <c r="H105" s="4">
        <v>19977.5</v>
      </c>
      <c r="I105" s="4">
        <v>9365.1</v>
      </c>
      <c r="J105" s="4">
        <v>10617.1</v>
      </c>
      <c r="K105" s="4">
        <v>5320.2</v>
      </c>
      <c r="L105" s="6">
        <v>26.630959829999998</v>
      </c>
      <c r="M105" s="6">
        <f>Table2[[#This Row],[% of Solo Streams]]/100</f>
        <v>0.26630959830000001</v>
      </c>
      <c r="N105" s="3">
        <v>14657.3</v>
      </c>
      <c r="O105" s="5">
        <v>73.369040170000005</v>
      </c>
      <c r="P105" s="6">
        <f>Table2[[#This Row],[% of Collaborative Streams]]/100</f>
        <v>0.73369040170000011</v>
      </c>
    </row>
    <row r="106" spans="1:16" x14ac:dyDescent="0.3">
      <c r="A106" s="2" t="s">
        <v>157</v>
      </c>
      <c r="B106" s="2" t="s">
        <v>14</v>
      </c>
      <c r="C106" s="2" t="s">
        <v>21</v>
      </c>
      <c r="D106" s="2" t="s">
        <v>16</v>
      </c>
      <c r="E106" s="2" t="s">
        <v>17</v>
      </c>
      <c r="F106" s="2" t="s">
        <v>18</v>
      </c>
      <c r="G106" s="4">
        <v>2017</v>
      </c>
      <c r="H106" s="4">
        <v>19830.5</v>
      </c>
      <c r="I106" s="4">
        <v>12351.9</v>
      </c>
      <c r="J106" s="4">
        <v>7494</v>
      </c>
      <c r="K106" s="4">
        <v>8302.6</v>
      </c>
      <c r="L106" s="6">
        <v>41.867829860000001</v>
      </c>
      <c r="M106" s="6">
        <f>Table2[[#This Row],[% of Solo Streams]]/100</f>
        <v>0.4186782986</v>
      </c>
      <c r="N106" s="3">
        <v>11527.9</v>
      </c>
      <c r="O106" s="5">
        <v>58.132170139999999</v>
      </c>
      <c r="P106" s="6">
        <f>Table2[[#This Row],[% of Collaborative Streams]]/100</f>
        <v>0.58132170139999995</v>
      </c>
    </row>
    <row r="107" spans="1:16" x14ac:dyDescent="0.3">
      <c r="A107" s="2" t="s">
        <v>158</v>
      </c>
      <c r="B107" s="2" t="s">
        <v>14</v>
      </c>
      <c r="C107" s="2" t="s">
        <v>21</v>
      </c>
      <c r="D107" s="2" t="s">
        <v>16</v>
      </c>
      <c r="E107" s="2" t="s">
        <v>98</v>
      </c>
      <c r="F107" s="2" t="s">
        <v>18</v>
      </c>
      <c r="G107" s="4">
        <v>2019</v>
      </c>
      <c r="H107" s="4">
        <v>19727.2</v>
      </c>
      <c r="I107" s="4">
        <v>19690.8</v>
      </c>
      <c r="J107" s="4">
        <v>47.3</v>
      </c>
      <c r="K107" s="4">
        <v>15838.7</v>
      </c>
      <c r="L107" s="6">
        <v>80.288637010000002</v>
      </c>
      <c r="M107" s="6">
        <f>Table2[[#This Row],[% of Solo Streams]]/100</f>
        <v>0.80288637009999997</v>
      </c>
      <c r="N107" s="3">
        <v>3888.5</v>
      </c>
      <c r="O107" s="5">
        <v>19.711362990000001</v>
      </c>
      <c r="P107" s="6">
        <f>Table2[[#This Row],[% of Collaborative Streams]]/100</f>
        <v>0.1971136299</v>
      </c>
    </row>
    <row r="108" spans="1:16" x14ac:dyDescent="0.3">
      <c r="A108" s="2" t="s">
        <v>159</v>
      </c>
      <c r="B108" s="2" t="s">
        <v>14</v>
      </c>
      <c r="C108" s="2" t="s">
        <v>160</v>
      </c>
      <c r="D108" s="2" t="s">
        <v>16</v>
      </c>
      <c r="E108" s="2" t="s">
        <v>60</v>
      </c>
      <c r="F108" s="2" t="s">
        <v>18</v>
      </c>
      <c r="G108" s="4">
        <v>2013</v>
      </c>
      <c r="H108" s="4">
        <v>19707.8</v>
      </c>
      <c r="I108" s="4">
        <v>17829.8</v>
      </c>
      <c r="J108" s="4">
        <v>1883.3</v>
      </c>
      <c r="K108" s="4">
        <v>250.7</v>
      </c>
      <c r="L108" s="6">
        <v>1.2720851639999999</v>
      </c>
      <c r="M108" s="6">
        <f>Table2[[#This Row],[% of Solo Streams]]/100</f>
        <v>1.2720851639999999E-2</v>
      </c>
      <c r="N108" s="3">
        <v>19457.099999999999</v>
      </c>
      <c r="O108" s="5">
        <v>98.727914839999997</v>
      </c>
      <c r="P108" s="6">
        <f>Table2[[#This Row],[% of Collaborative Streams]]/100</f>
        <v>0.98727914839999997</v>
      </c>
    </row>
    <row r="109" spans="1:16" x14ac:dyDescent="0.3">
      <c r="A109" s="2" t="s">
        <v>161</v>
      </c>
      <c r="B109" s="2" t="s">
        <v>14</v>
      </c>
      <c r="C109" s="2" t="s">
        <v>162</v>
      </c>
      <c r="D109" s="2" t="s">
        <v>24</v>
      </c>
      <c r="E109" s="2" t="s">
        <v>25</v>
      </c>
      <c r="F109" s="2" t="s">
        <v>18</v>
      </c>
      <c r="G109" s="4">
        <v>2014</v>
      </c>
      <c r="H109" s="4">
        <v>19528.3</v>
      </c>
      <c r="I109" s="4">
        <v>7512.9</v>
      </c>
      <c r="J109" s="4">
        <v>12015.4</v>
      </c>
      <c r="K109" s="4">
        <v>2397.8000000000002</v>
      </c>
      <c r="L109" s="6">
        <v>12.27859056</v>
      </c>
      <c r="M109" s="6">
        <f>Table2[[#This Row],[% of Solo Streams]]/100</f>
        <v>0.12278590559999999</v>
      </c>
      <c r="N109" s="3">
        <v>17130.5</v>
      </c>
      <c r="O109" s="5">
        <v>87.721409440000002</v>
      </c>
      <c r="P109" s="6">
        <f>Table2[[#This Row],[% of Collaborative Streams]]/100</f>
        <v>0.87721409439999998</v>
      </c>
    </row>
    <row r="110" spans="1:16" x14ac:dyDescent="0.3">
      <c r="A110" s="2" t="s">
        <v>163</v>
      </c>
      <c r="B110" s="2" t="s">
        <v>14</v>
      </c>
      <c r="C110" s="2" t="s">
        <v>21</v>
      </c>
      <c r="D110" s="2" t="s">
        <v>16</v>
      </c>
      <c r="E110" s="2" t="s">
        <v>57</v>
      </c>
      <c r="F110" s="2" t="s">
        <v>48</v>
      </c>
      <c r="G110" s="4">
        <v>2011</v>
      </c>
      <c r="H110" s="4">
        <v>19440.5</v>
      </c>
      <c r="I110" s="4">
        <v>19435.599999999999</v>
      </c>
      <c r="J110" s="4">
        <v>14.3</v>
      </c>
      <c r="K110" s="4">
        <v>18793.5</v>
      </c>
      <c r="L110" s="6">
        <v>96.6718963</v>
      </c>
      <c r="M110" s="6">
        <f>Table2[[#This Row],[% of Solo Streams]]/100</f>
        <v>0.96671896300000004</v>
      </c>
      <c r="N110" s="3">
        <v>647</v>
      </c>
      <c r="O110" s="5">
        <v>3.3281037009999999</v>
      </c>
      <c r="P110" s="6">
        <f>Table2[[#This Row],[% of Collaborative Streams]]/100</f>
        <v>3.328103701E-2</v>
      </c>
    </row>
    <row r="111" spans="1:16" x14ac:dyDescent="0.3">
      <c r="A111" s="2" t="s">
        <v>164</v>
      </c>
      <c r="B111" s="2" t="s">
        <v>14</v>
      </c>
      <c r="C111" s="2" t="s">
        <v>21</v>
      </c>
      <c r="D111" s="2" t="s">
        <v>16</v>
      </c>
      <c r="E111" s="2" t="s">
        <v>17</v>
      </c>
      <c r="F111" s="2" t="s">
        <v>18</v>
      </c>
      <c r="G111" s="4">
        <v>2008</v>
      </c>
      <c r="H111" s="4">
        <v>19383.5</v>
      </c>
      <c r="I111" s="4">
        <v>2977.3</v>
      </c>
      <c r="J111" s="4">
        <v>16406.099999999999</v>
      </c>
      <c r="K111" s="4">
        <v>809.7</v>
      </c>
      <c r="L111" s="6">
        <v>4.1772641679999998</v>
      </c>
      <c r="M111" s="6">
        <f>Table2[[#This Row],[% of Solo Streams]]/100</f>
        <v>4.177264168E-2</v>
      </c>
      <c r="N111" s="3">
        <v>18573.8</v>
      </c>
      <c r="O111" s="5">
        <v>95.822735829999999</v>
      </c>
      <c r="P111" s="6">
        <f>Table2[[#This Row],[% of Collaborative Streams]]/100</f>
        <v>0.95822735829999994</v>
      </c>
    </row>
    <row r="112" spans="1:16" x14ac:dyDescent="0.3">
      <c r="A112" s="2" t="s">
        <v>165</v>
      </c>
      <c r="B112" s="2" t="s">
        <v>14</v>
      </c>
      <c r="C112" s="2" t="s">
        <v>166</v>
      </c>
      <c r="D112" s="2" t="s">
        <v>167</v>
      </c>
      <c r="E112" s="2" t="s">
        <v>168</v>
      </c>
      <c r="F112" s="2" t="s">
        <v>48</v>
      </c>
      <c r="G112" s="4">
        <v>2008</v>
      </c>
      <c r="H112" s="4">
        <v>19231.7</v>
      </c>
      <c r="I112" s="4">
        <v>15881.4</v>
      </c>
      <c r="J112" s="4">
        <v>3360.5</v>
      </c>
      <c r="K112" s="4">
        <v>15399.4</v>
      </c>
      <c r="L112" s="6">
        <v>80.073004470000001</v>
      </c>
      <c r="M112" s="6">
        <f>Table2[[#This Row],[% of Solo Streams]]/100</f>
        <v>0.80073004469999998</v>
      </c>
      <c r="N112" s="3">
        <v>3832.3</v>
      </c>
      <c r="O112" s="5">
        <v>19.926995529999999</v>
      </c>
      <c r="P112" s="6">
        <f>Table2[[#This Row],[% of Collaborative Streams]]/100</f>
        <v>0.1992699553</v>
      </c>
    </row>
    <row r="113" spans="1:16" x14ac:dyDescent="0.3">
      <c r="A113" s="2" t="s">
        <v>169</v>
      </c>
      <c r="B113" s="2" t="s">
        <v>14</v>
      </c>
      <c r="C113" s="2" t="s">
        <v>21</v>
      </c>
      <c r="D113" s="2" t="s">
        <v>16</v>
      </c>
      <c r="E113" s="2" t="s">
        <v>98</v>
      </c>
      <c r="F113" s="2" t="s">
        <v>18</v>
      </c>
      <c r="G113" s="4">
        <v>2014</v>
      </c>
      <c r="H113" s="4">
        <v>19101.599999999999</v>
      </c>
      <c r="I113" s="4">
        <v>17465.400000000001</v>
      </c>
      <c r="J113" s="4">
        <v>1647.2</v>
      </c>
      <c r="K113" s="4">
        <v>16648</v>
      </c>
      <c r="L113" s="6">
        <v>87.155002719999999</v>
      </c>
      <c r="M113" s="6">
        <f>Table2[[#This Row],[% of Solo Streams]]/100</f>
        <v>0.87155002719999997</v>
      </c>
      <c r="N113" s="3">
        <v>2453.6</v>
      </c>
      <c r="O113" s="5">
        <v>12.844997279999999</v>
      </c>
      <c r="P113" s="6">
        <f>Table2[[#This Row],[% of Collaborative Streams]]/100</f>
        <v>0.12844997280000001</v>
      </c>
    </row>
    <row r="114" spans="1:16" x14ac:dyDescent="0.3">
      <c r="A114" s="2" t="s">
        <v>170</v>
      </c>
      <c r="B114" s="2" t="s">
        <v>14</v>
      </c>
      <c r="C114" s="2" t="s">
        <v>33</v>
      </c>
      <c r="D114" s="2" t="s">
        <v>16</v>
      </c>
      <c r="E114" s="2" t="s">
        <v>51</v>
      </c>
      <c r="F114" s="2" t="s">
        <v>18</v>
      </c>
      <c r="G114" s="4">
        <v>1969</v>
      </c>
      <c r="H114" s="4">
        <v>19090.400000000001</v>
      </c>
      <c r="I114" s="4">
        <v>17435.400000000001</v>
      </c>
      <c r="J114" s="4">
        <v>1662.4</v>
      </c>
      <c r="K114" s="4">
        <v>12211.1</v>
      </c>
      <c r="L114" s="6">
        <v>63.964610479999997</v>
      </c>
      <c r="M114" s="6">
        <f>Table2[[#This Row],[% of Solo Streams]]/100</f>
        <v>0.63964610479999995</v>
      </c>
      <c r="N114" s="3">
        <v>6879.3</v>
      </c>
      <c r="O114" s="5">
        <v>36.035389520000003</v>
      </c>
      <c r="P114" s="6">
        <f>Table2[[#This Row],[% of Collaborative Streams]]/100</f>
        <v>0.36035389520000005</v>
      </c>
    </row>
    <row r="115" spans="1:16" x14ac:dyDescent="0.3">
      <c r="A115" s="2" t="s">
        <v>171</v>
      </c>
      <c r="B115" s="2" t="s">
        <v>14</v>
      </c>
      <c r="C115" s="2" t="s">
        <v>42</v>
      </c>
      <c r="D115" s="2" t="s">
        <v>24</v>
      </c>
      <c r="E115" s="2" t="s">
        <v>82</v>
      </c>
      <c r="F115" s="2" t="s">
        <v>18</v>
      </c>
      <c r="G115" s="4">
        <v>2016</v>
      </c>
      <c r="H115" s="4">
        <v>18912.7</v>
      </c>
      <c r="I115" s="4">
        <v>8490.9</v>
      </c>
      <c r="J115" s="4">
        <v>10429.4</v>
      </c>
      <c r="K115" s="4">
        <v>5716.7</v>
      </c>
      <c r="L115" s="6">
        <v>30.226778830000001</v>
      </c>
      <c r="M115" s="6">
        <f>Table2[[#This Row],[% of Solo Streams]]/100</f>
        <v>0.30226778830000001</v>
      </c>
      <c r="N115" s="3">
        <v>13196</v>
      </c>
      <c r="O115" s="5">
        <v>69.773221169999999</v>
      </c>
      <c r="P115" s="6">
        <f>Table2[[#This Row],[% of Collaborative Streams]]/100</f>
        <v>0.69773221169999999</v>
      </c>
    </row>
    <row r="116" spans="1:16" x14ac:dyDescent="0.3">
      <c r="A116" s="2" t="s">
        <v>172</v>
      </c>
      <c r="B116" s="2" t="s">
        <v>14</v>
      </c>
      <c r="C116" s="2" t="s">
        <v>21</v>
      </c>
      <c r="D116" s="2" t="s">
        <v>16</v>
      </c>
      <c r="E116" s="2" t="s">
        <v>17</v>
      </c>
      <c r="F116" s="2" t="s">
        <v>18</v>
      </c>
      <c r="G116" s="4">
        <v>2016</v>
      </c>
      <c r="H116" s="4">
        <v>18889.599999999999</v>
      </c>
      <c r="I116" s="4">
        <v>11762.8</v>
      </c>
      <c r="J116" s="4">
        <v>7126.8</v>
      </c>
      <c r="K116" s="4">
        <v>5822.1</v>
      </c>
      <c r="L116" s="6">
        <v>30.821722009999998</v>
      </c>
      <c r="M116" s="6">
        <f>Table2[[#This Row],[% of Solo Streams]]/100</f>
        <v>0.30821722009999997</v>
      </c>
      <c r="N116" s="3">
        <v>13067.5</v>
      </c>
      <c r="O116" s="5">
        <v>69.178277989999998</v>
      </c>
      <c r="P116" s="6">
        <f>Table2[[#This Row],[% of Collaborative Streams]]/100</f>
        <v>0.69178277990000003</v>
      </c>
    </row>
    <row r="117" spans="1:16" x14ac:dyDescent="0.3">
      <c r="A117" s="2" t="s">
        <v>173</v>
      </c>
      <c r="B117" s="2" t="s">
        <v>20</v>
      </c>
      <c r="C117" s="2" t="s">
        <v>15</v>
      </c>
      <c r="D117" s="2" t="s">
        <v>16</v>
      </c>
      <c r="E117" s="2" t="s">
        <v>22</v>
      </c>
      <c r="F117" s="2" t="s">
        <v>18</v>
      </c>
      <c r="G117" s="4">
        <v>2017</v>
      </c>
      <c r="H117" s="4">
        <v>18707.3</v>
      </c>
      <c r="I117" s="4">
        <v>16893.7</v>
      </c>
      <c r="J117" s="4">
        <v>1823.3</v>
      </c>
      <c r="K117" s="4">
        <v>15280.9</v>
      </c>
      <c r="L117" s="6">
        <v>81.684155380000007</v>
      </c>
      <c r="M117" s="6">
        <f>Table2[[#This Row],[% of Solo Streams]]/100</f>
        <v>0.81684155380000012</v>
      </c>
      <c r="N117" s="3">
        <v>3426.4</v>
      </c>
      <c r="O117" s="5">
        <v>18.31584462</v>
      </c>
      <c r="P117" s="6">
        <f>Table2[[#This Row],[% of Collaborative Streams]]/100</f>
        <v>0.18315844619999999</v>
      </c>
    </row>
    <row r="118" spans="1:16" x14ac:dyDescent="0.3">
      <c r="A118" s="2" t="s">
        <v>174</v>
      </c>
      <c r="B118" s="2" t="s">
        <v>14</v>
      </c>
      <c r="C118" s="2" t="s">
        <v>21</v>
      </c>
      <c r="D118" s="2" t="s">
        <v>16</v>
      </c>
      <c r="E118" s="2" t="s">
        <v>17</v>
      </c>
      <c r="F118" s="2" t="s">
        <v>18</v>
      </c>
      <c r="G118" s="4">
        <v>2014</v>
      </c>
      <c r="H118" s="4">
        <v>18649.5</v>
      </c>
      <c r="I118" s="4">
        <v>17855.2</v>
      </c>
      <c r="J118" s="4">
        <v>801</v>
      </c>
      <c r="K118" s="4">
        <v>9452.7000000000007</v>
      </c>
      <c r="L118" s="6">
        <v>50.68607737</v>
      </c>
      <c r="M118" s="6">
        <f>Table2[[#This Row],[% of Solo Streams]]/100</f>
        <v>0.50686077370000004</v>
      </c>
      <c r="N118" s="3">
        <v>9196.7999999999993</v>
      </c>
      <c r="O118" s="5">
        <v>49.31392263</v>
      </c>
      <c r="P118" s="6">
        <f>Table2[[#This Row],[% of Collaborative Streams]]/100</f>
        <v>0.49313922630000001</v>
      </c>
    </row>
    <row r="119" spans="1:16" x14ac:dyDescent="0.3">
      <c r="A119" s="2" t="s">
        <v>175</v>
      </c>
      <c r="B119" s="2" t="s">
        <v>14</v>
      </c>
      <c r="C119" s="2" t="s">
        <v>21</v>
      </c>
      <c r="D119" s="2" t="s">
        <v>16</v>
      </c>
      <c r="E119" s="2" t="s">
        <v>51</v>
      </c>
      <c r="F119" s="2" t="s">
        <v>48</v>
      </c>
      <c r="G119" s="4">
        <v>1983</v>
      </c>
      <c r="H119" s="4">
        <v>18627</v>
      </c>
      <c r="I119" s="4">
        <v>18557</v>
      </c>
      <c r="J119" s="4">
        <v>77.900000000000006</v>
      </c>
      <c r="K119" s="4">
        <v>18283.099999999999</v>
      </c>
      <c r="L119" s="6">
        <v>98.1537553</v>
      </c>
      <c r="M119" s="6">
        <f>Table2[[#This Row],[% of Solo Streams]]/100</f>
        <v>0.98153755300000001</v>
      </c>
      <c r="N119" s="3">
        <v>343.9</v>
      </c>
      <c r="O119" s="5">
        <v>1.8462446990000001</v>
      </c>
      <c r="P119" s="6">
        <f>Table2[[#This Row],[% of Collaborative Streams]]/100</f>
        <v>1.8462446990000003E-2</v>
      </c>
    </row>
    <row r="120" spans="1:16" x14ac:dyDescent="0.3">
      <c r="A120" s="2" t="s">
        <v>176</v>
      </c>
      <c r="B120" s="2" t="s">
        <v>14</v>
      </c>
      <c r="C120" s="2" t="s">
        <v>21</v>
      </c>
      <c r="D120" s="2" t="s">
        <v>24</v>
      </c>
      <c r="E120" s="2" t="s">
        <v>25</v>
      </c>
      <c r="F120" s="2" t="s">
        <v>18</v>
      </c>
      <c r="G120" s="4">
        <v>2003</v>
      </c>
      <c r="H120" s="4">
        <v>18580.599999999999</v>
      </c>
      <c r="I120" s="4">
        <v>14990.8</v>
      </c>
      <c r="J120" s="4">
        <v>3601.2</v>
      </c>
      <c r="K120" s="4">
        <v>8321.9</v>
      </c>
      <c r="L120" s="6">
        <v>44.788112329999997</v>
      </c>
      <c r="M120" s="6">
        <f>Table2[[#This Row],[% of Solo Streams]]/100</f>
        <v>0.44788112329999996</v>
      </c>
      <c r="N120" s="3">
        <v>10258.700000000001</v>
      </c>
      <c r="O120" s="5">
        <v>55.211887670000003</v>
      </c>
      <c r="P120" s="6">
        <f>Table2[[#This Row],[% of Collaborative Streams]]/100</f>
        <v>0.55211887670000004</v>
      </c>
    </row>
    <row r="121" spans="1:16" x14ac:dyDescent="0.3">
      <c r="A121" s="2" t="s">
        <v>177</v>
      </c>
      <c r="B121" s="2" t="s">
        <v>14</v>
      </c>
      <c r="C121" s="2" t="s">
        <v>21</v>
      </c>
      <c r="D121" s="2" t="s">
        <v>16</v>
      </c>
      <c r="E121" s="2" t="s">
        <v>27</v>
      </c>
      <c r="F121" s="2" t="s">
        <v>18</v>
      </c>
      <c r="G121" s="4">
        <v>1994</v>
      </c>
      <c r="H121" s="4">
        <v>18413.2</v>
      </c>
      <c r="I121" s="4">
        <v>12525.4</v>
      </c>
      <c r="J121" s="4">
        <v>5896.3</v>
      </c>
      <c r="K121" s="4">
        <v>5222.1000000000004</v>
      </c>
      <c r="L121" s="6">
        <v>28.360632590000002</v>
      </c>
      <c r="M121" s="6">
        <f>Table2[[#This Row],[% of Solo Streams]]/100</f>
        <v>0.28360632590000001</v>
      </c>
      <c r="N121" s="3">
        <v>13191.1</v>
      </c>
      <c r="O121" s="5">
        <v>71.639367410000006</v>
      </c>
      <c r="P121" s="6">
        <f>Table2[[#This Row],[% of Collaborative Streams]]/100</f>
        <v>0.7163936741000001</v>
      </c>
    </row>
    <row r="122" spans="1:16" x14ac:dyDescent="0.3">
      <c r="A122" s="2" t="s">
        <v>178</v>
      </c>
      <c r="B122" s="2" t="s">
        <v>14</v>
      </c>
      <c r="C122" s="2" t="s">
        <v>21</v>
      </c>
      <c r="D122" s="2" t="s">
        <v>16</v>
      </c>
      <c r="E122" s="2" t="s">
        <v>22</v>
      </c>
      <c r="F122" s="2" t="s">
        <v>18</v>
      </c>
      <c r="G122" s="4">
        <v>2015</v>
      </c>
      <c r="H122" s="4">
        <v>18309.3</v>
      </c>
      <c r="I122" s="4">
        <v>14642.3</v>
      </c>
      <c r="J122" s="4">
        <v>3673.3</v>
      </c>
      <c r="K122" s="4">
        <v>8613.7000000000007</v>
      </c>
      <c r="L122" s="6">
        <v>47.045490540000003</v>
      </c>
      <c r="M122" s="6">
        <f>Table2[[#This Row],[% of Solo Streams]]/100</f>
        <v>0.47045490540000001</v>
      </c>
      <c r="N122" s="3">
        <v>9695.6</v>
      </c>
      <c r="O122" s="5">
        <v>52.954509459999997</v>
      </c>
      <c r="P122" s="6">
        <f>Table2[[#This Row],[% of Collaborative Streams]]/100</f>
        <v>0.52954509459999999</v>
      </c>
    </row>
    <row r="123" spans="1:16" x14ac:dyDescent="0.3">
      <c r="A123" s="2" t="s">
        <v>179</v>
      </c>
      <c r="B123" s="2" t="s">
        <v>14</v>
      </c>
      <c r="C123" s="2" t="s">
        <v>21</v>
      </c>
      <c r="D123" s="2" t="s">
        <v>16</v>
      </c>
      <c r="E123" s="2" t="s">
        <v>22</v>
      </c>
      <c r="F123" s="2" t="s">
        <v>18</v>
      </c>
      <c r="G123" s="4">
        <v>2002</v>
      </c>
      <c r="H123" s="4">
        <v>18270.8</v>
      </c>
      <c r="I123" s="4">
        <v>13165.8</v>
      </c>
      <c r="J123" s="4">
        <v>5114.8999999999996</v>
      </c>
      <c r="K123" s="4">
        <v>8899.2000000000007</v>
      </c>
      <c r="L123" s="6">
        <v>48.707226830000003</v>
      </c>
      <c r="M123" s="6">
        <f>Table2[[#This Row],[% of Solo Streams]]/100</f>
        <v>0.48707226830000006</v>
      </c>
      <c r="N123" s="3">
        <v>9371.6</v>
      </c>
      <c r="O123" s="5">
        <v>51.292773169999997</v>
      </c>
      <c r="P123" s="6">
        <f>Table2[[#This Row],[% of Collaborative Streams]]/100</f>
        <v>0.51292773169999994</v>
      </c>
    </row>
    <row r="124" spans="1:16" x14ac:dyDescent="0.3">
      <c r="A124" s="2" t="s">
        <v>180</v>
      </c>
      <c r="B124" s="2" t="s">
        <v>14</v>
      </c>
      <c r="C124" s="2" t="s">
        <v>181</v>
      </c>
      <c r="D124" s="2" t="s">
        <v>16</v>
      </c>
      <c r="E124" s="2" t="s">
        <v>60</v>
      </c>
      <c r="F124" s="2" t="s">
        <v>18</v>
      </c>
      <c r="G124" s="4">
        <v>1994</v>
      </c>
      <c r="H124" s="4">
        <v>18217.099999999999</v>
      </c>
      <c r="I124" s="4">
        <v>13653.1</v>
      </c>
      <c r="J124" s="4">
        <v>4569.1000000000004</v>
      </c>
      <c r="K124" s="4">
        <v>3490.5</v>
      </c>
      <c r="L124" s="6">
        <v>19.160568919999999</v>
      </c>
      <c r="M124" s="6">
        <f>Table2[[#This Row],[% of Solo Streams]]/100</f>
        <v>0.19160568919999998</v>
      </c>
      <c r="N124" s="3">
        <v>14726.6</v>
      </c>
      <c r="O124" s="5">
        <v>80.839431079999997</v>
      </c>
      <c r="P124" s="6">
        <f>Table2[[#This Row],[% of Collaborative Streams]]/100</f>
        <v>0.80839431080000002</v>
      </c>
    </row>
    <row r="125" spans="1:16" x14ac:dyDescent="0.3">
      <c r="A125" s="2" t="s">
        <v>182</v>
      </c>
      <c r="B125" s="2" t="s">
        <v>14</v>
      </c>
      <c r="C125" s="2" t="s">
        <v>183</v>
      </c>
      <c r="D125" s="2" t="s">
        <v>16</v>
      </c>
      <c r="E125" s="2" t="s">
        <v>184</v>
      </c>
      <c r="F125" s="2" t="s">
        <v>18</v>
      </c>
      <c r="G125" s="4">
        <v>1996</v>
      </c>
      <c r="H125" s="4">
        <v>18203.3</v>
      </c>
      <c r="I125" s="4">
        <v>9674.9</v>
      </c>
      <c r="J125" s="4">
        <v>8539.4</v>
      </c>
      <c r="K125" s="4">
        <v>4460.6000000000004</v>
      </c>
      <c r="L125" s="6">
        <v>24.504348109999999</v>
      </c>
      <c r="M125" s="6">
        <f>Table2[[#This Row],[% of Solo Streams]]/100</f>
        <v>0.24504348109999999</v>
      </c>
      <c r="N125" s="3">
        <v>13742.7</v>
      </c>
      <c r="O125" s="5">
        <v>75.495651890000005</v>
      </c>
      <c r="P125" s="6">
        <f>Table2[[#This Row],[% of Collaborative Streams]]/100</f>
        <v>0.75495651890000004</v>
      </c>
    </row>
    <row r="126" spans="1:16" x14ac:dyDescent="0.3">
      <c r="A126" s="2" t="s">
        <v>185</v>
      </c>
      <c r="B126" s="2" t="s">
        <v>14</v>
      </c>
      <c r="C126" s="2" t="s">
        <v>21</v>
      </c>
      <c r="D126" s="2" t="s">
        <v>16</v>
      </c>
      <c r="E126" s="2" t="s">
        <v>17</v>
      </c>
      <c r="F126" s="2" t="s">
        <v>18</v>
      </c>
      <c r="G126" s="4">
        <v>2008</v>
      </c>
      <c r="H126" s="4">
        <v>18064.3</v>
      </c>
      <c r="I126" s="4">
        <v>7403</v>
      </c>
      <c r="J126" s="4">
        <v>10664.8</v>
      </c>
      <c r="K126" s="4">
        <v>2757.4</v>
      </c>
      <c r="L126" s="6">
        <v>15.2643612</v>
      </c>
      <c r="M126" s="6">
        <f>Table2[[#This Row],[% of Solo Streams]]/100</f>
        <v>0.15264361199999998</v>
      </c>
      <c r="N126" s="3">
        <v>15306.9</v>
      </c>
      <c r="O126" s="5">
        <v>84.735638800000004</v>
      </c>
      <c r="P126" s="6">
        <f>Table2[[#This Row],[% of Collaborative Streams]]/100</f>
        <v>0.84735638800000002</v>
      </c>
    </row>
    <row r="127" spans="1:16" x14ac:dyDescent="0.3">
      <c r="A127" s="2" t="s">
        <v>186</v>
      </c>
      <c r="B127" s="2" t="s">
        <v>20</v>
      </c>
      <c r="C127" s="2" t="s">
        <v>42</v>
      </c>
      <c r="D127" s="2" t="s">
        <v>16</v>
      </c>
      <c r="E127" s="2" t="s">
        <v>27</v>
      </c>
      <c r="F127" s="2" t="s">
        <v>18</v>
      </c>
      <c r="G127" s="4">
        <v>2012</v>
      </c>
      <c r="H127" s="4">
        <v>18005.3</v>
      </c>
      <c r="I127" s="4">
        <v>10367</v>
      </c>
      <c r="J127" s="4">
        <v>7646.6</v>
      </c>
      <c r="K127" s="4">
        <v>7259.1</v>
      </c>
      <c r="L127" s="6">
        <v>40.316462370000004</v>
      </c>
      <c r="M127" s="6">
        <f>Table2[[#This Row],[% of Solo Streams]]/100</f>
        <v>0.40316462370000006</v>
      </c>
      <c r="N127" s="3">
        <v>10746.2</v>
      </c>
      <c r="O127" s="5">
        <v>59.683537629999996</v>
      </c>
      <c r="P127" s="6">
        <f>Table2[[#This Row],[% of Collaborative Streams]]/100</f>
        <v>0.59683537629999994</v>
      </c>
    </row>
    <row r="128" spans="1:16" x14ac:dyDescent="0.3">
      <c r="A128" s="2" t="s">
        <v>187</v>
      </c>
      <c r="B128" s="2" t="s">
        <v>14</v>
      </c>
      <c r="C128" s="2" t="s">
        <v>21</v>
      </c>
      <c r="D128" s="2" t="s">
        <v>16</v>
      </c>
      <c r="E128" s="2" t="s">
        <v>17</v>
      </c>
      <c r="F128" s="2" t="s">
        <v>18</v>
      </c>
      <c r="G128" s="4">
        <v>2009</v>
      </c>
      <c r="H128" s="4">
        <v>17738.8</v>
      </c>
      <c r="I128" s="4">
        <v>11748.1</v>
      </c>
      <c r="J128" s="4">
        <v>5997.1</v>
      </c>
      <c r="K128" s="4">
        <v>7693.4</v>
      </c>
      <c r="L128" s="6">
        <v>43.370464740000003</v>
      </c>
      <c r="M128" s="6">
        <f>Table2[[#This Row],[% of Solo Streams]]/100</f>
        <v>0.43370464740000003</v>
      </c>
      <c r="N128" s="3">
        <v>10045.4</v>
      </c>
      <c r="O128" s="5">
        <v>56.629535259999997</v>
      </c>
      <c r="P128" s="6">
        <f>Table2[[#This Row],[% of Collaborative Streams]]/100</f>
        <v>0.56629535259999997</v>
      </c>
    </row>
    <row r="129" spans="1:16" x14ac:dyDescent="0.3">
      <c r="A129" s="2" t="s">
        <v>188</v>
      </c>
      <c r="B129" s="2" t="s">
        <v>14</v>
      </c>
      <c r="C129" s="2" t="s">
        <v>21</v>
      </c>
      <c r="D129" s="2" t="s">
        <v>16</v>
      </c>
      <c r="E129" s="2" t="s">
        <v>22</v>
      </c>
      <c r="F129" s="2" t="s">
        <v>18</v>
      </c>
      <c r="G129" s="4">
        <v>2009</v>
      </c>
      <c r="H129" s="4">
        <v>17720.2</v>
      </c>
      <c r="I129" s="4">
        <v>13610.1</v>
      </c>
      <c r="J129" s="4">
        <v>4116.2</v>
      </c>
      <c r="K129" s="4">
        <v>8342.7000000000007</v>
      </c>
      <c r="L129" s="6">
        <v>47.080168399999998</v>
      </c>
      <c r="M129" s="6">
        <f>Table2[[#This Row],[% of Solo Streams]]/100</f>
        <v>0.470801684</v>
      </c>
      <c r="N129" s="3">
        <v>9377.5</v>
      </c>
      <c r="O129" s="5">
        <v>52.919831600000002</v>
      </c>
      <c r="P129" s="6">
        <f>Table2[[#This Row],[% of Collaborative Streams]]/100</f>
        <v>0.529198316</v>
      </c>
    </row>
    <row r="130" spans="1:16" x14ac:dyDescent="0.3">
      <c r="A130" s="2" t="s">
        <v>189</v>
      </c>
      <c r="B130" s="2" t="s">
        <v>20</v>
      </c>
      <c r="C130" s="2" t="s">
        <v>45</v>
      </c>
      <c r="D130" s="2" t="s">
        <v>46</v>
      </c>
      <c r="E130" s="2" t="s">
        <v>47</v>
      </c>
      <c r="F130" s="2" t="s">
        <v>48</v>
      </c>
      <c r="G130" s="4">
        <v>2016</v>
      </c>
      <c r="H130" s="4">
        <v>17517.400000000001</v>
      </c>
      <c r="I130" s="4">
        <v>7595.2</v>
      </c>
      <c r="J130" s="4">
        <v>9927.7999999999993</v>
      </c>
      <c r="K130" s="4">
        <v>15415.4</v>
      </c>
      <c r="L130" s="6">
        <v>88.000502359999999</v>
      </c>
      <c r="M130" s="6">
        <f>Table2[[#This Row],[% of Solo Streams]]/100</f>
        <v>0.88000502359999999</v>
      </c>
      <c r="N130" s="3">
        <v>2102</v>
      </c>
      <c r="O130" s="5">
        <v>11.99949764</v>
      </c>
      <c r="P130" s="6">
        <f>Table2[[#This Row],[% of Collaborative Streams]]/100</f>
        <v>0.11999497639999999</v>
      </c>
    </row>
    <row r="131" spans="1:16" x14ac:dyDescent="0.3">
      <c r="A131" s="2" t="s">
        <v>190</v>
      </c>
      <c r="B131" s="2" t="s">
        <v>14</v>
      </c>
      <c r="C131" s="2" t="s">
        <v>21</v>
      </c>
      <c r="D131" s="2" t="s">
        <v>24</v>
      </c>
      <c r="E131" s="2" t="s">
        <v>25</v>
      </c>
      <c r="F131" s="2" t="s">
        <v>18</v>
      </c>
      <c r="G131" s="4">
        <v>2017</v>
      </c>
      <c r="H131" s="4">
        <v>17516.099999999999</v>
      </c>
      <c r="I131" s="4">
        <v>16311.4</v>
      </c>
      <c r="J131" s="4">
        <v>1210.7</v>
      </c>
      <c r="K131" s="4">
        <v>2137.8000000000002</v>
      </c>
      <c r="L131" s="6">
        <v>12.20477161</v>
      </c>
      <c r="M131" s="6">
        <f>Table2[[#This Row],[% of Solo Streams]]/100</f>
        <v>0.12204771609999999</v>
      </c>
      <c r="N131" s="3">
        <v>15378.3</v>
      </c>
      <c r="O131" s="5">
        <v>87.795228390000005</v>
      </c>
      <c r="P131" s="6">
        <f>Table2[[#This Row],[% of Collaborative Streams]]/100</f>
        <v>0.87795228390000002</v>
      </c>
    </row>
    <row r="132" spans="1:16" x14ac:dyDescent="0.3">
      <c r="A132" s="2" t="s">
        <v>191</v>
      </c>
      <c r="B132" s="2" t="s">
        <v>20</v>
      </c>
      <c r="C132" s="2" t="s">
        <v>21</v>
      </c>
      <c r="D132" s="2" t="s">
        <v>16</v>
      </c>
      <c r="E132" s="2" t="s">
        <v>22</v>
      </c>
      <c r="F132" s="2" t="s">
        <v>18</v>
      </c>
      <c r="G132" s="4">
        <v>2014</v>
      </c>
      <c r="H132" s="4">
        <v>17440.2</v>
      </c>
      <c r="I132" s="4">
        <v>5933.3</v>
      </c>
      <c r="J132" s="4">
        <v>11512.1</v>
      </c>
      <c r="K132" s="4">
        <v>2784</v>
      </c>
      <c r="L132" s="6">
        <v>15.963119689999999</v>
      </c>
      <c r="M132" s="6">
        <f>Table2[[#This Row],[% of Solo Streams]]/100</f>
        <v>0.15963119689999999</v>
      </c>
      <c r="N132" s="3">
        <v>14656.2</v>
      </c>
      <c r="O132" s="5">
        <v>84.036880310000001</v>
      </c>
      <c r="P132" s="6">
        <f>Table2[[#This Row],[% of Collaborative Streams]]/100</f>
        <v>0.84036880310000006</v>
      </c>
    </row>
    <row r="133" spans="1:16" x14ac:dyDescent="0.3">
      <c r="A133" s="2" t="s">
        <v>192</v>
      </c>
      <c r="B133" s="2" t="s">
        <v>14</v>
      </c>
      <c r="C133" s="2" t="s">
        <v>59</v>
      </c>
      <c r="D133" s="2" t="s">
        <v>16</v>
      </c>
      <c r="E133" s="2" t="s">
        <v>60</v>
      </c>
      <c r="F133" s="2" t="s">
        <v>48</v>
      </c>
      <c r="G133" s="4">
        <v>1994</v>
      </c>
      <c r="H133" s="4">
        <v>17316.599999999999</v>
      </c>
      <c r="I133" s="4">
        <v>10309.700000000001</v>
      </c>
      <c r="J133" s="4">
        <v>7013.9</v>
      </c>
      <c r="K133" s="4">
        <v>6283</v>
      </c>
      <c r="L133" s="6">
        <v>36.28310407</v>
      </c>
      <c r="M133" s="6">
        <f>Table2[[#This Row],[% of Solo Streams]]/100</f>
        <v>0.3628310407</v>
      </c>
      <c r="N133" s="3">
        <v>11033.6</v>
      </c>
      <c r="O133" s="5">
        <v>63.71689593</v>
      </c>
      <c r="P133" s="6">
        <f>Table2[[#This Row],[% of Collaborative Streams]]/100</f>
        <v>0.63716895929999995</v>
      </c>
    </row>
    <row r="134" spans="1:16" x14ac:dyDescent="0.3">
      <c r="A134" s="2" t="s">
        <v>193</v>
      </c>
      <c r="B134" s="2" t="s">
        <v>14</v>
      </c>
      <c r="C134" s="2" t="s">
        <v>89</v>
      </c>
      <c r="D134" s="2" t="s">
        <v>24</v>
      </c>
      <c r="E134" s="2" t="s">
        <v>82</v>
      </c>
      <c r="F134" s="2" t="s">
        <v>18</v>
      </c>
      <c r="G134" s="4">
        <v>1982</v>
      </c>
      <c r="H134" s="4">
        <v>17314.099999999999</v>
      </c>
      <c r="I134" s="4">
        <v>17301.5</v>
      </c>
      <c r="J134" s="4">
        <v>20</v>
      </c>
      <c r="K134" s="4">
        <v>17281</v>
      </c>
      <c r="L134" s="6">
        <v>99.808826330000002</v>
      </c>
      <c r="M134" s="6">
        <f>Table2[[#This Row],[% of Solo Streams]]/100</f>
        <v>0.9980882633</v>
      </c>
      <c r="N134" s="3">
        <v>33.1</v>
      </c>
      <c r="O134" s="5">
        <v>0.19117366769999999</v>
      </c>
      <c r="P134" s="6">
        <f>Table2[[#This Row],[% of Collaborative Streams]]/100</f>
        <v>1.9117366769999999E-3</v>
      </c>
    </row>
    <row r="135" spans="1:16" x14ac:dyDescent="0.3">
      <c r="A135" s="2" t="s">
        <v>194</v>
      </c>
      <c r="B135" s="2" t="s">
        <v>20</v>
      </c>
      <c r="C135" s="2" t="s">
        <v>21</v>
      </c>
      <c r="D135" s="2" t="s">
        <v>16</v>
      </c>
      <c r="E135" s="2" t="s">
        <v>22</v>
      </c>
      <c r="F135" s="2" t="s">
        <v>18</v>
      </c>
      <c r="G135" s="4">
        <v>2008</v>
      </c>
      <c r="H135" s="4">
        <v>17119.5</v>
      </c>
      <c r="I135" s="4">
        <v>11625.6</v>
      </c>
      <c r="J135" s="4">
        <v>5498.6</v>
      </c>
      <c r="K135" s="4">
        <v>10006</v>
      </c>
      <c r="L135" s="6">
        <v>58.447968690000003</v>
      </c>
      <c r="M135" s="6">
        <f>Table2[[#This Row],[% of Solo Streams]]/100</f>
        <v>0.58447968690000007</v>
      </c>
      <c r="N135" s="3">
        <v>7113.5</v>
      </c>
      <c r="O135" s="5">
        <v>41.552031309999997</v>
      </c>
      <c r="P135" s="6">
        <f>Table2[[#This Row],[% of Collaborative Streams]]/100</f>
        <v>0.41552031309999998</v>
      </c>
    </row>
    <row r="136" spans="1:16" x14ac:dyDescent="0.3">
      <c r="A136" s="2" t="s">
        <v>195</v>
      </c>
      <c r="B136" s="2" t="s">
        <v>14</v>
      </c>
      <c r="C136" s="2" t="s">
        <v>196</v>
      </c>
      <c r="D136" s="2" t="s">
        <v>16</v>
      </c>
      <c r="E136" s="2" t="s">
        <v>27</v>
      </c>
      <c r="F136" s="2" t="s">
        <v>18</v>
      </c>
      <c r="G136" s="4">
        <v>2004</v>
      </c>
      <c r="H136" s="4">
        <v>17056</v>
      </c>
      <c r="I136" s="4">
        <v>8007.4</v>
      </c>
      <c r="J136" s="4">
        <v>9059.5</v>
      </c>
      <c r="K136" s="4">
        <v>4403.1000000000004</v>
      </c>
      <c r="L136" s="6">
        <v>25.81554878</v>
      </c>
      <c r="M136" s="6">
        <f>Table2[[#This Row],[% of Solo Streams]]/100</f>
        <v>0.25815548780000003</v>
      </c>
      <c r="N136" s="3">
        <v>12652.9</v>
      </c>
      <c r="O136" s="5">
        <v>74.18445122</v>
      </c>
      <c r="P136" s="6">
        <f>Table2[[#This Row],[% of Collaborative Streams]]/100</f>
        <v>0.74184451220000003</v>
      </c>
    </row>
    <row r="137" spans="1:16" x14ac:dyDescent="0.3">
      <c r="A137" s="2" t="s">
        <v>197</v>
      </c>
      <c r="B137" s="2" t="s">
        <v>14</v>
      </c>
      <c r="C137" s="2" t="s">
        <v>94</v>
      </c>
      <c r="D137" s="2" t="s">
        <v>16</v>
      </c>
      <c r="E137" s="2" t="s">
        <v>51</v>
      </c>
      <c r="F137" s="2" t="s">
        <v>48</v>
      </c>
      <c r="G137" s="4">
        <v>1975</v>
      </c>
      <c r="H137" s="4">
        <v>17010.5</v>
      </c>
      <c r="I137" s="4">
        <v>17018</v>
      </c>
      <c r="J137" s="4">
        <v>0</v>
      </c>
      <c r="K137" s="4">
        <v>17010.5</v>
      </c>
      <c r="L137" s="6">
        <v>100</v>
      </c>
      <c r="M137" s="6">
        <f>Table2[[#This Row],[% of Solo Streams]]/100</f>
        <v>1</v>
      </c>
      <c r="N137" s="3">
        <v>0</v>
      </c>
      <c r="O137" s="5">
        <v>0</v>
      </c>
      <c r="P137" s="6">
        <f>Table2[[#This Row],[% of Collaborative Streams]]/100</f>
        <v>0</v>
      </c>
    </row>
    <row r="138" spans="1:16" x14ac:dyDescent="0.3">
      <c r="A138" s="2" t="s">
        <v>198</v>
      </c>
      <c r="B138" s="2" t="s">
        <v>14</v>
      </c>
      <c r="C138" s="2" t="s">
        <v>42</v>
      </c>
      <c r="D138" s="2" t="s">
        <v>24</v>
      </c>
      <c r="E138" s="2" t="s">
        <v>82</v>
      </c>
      <c r="F138" s="2" t="s">
        <v>18</v>
      </c>
      <c r="G138" s="4">
        <v>2013</v>
      </c>
      <c r="H138" s="4">
        <v>16984.3</v>
      </c>
      <c r="I138" s="4">
        <v>10969.8</v>
      </c>
      <c r="J138" s="4">
        <v>6018.9</v>
      </c>
      <c r="K138" s="4">
        <v>4419.3</v>
      </c>
      <c r="L138" s="6">
        <v>26.019912510000001</v>
      </c>
      <c r="M138" s="6">
        <f>Table2[[#This Row],[% of Solo Streams]]/100</f>
        <v>0.26019912509999998</v>
      </c>
      <c r="N138" s="3">
        <v>12565</v>
      </c>
      <c r="O138" s="5">
        <v>73.980087490000003</v>
      </c>
      <c r="P138" s="6">
        <f>Table2[[#This Row],[% of Collaborative Streams]]/100</f>
        <v>0.73980087490000002</v>
      </c>
    </row>
    <row r="139" spans="1:16" x14ac:dyDescent="0.3">
      <c r="A139" s="2" t="s">
        <v>199</v>
      </c>
      <c r="B139" s="2" t="s">
        <v>14</v>
      </c>
      <c r="C139" s="2" t="s">
        <v>89</v>
      </c>
      <c r="D139" s="2" t="s">
        <v>24</v>
      </c>
      <c r="E139" s="2" t="s">
        <v>90</v>
      </c>
      <c r="F139" s="2" t="s">
        <v>18</v>
      </c>
      <c r="G139" s="4">
        <v>2010</v>
      </c>
      <c r="H139" s="4">
        <v>16969.400000000001</v>
      </c>
      <c r="I139" s="4">
        <v>10480.799999999999</v>
      </c>
      <c r="J139" s="4">
        <v>6497.7</v>
      </c>
      <c r="K139" s="4">
        <v>7429.1</v>
      </c>
      <c r="L139" s="6">
        <v>43.779391140000001</v>
      </c>
      <c r="M139" s="6">
        <f>Table2[[#This Row],[% of Solo Streams]]/100</f>
        <v>0.43779391140000001</v>
      </c>
      <c r="N139" s="3">
        <v>9540.2999999999993</v>
      </c>
      <c r="O139" s="5">
        <v>56.220608859999999</v>
      </c>
      <c r="P139" s="6">
        <f>Table2[[#This Row],[% of Collaborative Streams]]/100</f>
        <v>0.56220608859999999</v>
      </c>
    </row>
    <row r="140" spans="1:16" x14ac:dyDescent="0.3">
      <c r="A140" s="2" t="s">
        <v>200</v>
      </c>
      <c r="B140" s="2" t="s">
        <v>14</v>
      </c>
      <c r="C140" s="2" t="s">
        <v>160</v>
      </c>
      <c r="D140" s="2" t="s">
        <v>16</v>
      </c>
      <c r="E140" s="2" t="s">
        <v>60</v>
      </c>
      <c r="F140" s="2" t="s">
        <v>18</v>
      </c>
      <c r="G140" s="4">
        <v>2014</v>
      </c>
      <c r="H140" s="4">
        <v>16893.400000000001</v>
      </c>
      <c r="I140" s="4">
        <v>13879.3</v>
      </c>
      <c r="J140" s="4">
        <v>3019.1</v>
      </c>
      <c r="K140" s="4">
        <v>5321.5</v>
      </c>
      <c r="L140" s="6">
        <v>31.50046764</v>
      </c>
      <c r="M140" s="6">
        <f>Table2[[#This Row],[% of Solo Streams]]/100</f>
        <v>0.31500467640000002</v>
      </c>
      <c r="N140" s="3">
        <v>11571.9</v>
      </c>
      <c r="O140" s="5">
        <v>68.499532360000003</v>
      </c>
      <c r="P140" s="6">
        <f>Table2[[#This Row],[% of Collaborative Streams]]/100</f>
        <v>0.68499532360000004</v>
      </c>
    </row>
    <row r="141" spans="1:16" x14ac:dyDescent="0.3">
      <c r="A141" s="2" t="s">
        <v>201</v>
      </c>
      <c r="B141" s="2" t="s">
        <v>14</v>
      </c>
      <c r="C141" s="2" t="s">
        <v>21</v>
      </c>
      <c r="D141" s="2" t="s">
        <v>16</v>
      </c>
      <c r="E141" s="2" t="s">
        <v>17</v>
      </c>
      <c r="F141" s="2" t="s">
        <v>18</v>
      </c>
      <c r="G141" s="4">
        <v>2016</v>
      </c>
      <c r="H141" s="4">
        <v>16877.3</v>
      </c>
      <c r="I141" s="4">
        <v>11425.9</v>
      </c>
      <c r="J141" s="4">
        <v>5455.1</v>
      </c>
      <c r="K141" s="4">
        <v>6395.3</v>
      </c>
      <c r="L141" s="6">
        <v>37.892909410000001</v>
      </c>
      <c r="M141" s="6">
        <f>Table2[[#This Row],[% of Solo Streams]]/100</f>
        <v>0.37892909410000003</v>
      </c>
      <c r="N141" s="3">
        <v>10482</v>
      </c>
      <c r="O141" s="5">
        <v>62.107090589999999</v>
      </c>
      <c r="P141" s="6">
        <f>Table2[[#This Row],[% of Collaborative Streams]]/100</f>
        <v>0.62107090590000003</v>
      </c>
    </row>
    <row r="142" spans="1:16" x14ac:dyDescent="0.3">
      <c r="A142" s="2" t="s">
        <v>202</v>
      </c>
      <c r="B142" s="2" t="s">
        <v>78</v>
      </c>
      <c r="C142" s="2" t="s">
        <v>33</v>
      </c>
      <c r="D142" s="2" t="s">
        <v>16</v>
      </c>
      <c r="E142" s="2" t="s">
        <v>51</v>
      </c>
      <c r="F142" s="2" t="s">
        <v>48</v>
      </c>
      <c r="G142" s="4">
        <v>1967</v>
      </c>
      <c r="H142" s="4">
        <v>16577.5</v>
      </c>
      <c r="I142" s="4">
        <v>16577.5</v>
      </c>
      <c r="J142" s="4">
        <v>0.4</v>
      </c>
      <c r="K142" s="4">
        <v>16567.400000000001</v>
      </c>
      <c r="L142" s="6">
        <v>99.939074050000002</v>
      </c>
      <c r="M142" s="6">
        <f>Table2[[#This Row],[% of Solo Streams]]/100</f>
        <v>0.99939074049999999</v>
      </c>
      <c r="N142" s="3">
        <v>10.1</v>
      </c>
      <c r="O142" s="5">
        <v>6.0925953849999999E-2</v>
      </c>
      <c r="P142" s="6">
        <f>Table2[[#This Row],[% of Collaborative Streams]]/100</f>
        <v>6.0925953850000003E-4</v>
      </c>
    </row>
    <row r="143" spans="1:16" x14ac:dyDescent="0.3">
      <c r="A143" s="2" t="s">
        <v>203</v>
      </c>
      <c r="B143" s="2" t="s">
        <v>14</v>
      </c>
      <c r="C143" s="2" t="s">
        <v>204</v>
      </c>
      <c r="D143" s="2" t="s">
        <v>16</v>
      </c>
      <c r="E143" s="2" t="s">
        <v>51</v>
      </c>
      <c r="F143" s="2" t="s">
        <v>18</v>
      </c>
      <c r="G143" s="4">
        <v>2013</v>
      </c>
      <c r="H143" s="4">
        <v>16556.5</v>
      </c>
      <c r="I143" s="4">
        <v>15920.4</v>
      </c>
      <c r="J143" s="4">
        <v>641.79999999999995</v>
      </c>
      <c r="K143" s="4">
        <v>15519.5</v>
      </c>
      <c r="L143" s="6">
        <v>93.736598920000006</v>
      </c>
      <c r="M143" s="6">
        <f>Table2[[#This Row],[% of Solo Streams]]/100</f>
        <v>0.93736598920000003</v>
      </c>
      <c r="N143" s="3">
        <v>1037</v>
      </c>
      <c r="O143" s="5">
        <v>6.2634010809999996</v>
      </c>
      <c r="P143" s="6">
        <f>Table2[[#This Row],[% of Collaborative Streams]]/100</f>
        <v>6.2634010810000001E-2</v>
      </c>
    </row>
    <row r="144" spans="1:16" x14ac:dyDescent="0.3">
      <c r="A144" s="2" t="s">
        <v>205</v>
      </c>
      <c r="B144" s="2" t="s">
        <v>20</v>
      </c>
      <c r="C144" s="2" t="s">
        <v>33</v>
      </c>
      <c r="D144" s="2" t="s">
        <v>16</v>
      </c>
      <c r="E144" s="2" t="s">
        <v>22</v>
      </c>
      <c r="F144" s="2" t="s">
        <v>18</v>
      </c>
      <c r="G144" s="4">
        <v>2009</v>
      </c>
      <c r="H144" s="4">
        <v>16553.3</v>
      </c>
      <c r="I144" s="4">
        <v>11362.1</v>
      </c>
      <c r="J144" s="4">
        <v>5197.6000000000004</v>
      </c>
      <c r="K144" s="4">
        <v>8685.9</v>
      </c>
      <c r="L144" s="6">
        <v>52.4723167</v>
      </c>
      <c r="M144" s="6">
        <f>Table2[[#This Row],[% of Solo Streams]]/100</f>
        <v>0.52472316699999999</v>
      </c>
      <c r="N144" s="3">
        <v>7867.4</v>
      </c>
      <c r="O144" s="5">
        <v>47.5276833</v>
      </c>
      <c r="P144" s="6">
        <f>Table2[[#This Row],[% of Collaborative Streams]]/100</f>
        <v>0.47527683300000001</v>
      </c>
    </row>
    <row r="145" spans="1:16" x14ac:dyDescent="0.3">
      <c r="A145" s="2" t="s">
        <v>206</v>
      </c>
      <c r="B145" s="2" t="s">
        <v>14</v>
      </c>
      <c r="C145" s="2" t="s">
        <v>33</v>
      </c>
      <c r="D145" s="2" t="s">
        <v>16</v>
      </c>
      <c r="E145" s="2" t="s">
        <v>51</v>
      </c>
      <c r="F145" s="2" t="s">
        <v>48</v>
      </c>
      <c r="G145" s="4">
        <v>1992</v>
      </c>
      <c r="H145" s="4">
        <v>16454.900000000001</v>
      </c>
      <c r="I145" s="4">
        <v>16461.5</v>
      </c>
      <c r="J145" s="4">
        <v>3</v>
      </c>
      <c r="K145" s="4">
        <v>16382.5</v>
      </c>
      <c r="L145" s="6">
        <v>99.560009480000005</v>
      </c>
      <c r="M145" s="6">
        <f>Table2[[#This Row],[% of Solo Streams]]/100</f>
        <v>0.9956000948</v>
      </c>
      <c r="N145" s="3">
        <v>72.400000000000006</v>
      </c>
      <c r="O145" s="5">
        <v>0.43999051950000001</v>
      </c>
      <c r="P145" s="6">
        <f>Table2[[#This Row],[% of Collaborative Streams]]/100</f>
        <v>4.3999051950000005E-3</v>
      </c>
    </row>
    <row r="146" spans="1:16" x14ac:dyDescent="0.3">
      <c r="A146" s="2" t="s">
        <v>207</v>
      </c>
      <c r="B146" s="2" t="s">
        <v>14</v>
      </c>
      <c r="C146" s="2" t="s">
        <v>21</v>
      </c>
      <c r="D146" s="2" t="s">
        <v>16</v>
      </c>
      <c r="E146" s="2" t="s">
        <v>17</v>
      </c>
      <c r="F146" s="2" t="s">
        <v>18</v>
      </c>
      <c r="G146" s="4">
        <v>2007</v>
      </c>
      <c r="H146" s="4">
        <v>16428.900000000001</v>
      </c>
      <c r="I146" s="4">
        <v>12009.4</v>
      </c>
      <c r="J146" s="4">
        <v>4364.5</v>
      </c>
      <c r="K146" s="4">
        <v>2139</v>
      </c>
      <c r="L146" s="6">
        <v>13.01973961</v>
      </c>
      <c r="M146" s="6">
        <f>Table2[[#This Row],[% of Solo Streams]]/100</f>
        <v>0.1301973961</v>
      </c>
      <c r="N146" s="3">
        <v>14289.9</v>
      </c>
      <c r="O146" s="5">
        <v>86.980260389999998</v>
      </c>
      <c r="P146" s="6">
        <f>Table2[[#This Row],[% of Collaborative Streams]]/100</f>
        <v>0.86980260389999997</v>
      </c>
    </row>
    <row r="147" spans="1:16" x14ac:dyDescent="0.3">
      <c r="A147" s="2" t="s">
        <v>208</v>
      </c>
      <c r="B147" s="2" t="s">
        <v>14</v>
      </c>
      <c r="C147" s="2" t="s">
        <v>21</v>
      </c>
      <c r="D147" s="2" t="s">
        <v>16</v>
      </c>
      <c r="E147" s="2" t="s">
        <v>17</v>
      </c>
      <c r="F147" s="2" t="s">
        <v>18</v>
      </c>
      <c r="G147" s="4">
        <v>2007</v>
      </c>
      <c r="H147" s="4">
        <v>16366.1</v>
      </c>
      <c r="I147" s="4">
        <v>14784.2</v>
      </c>
      <c r="J147" s="4">
        <v>1492.7</v>
      </c>
      <c r="K147" s="4">
        <v>4359.8</v>
      </c>
      <c r="L147" s="6">
        <v>26.639211540000002</v>
      </c>
      <c r="M147" s="6">
        <f>Table2[[#This Row],[% of Solo Streams]]/100</f>
        <v>0.26639211540000002</v>
      </c>
      <c r="N147" s="3">
        <v>12006.3</v>
      </c>
      <c r="O147" s="5">
        <v>73.360788459999995</v>
      </c>
      <c r="P147" s="6">
        <f>Table2[[#This Row],[% of Collaborative Streams]]/100</f>
        <v>0.73360788459999993</v>
      </c>
    </row>
    <row r="148" spans="1:16" x14ac:dyDescent="0.3">
      <c r="A148" s="2" t="s">
        <v>209</v>
      </c>
      <c r="B148" s="2" t="s">
        <v>20</v>
      </c>
      <c r="C148" s="2" t="s">
        <v>21</v>
      </c>
      <c r="D148" s="2" t="s">
        <v>16</v>
      </c>
      <c r="E148" s="2" t="s">
        <v>22</v>
      </c>
      <c r="F148" s="2" t="s">
        <v>18</v>
      </c>
      <c r="G148" s="4">
        <v>2000</v>
      </c>
      <c r="H148" s="4">
        <v>16271.6</v>
      </c>
      <c r="I148" s="4">
        <v>7125.4</v>
      </c>
      <c r="J148" s="4">
        <v>9125</v>
      </c>
      <c r="K148" s="4">
        <v>11023</v>
      </c>
      <c r="L148" s="6">
        <v>67.743799010000004</v>
      </c>
      <c r="M148" s="6">
        <f>Table2[[#This Row],[% of Solo Streams]]/100</f>
        <v>0.67743799010000005</v>
      </c>
      <c r="N148" s="3">
        <v>5248.6</v>
      </c>
      <c r="O148" s="5">
        <v>32.256200990000004</v>
      </c>
      <c r="P148" s="6">
        <f>Table2[[#This Row],[% of Collaborative Streams]]/100</f>
        <v>0.32256200990000006</v>
      </c>
    </row>
    <row r="149" spans="1:16" x14ac:dyDescent="0.3">
      <c r="A149" s="2" t="s">
        <v>210</v>
      </c>
      <c r="B149" s="2" t="s">
        <v>14</v>
      </c>
      <c r="C149" s="2" t="s">
        <v>21</v>
      </c>
      <c r="D149" s="2" t="s">
        <v>16</v>
      </c>
      <c r="E149" s="2" t="s">
        <v>51</v>
      </c>
      <c r="F149" s="2" t="s">
        <v>48</v>
      </c>
      <c r="G149" s="4">
        <v>1989</v>
      </c>
      <c r="H149" s="4">
        <v>16228.7</v>
      </c>
      <c r="I149" s="4">
        <v>16236</v>
      </c>
      <c r="J149" s="4">
        <v>0</v>
      </c>
      <c r="K149" s="4">
        <v>16228.7</v>
      </c>
      <c r="L149" s="6">
        <v>100</v>
      </c>
      <c r="M149" s="6">
        <f>Table2[[#This Row],[% of Solo Streams]]/100</f>
        <v>1</v>
      </c>
      <c r="N149" s="3">
        <v>0</v>
      </c>
      <c r="O149" s="5">
        <v>0</v>
      </c>
      <c r="P149" s="6">
        <f>Table2[[#This Row],[% of Collaborative Streams]]/100</f>
        <v>0</v>
      </c>
    </row>
    <row r="150" spans="1:16" x14ac:dyDescent="0.3">
      <c r="A150" s="2" t="s">
        <v>211</v>
      </c>
      <c r="B150" s="2" t="s">
        <v>14</v>
      </c>
      <c r="C150" s="2" t="s">
        <v>21</v>
      </c>
      <c r="D150" s="2" t="s">
        <v>16</v>
      </c>
      <c r="E150" s="2" t="s">
        <v>17</v>
      </c>
      <c r="F150" s="2" t="s">
        <v>18</v>
      </c>
      <c r="G150" s="4">
        <v>2018</v>
      </c>
      <c r="H150" s="4">
        <v>16217.4</v>
      </c>
      <c r="I150" s="4">
        <v>14631.5</v>
      </c>
      <c r="J150" s="4">
        <v>1588.4</v>
      </c>
      <c r="K150" s="4">
        <v>7841.6</v>
      </c>
      <c r="L150" s="6">
        <v>48.353003559999998</v>
      </c>
      <c r="M150" s="6">
        <f>Table2[[#This Row],[% of Solo Streams]]/100</f>
        <v>0.48353003559999996</v>
      </c>
      <c r="N150" s="3">
        <v>8375.7999999999993</v>
      </c>
      <c r="O150" s="5">
        <v>51.646996440000002</v>
      </c>
      <c r="P150" s="6">
        <f>Table2[[#This Row],[% of Collaborative Streams]]/100</f>
        <v>0.51646996440000004</v>
      </c>
    </row>
    <row r="151" spans="1:16" x14ac:dyDescent="0.3">
      <c r="A151" s="2" t="s">
        <v>212</v>
      </c>
      <c r="B151" s="2" t="s">
        <v>20</v>
      </c>
      <c r="C151" s="2" t="s">
        <v>21</v>
      </c>
      <c r="D151" s="2" t="s">
        <v>16</v>
      </c>
      <c r="E151" s="2" t="s">
        <v>22</v>
      </c>
      <c r="F151" s="2" t="s">
        <v>18</v>
      </c>
      <c r="G151" s="4">
        <v>1998</v>
      </c>
      <c r="H151" s="4">
        <v>16148.3</v>
      </c>
      <c r="I151" s="4">
        <v>14108.3</v>
      </c>
      <c r="J151" s="4">
        <v>2048.1</v>
      </c>
      <c r="K151" s="4">
        <v>13480.8</v>
      </c>
      <c r="L151" s="6">
        <v>83.481233320000001</v>
      </c>
      <c r="M151" s="6">
        <f>Table2[[#This Row],[% of Solo Streams]]/100</f>
        <v>0.83481233320000003</v>
      </c>
      <c r="N151" s="3">
        <v>2667.5</v>
      </c>
      <c r="O151" s="5">
        <v>16.518766679999999</v>
      </c>
      <c r="P151" s="6">
        <f>Table2[[#This Row],[% of Collaborative Streams]]/100</f>
        <v>0.16518766679999999</v>
      </c>
    </row>
    <row r="152" spans="1:16" x14ac:dyDescent="0.3">
      <c r="A152" s="2" t="s">
        <v>213</v>
      </c>
      <c r="B152" s="2" t="s">
        <v>14</v>
      </c>
      <c r="C152" s="2" t="s">
        <v>33</v>
      </c>
      <c r="D152" s="2" t="s">
        <v>16</v>
      </c>
      <c r="E152" s="2" t="s">
        <v>22</v>
      </c>
      <c r="F152" s="2" t="s">
        <v>18</v>
      </c>
      <c r="G152" s="4">
        <v>2012</v>
      </c>
      <c r="H152" s="4">
        <v>16111.6</v>
      </c>
      <c r="I152" s="4">
        <v>14817.7</v>
      </c>
      <c r="J152" s="4">
        <v>1297.5999999999999</v>
      </c>
      <c r="K152" s="4">
        <v>12881.3</v>
      </c>
      <c r="L152" s="6">
        <v>79.950470469999999</v>
      </c>
      <c r="M152" s="6">
        <f>Table2[[#This Row],[% of Solo Streams]]/100</f>
        <v>0.79950470470000001</v>
      </c>
      <c r="N152" s="3">
        <v>3230.3</v>
      </c>
      <c r="O152" s="5">
        <v>20.049529530000001</v>
      </c>
      <c r="P152" s="6">
        <f>Table2[[#This Row],[% of Collaborative Streams]]/100</f>
        <v>0.20049529530000001</v>
      </c>
    </row>
    <row r="153" spans="1:16" x14ac:dyDescent="0.3">
      <c r="A153" s="2" t="s">
        <v>214</v>
      </c>
      <c r="B153" s="2" t="s">
        <v>14</v>
      </c>
      <c r="C153" s="2" t="s">
        <v>15</v>
      </c>
      <c r="D153" s="2" t="s">
        <v>16</v>
      </c>
      <c r="E153" s="2" t="s">
        <v>17</v>
      </c>
      <c r="F153" s="2" t="s">
        <v>18</v>
      </c>
      <c r="G153" s="4">
        <v>2009</v>
      </c>
      <c r="H153" s="4">
        <v>16021.1</v>
      </c>
      <c r="I153" s="4">
        <v>11602.1</v>
      </c>
      <c r="J153" s="4">
        <v>4424.8</v>
      </c>
      <c r="K153" s="4">
        <v>8229.4</v>
      </c>
      <c r="L153" s="6">
        <v>51.366011069999999</v>
      </c>
      <c r="M153" s="6">
        <f>Table2[[#This Row],[% of Solo Streams]]/100</f>
        <v>0.51366011069999995</v>
      </c>
      <c r="N153" s="3">
        <v>7791.7</v>
      </c>
      <c r="O153" s="5">
        <v>48.633988930000001</v>
      </c>
      <c r="P153" s="6">
        <f>Table2[[#This Row],[% of Collaborative Streams]]/100</f>
        <v>0.48633988929999999</v>
      </c>
    </row>
    <row r="154" spans="1:16" x14ac:dyDescent="0.3">
      <c r="A154" s="2" t="s">
        <v>215</v>
      </c>
      <c r="B154" s="2" t="s">
        <v>14</v>
      </c>
      <c r="C154" s="2" t="s">
        <v>21</v>
      </c>
      <c r="D154" s="2" t="s">
        <v>16</v>
      </c>
      <c r="E154" s="2" t="s">
        <v>17</v>
      </c>
      <c r="F154" s="2" t="s">
        <v>18</v>
      </c>
      <c r="G154" s="4">
        <v>2006</v>
      </c>
      <c r="H154" s="4">
        <v>15952.2</v>
      </c>
      <c r="I154" s="4">
        <v>4000.7</v>
      </c>
      <c r="J154" s="4">
        <v>11957.2</v>
      </c>
      <c r="K154" s="4">
        <v>2951.3</v>
      </c>
      <c r="L154" s="6">
        <v>18.500896430000001</v>
      </c>
      <c r="M154" s="6">
        <f>Table2[[#This Row],[% of Solo Streams]]/100</f>
        <v>0.18500896430000002</v>
      </c>
      <c r="N154" s="3">
        <v>13000.9</v>
      </c>
      <c r="O154" s="5">
        <v>81.499103570000003</v>
      </c>
      <c r="P154" s="6">
        <f>Table2[[#This Row],[% of Collaborative Streams]]/100</f>
        <v>0.81499103569999998</v>
      </c>
    </row>
    <row r="155" spans="1:16" x14ac:dyDescent="0.3">
      <c r="A155" s="2" t="s">
        <v>216</v>
      </c>
      <c r="B155" s="2" t="s">
        <v>14</v>
      </c>
      <c r="C155" s="2" t="s">
        <v>59</v>
      </c>
      <c r="D155" s="2" t="s">
        <v>16</v>
      </c>
      <c r="E155" s="2" t="s">
        <v>60</v>
      </c>
      <c r="F155" s="2" t="s">
        <v>18</v>
      </c>
      <c r="G155" s="4">
        <v>2013</v>
      </c>
      <c r="H155" s="4">
        <v>15921.1</v>
      </c>
      <c r="I155" s="4">
        <v>12030.1</v>
      </c>
      <c r="J155" s="4">
        <v>3896.3</v>
      </c>
      <c r="K155" s="4">
        <v>527.5</v>
      </c>
      <c r="L155" s="6">
        <v>3.3132132830000001</v>
      </c>
      <c r="M155" s="6">
        <f>Table2[[#This Row],[% of Solo Streams]]/100</f>
        <v>3.3132132830000001E-2</v>
      </c>
      <c r="N155" s="3">
        <v>15393.6</v>
      </c>
      <c r="O155" s="5">
        <v>96.686786720000001</v>
      </c>
      <c r="P155" s="6">
        <f>Table2[[#This Row],[% of Collaborative Streams]]/100</f>
        <v>0.96686786719999995</v>
      </c>
    </row>
    <row r="156" spans="1:16" x14ac:dyDescent="0.3">
      <c r="A156" s="2" t="s">
        <v>217</v>
      </c>
      <c r="B156" s="2" t="s">
        <v>14</v>
      </c>
      <c r="C156" s="2" t="s">
        <v>15</v>
      </c>
      <c r="D156" s="2" t="s">
        <v>16</v>
      </c>
      <c r="E156" s="2" t="s">
        <v>27</v>
      </c>
      <c r="F156" s="2" t="s">
        <v>18</v>
      </c>
      <c r="G156" s="4">
        <v>2014</v>
      </c>
      <c r="H156" s="4">
        <v>15876.2</v>
      </c>
      <c r="I156" s="4">
        <v>12905.1</v>
      </c>
      <c r="J156" s="4">
        <v>2982.4</v>
      </c>
      <c r="K156" s="4">
        <v>7353.2</v>
      </c>
      <c r="L156" s="6">
        <v>46.315869040000003</v>
      </c>
      <c r="M156" s="6">
        <f>Table2[[#This Row],[% of Solo Streams]]/100</f>
        <v>0.46315869040000002</v>
      </c>
      <c r="N156" s="3">
        <v>8523</v>
      </c>
      <c r="O156" s="5">
        <v>53.684130959999997</v>
      </c>
      <c r="P156" s="6">
        <f>Table2[[#This Row],[% of Collaborative Streams]]/100</f>
        <v>0.53684130959999998</v>
      </c>
    </row>
    <row r="157" spans="1:16" x14ac:dyDescent="0.3">
      <c r="A157" s="2" t="s">
        <v>218</v>
      </c>
      <c r="B157" s="2" t="s">
        <v>78</v>
      </c>
      <c r="C157" s="2" t="s">
        <v>21</v>
      </c>
      <c r="D157" s="2" t="s">
        <v>16</v>
      </c>
      <c r="E157" s="2" t="s">
        <v>17</v>
      </c>
      <c r="F157" s="2" t="s">
        <v>48</v>
      </c>
      <c r="G157" s="4">
        <v>1998</v>
      </c>
      <c r="H157" s="4">
        <v>15775.7</v>
      </c>
      <c r="I157" s="4">
        <v>15257.4</v>
      </c>
      <c r="J157" s="4">
        <v>527.70000000000005</v>
      </c>
      <c r="K157" s="4">
        <v>11623</v>
      </c>
      <c r="L157" s="6">
        <v>73.676603889999996</v>
      </c>
      <c r="M157" s="6">
        <f>Table2[[#This Row],[% of Solo Streams]]/100</f>
        <v>0.73676603889999992</v>
      </c>
      <c r="N157" s="3">
        <v>4152.7</v>
      </c>
      <c r="O157" s="5">
        <v>26.323396110000001</v>
      </c>
      <c r="P157" s="6">
        <f>Table2[[#This Row],[% of Collaborative Streams]]/100</f>
        <v>0.26323396110000002</v>
      </c>
    </row>
    <row r="158" spans="1:16" x14ac:dyDescent="0.3">
      <c r="A158" s="2" t="s">
        <v>219</v>
      </c>
      <c r="B158" s="2" t="s">
        <v>14</v>
      </c>
      <c r="C158" s="2" t="s">
        <v>21</v>
      </c>
      <c r="D158" s="2" t="s">
        <v>16</v>
      </c>
      <c r="E158" s="2" t="s">
        <v>17</v>
      </c>
      <c r="F158" s="2" t="s">
        <v>18</v>
      </c>
      <c r="G158" s="4">
        <v>2010</v>
      </c>
      <c r="H158" s="4">
        <v>15746</v>
      </c>
      <c r="I158" s="4">
        <v>502.4</v>
      </c>
      <c r="J158" s="4">
        <v>15243.6</v>
      </c>
      <c r="K158" s="4">
        <v>142.80000000000001</v>
      </c>
      <c r="L158" s="6">
        <v>0.90689698969999999</v>
      </c>
      <c r="M158" s="6">
        <f>Table2[[#This Row],[% of Solo Streams]]/100</f>
        <v>9.068969897E-3</v>
      </c>
      <c r="N158" s="3">
        <v>15603.2</v>
      </c>
      <c r="O158" s="5">
        <v>99.093103009999993</v>
      </c>
      <c r="P158" s="6">
        <f>Table2[[#This Row],[% of Collaborative Streams]]/100</f>
        <v>0.99093103009999994</v>
      </c>
    </row>
    <row r="159" spans="1:16" x14ac:dyDescent="0.3">
      <c r="A159" s="2" t="s">
        <v>220</v>
      </c>
      <c r="B159" s="2" t="s">
        <v>20</v>
      </c>
      <c r="C159" s="2" t="s">
        <v>71</v>
      </c>
      <c r="D159" s="2" t="s">
        <v>72</v>
      </c>
      <c r="E159" s="2" t="s">
        <v>73</v>
      </c>
      <c r="F159" s="2" t="s">
        <v>18</v>
      </c>
      <c r="G159" s="4">
        <v>2002</v>
      </c>
      <c r="H159" s="4">
        <v>15723</v>
      </c>
      <c r="I159" s="4">
        <v>2035.3</v>
      </c>
      <c r="J159" s="4">
        <v>13703.9</v>
      </c>
      <c r="K159" s="4">
        <v>690.5</v>
      </c>
      <c r="L159" s="6">
        <v>4.391655536</v>
      </c>
      <c r="M159" s="6">
        <f>Table2[[#This Row],[% of Solo Streams]]/100</f>
        <v>4.3916555359999998E-2</v>
      </c>
      <c r="N159" s="3">
        <v>15032.5</v>
      </c>
      <c r="O159" s="5">
        <v>95.608344459999998</v>
      </c>
      <c r="P159" s="6">
        <f>Table2[[#This Row],[% of Collaborative Streams]]/100</f>
        <v>0.95608344459999994</v>
      </c>
    </row>
    <row r="160" spans="1:16" x14ac:dyDescent="0.3">
      <c r="A160" s="2" t="s">
        <v>221</v>
      </c>
      <c r="B160" s="2" t="s">
        <v>14</v>
      </c>
      <c r="C160" s="2" t="s">
        <v>222</v>
      </c>
      <c r="D160" s="2" t="s">
        <v>24</v>
      </c>
      <c r="E160" s="2" t="s">
        <v>17</v>
      </c>
      <c r="F160" s="2" t="s">
        <v>18</v>
      </c>
      <c r="G160" s="4">
        <v>2016</v>
      </c>
      <c r="H160" s="4">
        <v>15684.7</v>
      </c>
      <c r="I160" s="4">
        <v>7885.7</v>
      </c>
      <c r="J160" s="4">
        <v>7799</v>
      </c>
      <c r="K160" s="4">
        <v>3430.6</v>
      </c>
      <c r="L160" s="6">
        <v>21.87227043</v>
      </c>
      <c r="M160" s="6">
        <f>Table2[[#This Row],[% of Solo Streams]]/100</f>
        <v>0.21872270430000001</v>
      </c>
      <c r="N160" s="3">
        <v>12254.1</v>
      </c>
      <c r="O160" s="5">
        <v>78.12772957</v>
      </c>
      <c r="P160" s="6">
        <f>Table2[[#This Row],[% of Collaborative Streams]]/100</f>
        <v>0.78127729570000004</v>
      </c>
    </row>
    <row r="161" spans="1:16" x14ac:dyDescent="0.3">
      <c r="A161" s="2" t="s">
        <v>223</v>
      </c>
      <c r="B161" s="2" t="s">
        <v>14</v>
      </c>
      <c r="C161" s="2" t="s">
        <v>222</v>
      </c>
      <c r="D161" s="2" t="s">
        <v>24</v>
      </c>
      <c r="E161" s="2" t="s">
        <v>82</v>
      </c>
      <c r="F161" s="2" t="s">
        <v>18</v>
      </c>
      <c r="G161" s="4">
        <v>2017</v>
      </c>
      <c r="H161" s="4">
        <v>15638.8</v>
      </c>
      <c r="I161" s="4">
        <v>13216.1</v>
      </c>
      <c r="J161" s="4">
        <v>2427.1999999999998</v>
      </c>
      <c r="K161" s="4">
        <v>84.5</v>
      </c>
      <c r="L161" s="6">
        <v>0.54032278690000002</v>
      </c>
      <c r="M161" s="6">
        <f>Table2[[#This Row],[% of Solo Streams]]/100</f>
        <v>5.4032278690000005E-3</v>
      </c>
      <c r="N161" s="3">
        <v>15554.3</v>
      </c>
      <c r="O161" s="5">
        <v>99.459677209999995</v>
      </c>
      <c r="P161" s="6">
        <f>Table2[[#This Row],[% of Collaborative Streams]]/100</f>
        <v>0.99459677209999997</v>
      </c>
    </row>
    <row r="162" spans="1:16" x14ac:dyDescent="0.3">
      <c r="A162" s="2" t="s">
        <v>224</v>
      </c>
      <c r="B162" s="2" t="s">
        <v>14</v>
      </c>
      <c r="C162" s="2" t="s">
        <v>21</v>
      </c>
      <c r="D162" s="2" t="s">
        <v>16</v>
      </c>
      <c r="E162" s="2" t="s">
        <v>17</v>
      </c>
      <c r="F162" s="2" t="s">
        <v>48</v>
      </c>
      <c r="G162" s="4">
        <v>2013</v>
      </c>
      <c r="H162" s="4">
        <v>15562.1</v>
      </c>
      <c r="I162" s="4">
        <v>13694</v>
      </c>
      <c r="J162" s="4">
        <v>1874.1</v>
      </c>
      <c r="K162" s="4">
        <v>4814.8999999999996</v>
      </c>
      <c r="L162" s="6">
        <v>30.939911710000001</v>
      </c>
      <c r="M162" s="6">
        <f>Table2[[#This Row],[% of Solo Streams]]/100</f>
        <v>0.30939911710000001</v>
      </c>
      <c r="N162" s="3">
        <v>10747.2</v>
      </c>
      <c r="O162" s="5">
        <v>69.060088289999996</v>
      </c>
      <c r="P162" s="6">
        <f>Table2[[#This Row],[% of Collaborative Streams]]/100</f>
        <v>0.69060088289999999</v>
      </c>
    </row>
    <row r="163" spans="1:16" x14ac:dyDescent="0.3">
      <c r="A163" s="2" t="s">
        <v>225</v>
      </c>
      <c r="B163" s="2" t="s">
        <v>14</v>
      </c>
      <c r="C163" s="2" t="s">
        <v>94</v>
      </c>
      <c r="D163" s="2" t="s">
        <v>16</v>
      </c>
      <c r="E163" s="2" t="s">
        <v>17</v>
      </c>
      <c r="F163" s="2" t="s">
        <v>18</v>
      </c>
      <c r="G163" s="4">
        <v>2018</v>
      </c>
      <c r="H163" s="4">
        <v>15561.7</v>
      </c>
      <c r="I163" s="4">
        <v>10487.9</v>
      </c>
      <c r="J163" s="4">
        <v>5077.6000000000004</v>
      </c>
      <c r="K163" s="4">
        <v>6776.1</v>
      </c>
      <c r="L163" s="6">
        <v>43.543443199999999</v>
      </c>
      <c r="M163" s="6">
        <f>Table2[[#This Row],[% of Solo Streams]]/100</f>
        <v>0.43543443199999998</v>
      </c>
      <c r="N163" s="3">
        <v>8785.6</v>
      </c>
      <c r="O163" s="5">
        <v>56.456556800000001</v>
      </c>
      <c r="P163" s="6">
        <f>Table2[[#This Row],[% of Collaborative Streams]]/100</f>
        <v>0.56456556800000002</v>
      </c>
    </row>
    <row r="164" spans="1:16" x14ac:dyDescent="0.3">
      <c r="A164" s="2" t="s">
        <v>226</v>
      </c>
      <c r="B164" s="2" t="s">
        <v>20</v>
      </c>
      <c r="C164" s="2" t="s">
        <v>166</v>
      </c>
      <c r="D164" s="2" t="s">
        <v>167</v>
      </c>
      <c r="E164" s="2" t="s">
        <v>168</v>
      </c>
      <c r="F164" s="2" t="s">
        <v>18</v>
      </c>
      <c r="G164" s="4">
        <v>2011</v>
      </c>
      <c r="H164" s="4">
        <v>15528.2</v>
      </c>
      <c r="I164" s="4">
        <v>7743.7</v>
      </c>
      <c r="J164" s="4">
        <v>7783.6</v>
      </c>
      <c r="K164" s="4">
        <v>7736.5</v>
      </c>
      <c r="L164" s="6">
        <v>49.822258859999998</v>
      </c>
      <c r="M164" s="6">
        <f>Table2[[#This Row],[% of Solo Streams]]/100</f>
        <v>0.49822258859999996</v>
      </c>
      <c r="N164" s="3">
        <v>7791.7</v>
      </c>
      <c r="O164" s="5">
        <v>50.177741140000002</v>
      </c>
      <c r="P164" s="6">
        <f>Table2[[#This Row],[% of Collaborative Streams]]/100</f>
        <v>0.50177741139999998</v>
      </c>
    </row>
    <row r="165" spans="1:16" x14ac:dyDescent="0.3">
      <c r="A165" s="2" t="s">
        <v>227</v>
      </c>
      <c r="B165" s="2" t="s">
        <v>20</v>
      </c>
      <c r="C165" s="2" t="s">
        <v>166</v>
      </c>
      <c r="D165" s="2" t="s">
        <v>167</v>
      </c>
      <c r="E165" s="2" t="s">
        <v>22</v>
      </c>
      <c r="F165" s="2" t="s">
        <v>18</v>
      </c>
      <c r="G165" s="4">
        <v>2012</v>
      </c>
      <c r="H165" s="4">
        <v>15525.6</v>
      </c>
      <c r="I165" s="4">
        <v>11131.7</v>
      </c>
      <c r="J165" s="4">
        <v>4374.8</v>
      </c>
      <c r="K165" s="4">
        <v>3212</v>
      </c>
      <c r="L165" s="6">
        <v>20.6884114</v>
      </c>
      <c r="M165" s="6">
        <f>Table2[[#This Row],[% of Solo Streams]]/100</f>
        <v>0.20688411400000001</v>
      </c>
      <c r="N165" s="3">
        <v>12313.6</v>
      </c>
      <c r="O165" s="5">
        <v>79.311588599999993</v>
      </c>
      <c r="P165" s="6">
        <f>Table2[[#This Row],[% of Collaborative Streams]]/100</f>
        <v>0.79311588599999994</v>
      </c>
    </row>
    <row r="166" spans="1:16" x14ac:dyDescent="0.3">
      <c r="A166" s="2" t="s">
        <v>228</v>
      </c>
      <c r="B166" s="2" t="s">
        <v>14</v>
      </c>
      <c r="C166" s="2" t="s">
        <v>21</v>
      </c>
      <c r="D166" s="2" t="s">
        <v>16</v>
      </c>
      <c r="E166" s="2" t="s">
        <v>51</v>
      </c>
      <c r="F166" s="2" t="s">
        <v>48</v>
      </c>
      <c r="G166" s="4">
        <v>1990</v>
      </c>
      <c r="H166" s="4">
        <v>15453.3</v>
      </c>
      <c r="I166" s="4">
        <v>15342.6</v>
      </c>
      <c r="J166" s="4">
        <v>118.3</v>
      </c>
      <c r="K166" s="4">
        <v>15333.7</v>
      </c>
      <c r="L166" s="6">
        <v>99.226055279999997</v>
      </c>
      <c r="M166" s="6">
        <f>Table2[[#This Row],[% of Solo Streams]]/100</f>
        <v>0.99226055279999992</v>
      </c>
      <c r="N166" s="3">
        <v>119.6</v>
      </c>
      <c r="O166" s="5">
        <v>0.77394472380000001</v>
      </c>
      <c r="P166" s="6">
        <f>Table2[[#This Row],[% of Collaborative Streams]]/100</f>
        <v>7.7394472379999999E-3</v>
      </c>
    </row>
    <row r="167" spans="1:16" x14ac:dyDescent="0.3">
      <c r="A167" s="2" t="s">
        <v>229</v>
      </c>
      <c r="B167" s="2" t="s">
        <v>14</v>
      </c>
      <c r="C167" s="2" t="s">
        <v>21</v>
      </c>
      <c r="D167" s="2" t="s">
        <v>16</v>
      </c>
      <c r="E167" s="2" t="s">
        <v>17</v>
      </c>
      <c r="F167" s="2" t="s">
        <v>18</v>
      </c>
      <c r="G167" s="4">
        <v>2011</v>
      </c>
      <c r="H167" s="4">
        <v>15329.4</v>
      </c>
      <c r="I167" s="4">
        <v>6848.7</v>
      </c>
      <c r="J167" s="4">
        <v>8480.7000000000007</v>
      </c>
      <c r="K167" s="4">
        <v>2898.8</v>
      </c>
      <c r="L167" s="6">
        <v>18.91006823</v>
      </c>
      <c r="M167" s="6">
        <f>Table2[[#This Row],[% of Solo Streams]]/100</f>
        <v>0.18910068229999999</v>
      </c>
      <c r="N167" s="3">
        <v>12430.6</v>
      </c>
      <c r="O167" s="5">
        <v>81.089931770000007</v>
      </c>
      <c r="P167" s="6">
        <f>Table2[[#This Row],[% of Collaborative Streams]]/100</f>
        <v>0.81089931770000012</v>
      </c>
    </row>
    <row r="168" spans="1:16" x14ac:dyDescent="0.3">
      <c r="A168" s="2" t="s">
        <v>230</v>
      </c>
      <c r="B168" s="2" t="s">
        <v>14</v>
      </c>
      <c r="C168" s="2" t="s">
        <v>21</v>
      </c>
      <c r="D168" s="2" t="s">
        <v>16</v>
      </c>
      <c r="E168" s="2" t="s">
        <v>17</v>
      </c>
      <c r="F168" s="2" t="s">
        <v>18</v>
      </c>
      <c r="G168" s="4">
        <v>2017</v>
      </c>
      <c r="H168" s="4">
        <v>15252.2</v>
      </c>
      <c r="I168" s="4">
        <v>13192.5</v>
      </c>
      <c r="J168" s="4">
        <v>2067.1</v>
      </c>
      <c r="K168" s="4">
        <v>7139.4</v>
      </c>
      <c r="L168" s="6">
        <v>46.808984930000001</v>
      </c>
      <c r="M168" s="6">
        <f>Table2[[#This Row],[% of Solo Streams]]/100</f>
        <v>0.46808984930000003</v>
      </c>
      <c r="N168" s="3">
        <v>8112.8</v>
      </c>
      <c r="O168" s="5">
        <v>53.191015069999999</v>
      </c>
      <c r="P168" s="6">
        <f>Table2[[#This Row],[% of Collaborative Streams]]/100</f>
        <v>0.53191015070000003</v>
      </c>
    </row>
    <row r="169" spans="1:16" x14ac:dyDescent="0.3">
      <c r="A169" s="2" t="s">
        <v>231</v>
      </c>
      <c r="B169" s="2" t="s">
        <v>14</v>
      </c>
      <c r="C169" s="2" t="s">
        <v>71</v>
      </c>
      <c r="D169" s="2" t="s">
        <v>232</v>
      </c>
      <c r="E169" s="2" t="s">
        <v>73</v>
      </c>
      <c r="F169" s="2" t="s">
        <v>18</v>
      </c>
      <c r="G169" s="4">
        <v>1992</v>
      </c>
      <c r="H169" s="4">
        <v>15240.4</v>
      </c>
      <c r="I169" s="4">
        <v>10857.5</v>
      </c>
      <c r="J169" s="4">
        <v>4397.5</v>
      </c>
      <c r="K169" s="4">
        <v>594.9</v>
      </c>
      <c r="L169" s="6">
        <v>3.9034408549999999</v>
      </c>
      <c r="M169" s="6">
        <f>Table2[[#This Row],[% of Solo Streams]]/100</f>
        <v>3.9034408549999997E-2</v>
      </c>
      <c r="N169" s="3">
        <v>14645.5</v>
      </c>
      <c r="O169" s="5">
        <v>96.096559150000004</v>
      </c>
      <c r="P169" s="6">
        <f>Table2[[#This Row],[% of Collaborative Streams]]/100</f>
        <v>0.96096559150000005</v>
      </c>
    </row>
    <row r="170" spans="1:16" x14ac:dyDescent="0.3">
      <c r="A170" s="2" t="s">
        <v>233</v>
      </c>
      <c r="B170" s="2" t="s">
        <v>14</v>
      </c>
      <c r="C170" s="2" t="s">
        <v>21</v>
      </c>
      <c r="D170" s="2" t="s">
        <v>16</v>
      </c>
      <c r="E170" s="2" t="s">
        <v>17</v>
      </c>
      <c r="F170" s="2" t="s">
        <v>18</v>
      </c>
      <c r="G170" s="4">
        <v>2006</v>
      </c>
      <c r="H170" s="4">
        <v>15133</v>
      </c>
      <c r="I170" s="4">
        <v>11606.5</v>
      </c>
      <c r="J170" s="4">
        <v>3518.6</v>
      </c>
      <c r="K170" s="4">
        <v>1928.5</v>
      </c>
      <c r="L170" s="6">
        <v>12.74367277</v>
      </c>
      <c r="M170" s="6">
        <f>Table2[[#This Row],[% of Solo Streams]]/100</f>
        <v>0.1274367277</v>
      </c>
      <c r="N170" s="3">
        <v>13204.5</v>
      </c>
      <c r="O170" s="5">
        <v>87.256327229999997</v>
      </c>
      <c r="P170" s="6">
        <f>Table2[[#This Row],[% of Collaborative Streams]]/100</f>
        <v>0.87256327229999997</v>
      </c>
    </row>
    <row r="171" spans="1:16" x14ac:dyDescent="0.3">
      <c r="A171" s="2" t="s">
        <v>234</v>
      </c>
      <c r="B171" s="2" t="s">
        <v>14</v>
      </c>
      <c r="C171" s="2" t="s">
        <v>21</v>
      </c>
      <c r="D171" s="2" t="s">
        <v>16</v>
      </c>
      <c r="E171" s="2" t="s">
        <v>17</v>
      </c>
      <c r="F171" s="2" t="s">
        <v>18</v>
      </c>
      <c r="G171" s="4">
        <v>2008</v>
      </c>
      <c r="H171" s="4">
        <v>15086.8</v>
      </c>
      <c r="I171" s="4">
        <v>10607.6</v>
      </c>
      <c r="J171" s="4">
        <v>4483.8999999999996</v>
      </c>
      <c r="K171" s="4">
        <v>5835.1</v>
      </c>
      <c r="L171" s="6">
        <v>38.67685659</v>
      </c>
      <c r="M171" s="6">
        <f>Table2[[#This Row],[% of Solo Streams]]/100</f>
        <v>0.38676856589999997</v>
      </c>
      <c r="N171" s="3">
        <v>9251.7000000000007</v>
      </c>
      <c r="O171" s="5">
        <v>61.32314341</v>
      </c>
      <c r="P171" s="6">
        <f>Table2[[#This Row],[% of Collaborative Streams]]/100</f>
        <v>0.61323143410000003</v>
      </c>
    </row>
    <row r="172" spans="1:16" x14ac:dyDescent="0.3">
      <c r="A172" s="2" t="s">
        <v>235</v>
      </c>
      <c r="B172" s="2" t="s">
        <v>14</v>
      </c>
      <c r="C172" s="2" t="s">
        <v>21</v>
      </c>
      <c r="D172" s="2" t="s">
        <v>24</v>
      </c>
      <c r="E172" s="2" t="s">
        <v>25</v>
      </c>
      <c r="F172" s="2" t="s">
        <v>18</v>
      </c>
      <c r="G172" s="4">
        <v>2010</v>
      </c>
      <c r="H172" s="4">
        <v>15041.1</v>
      </c>
      <c r="I172" s="4">
        <v>4978.8999999999996</v>
      </c>
      <c r="J172" s="4">
        <v>10062.1</v>
      </c>
      <c r="K172" s="4">
        <v>2069.9</v>
      </c>
      <c r="L172" s="6">
        <v>13.76162648</v>
      </c>
      <c r="M172" s="6">
        <f>Table2[[#This Row],[% of Solo Streams]]/100</f>
        <v>0.1376162648</v>
      </c>
      <c r="N172" s="3">
        <v>12971.2</v>
      </c>
      <c r="O172" s="5">
        <v>86.238373519999996</v>
      </c>
      <c r="P172" s="6">
        <f>Table2[[#This Row],[% of Collaborative Streams]]/100</f>
        <v>0.8623837352</v>
      </c>
    </row>
    <row r="173" spans="1:16" x14ac:dyDescent="0.3">
      <c r="A173" s="2" t="s">
        <v>236</v>
      </c>
      <c r="B173" s="2" t="s">
        <v>14</v>
      </c>
      <c r="C173" s="2" t="s">
        <v>183</v>
      </c>
      <c r="D173" s="2" t="s">
        <v>16</v>
      </c>
      <c r="E173" s="2" t="s">
        <v>184</v>
      </c>
      <c r="F173" s="2" t="s">
        <v>48</v>
      </c>
      <c r="G173" s="4">
        <v>1962</v>
      </c>
      <c r="H173" s="4">
        <v>14992.7</v>
      </c>
      <c r="I173" s="4">
        <v>14837.1</v>
      </c>
      <c r="J173" s="4">
        <v>161.6</v>
      </c>
      <c r="K173" s="4">
        <v>13836</v>
      </c>
      <c r="L173" s="6">
        <v>92.284911989999998</v>
      </c>
      <c r="M173" s="6">
        <f>Table2[[#This Row],[% of Solo Streams]]/100</f>
        <v>0.92284911989999996</v>
      </c>
      <c r="N173" s="3">
        <v>1156.7</v>
      </c>
      <c r="O173" s="5">
        <v>7.7150880089999996</v>
      </c>
      <c r="P173" s="6">
        <f>Table2[[#This Row],[% of Collaborative Streams]]/100</f>
        <v>7.7150880089999999E-2</v>
      </c>
    </row>
    <row r="174" spans="1:16" x14ac:dyDescent="0.3">
      <c r="A174" s="2" t="s">
        <v>237</v>
      </c>
      <c r="B174" s="2" t="s">
        <v>14</v>
      </c>
      <c r="C174" s="2" t="s">
        <v>45</v>
      </c>
      <c r="D174" s="2" t="s">
        <v>46</v>
      </c>
      <c r="E174" s="2" t="s">
        <v>47</v>
      </c>
      <c r="F174" s="2" t="s">
        <v>48</v>
      </c>
      <c r="G174" s="4">
        <v>2018</v>
      </c>
      <c r="H174" s="4">
        <v>14947.4</v>
      </c>
      <c r="I174" s="4">
        <v>14819</v>
      </c>
      <c r="J174" s="4">
        <v>136.5</v>
      </c>
      <c r="K174" s="4">
        <v>13482.3</v>
      </c>
      <c r="L174" s="6">
        <v>90.198295360000003</v>
      </c>
      <c r="M174" s="6">
        <f>Table2[[#This Row],[% of Solo Streams]]/100</f>
        <v>0.90198295360000003</v>
      </c>
      <c r="N174" s="3">
        <v>1465.1</v>
      </c>
      <c r="O174" s="5">
        <v>9.8017046440000009</v>
      </c>
      <c r="P174" s="6">
        <f>Table2[[#This Row],[% of Collaborative Streams]]/100</f>
        <v>9.8017046440000005E-2</v>
      </c>
    </row>
    <row r="175" spans="1:16" x14ac:dyDescent="0.3">
      <c r="A175" s="2" t="s">
        <v>238</v>
      </c>
      <c r="B175" s="2" t="s">
        <v>14</v>
      </c>
      <c r="C175" s="2" t="s">
        <v>71</v>
      </c>
      <c r="D175" s="2" t="s">
        <v>232</v>
      </c>
      <c r="E175" s="2" t="s">
        <v>73</v>
      </c>
      <c r="F175" s="2" t="s">
        <v>18</v>
      </c>
      <c r="G175" s="4">
        <v>2012</v>
      </c>
      <c r="H175" s="4">
        <v>14897.8</v>
      </c>
      <c r="I175" s="4">
        <v>12456.5</v>
      </c>
      <c r="J175" s="4">
        <v>2450</v>
      </c>
      <c r="K175" s="4">
        <v>1543.3</v>
      </c>
      <c r="L175" s="6">
        <v>10.35924767</v>
      </c>
      <c r="M175" s="6">
        <f>Table2[[#This Row],[% of Solo Streams]]/100</f>
        <v>0.10359247670000001</v>
      </c>
      <c r="N175" s="3">
        <v>13354.5</v>
      </c>
      <c r="O175" s="5">
        <v>89.640752329999998</v>
      </c>
      <c r="P175" s="6">
        <f>Table2[[#This Row],[% of Collaborative Streams]]/100</f>
        <v>0.89640752329999995</v>
      </c>
    </row>
    <row r="176" spans="1:16" x14ac:dyDescent="0.3">
      <c r="A176" s="2" t="s">
        <v>239</v>
      </c>
      <c r="B176" s="2" t="s">
        <v>14</v>
      </c>
      <c r="C176" s="2" t="s">
        <v>21</v>
      </c>
      <c r="D176" s="2" t="s">
        <v>16</v>
      </c>
      <c r="E176" s="2" t="s">
        <v>27</v>
      </c>
      <c r="F176" s="2" t="s">
        <v>18</v>
      </c>
      <c r="G176" s="4">
        <v>2006</v>
      </c>
      <c r="H176" s="4">
        <v>14888.6</v>
      </c>
      <c r="I176" s="4">
        <v>8808.5</v>
      </c>
      <c r="J176" s="4">
        <v>6090.2</v>
      </c>
      <c r="K176" s="4">
        <v>8012</v>
      </c>
      <c r="L176" s="6">
        <v>53.81298443</v>
      </c>
      <c r="M176" s="6">
        <f>Table2[[#This Row],[% of Solo Streams]]/100</f>
        <v>0.53812984429999999</v>
      </c>
      <c r="N176" s="3">
        <v>6876.6</v>
      </c>
      <c r="O176" s="5">
        <v>46.18701557</v>
      </c>
      <c r="P176" s="6">
        <f>Table2[[#This Row],[% of Collaborative Streams]]/100</f>
        <v>0.46187015570000001</v>
      </c>
    </row>
    <row r="177" spans="1:16" x14ac:dyDescent="0.3">
      <c r="A177" s="2" t="s">
        <v>240</v>
      </c>
      <c r="B177" s="2" t="s">
        <v>14</v>
      </c>
      <c r="C177" s="2" t="s">
        <v>21</v>
      </c>
      <c r="D177" s="2" t="s">
        <v>16</v>
      </c>
      <c r="E177" s="2" t="s">
        <v>17</v>
      </c>
      <c r="F177" s="2" t="s">
        <v>18</v>
      </c>
      <c r="G177" s="4">
        <v>2005</v>
      </c>
      <c r="H177" s="4">
        <v>14880.2</v>
      </c>
      <c r="I177" s="4">
        <v>7106.1</v>
      </c>
      <c r="J177" s="4">
        <v>7779.1</v>
      </c>
      <c r="K177" s="4">
        <v>1618.8</v>
      </c>
      <c r="L177" s="6">
        <v>10.878886039999999</v>
      </c>
      <c r="M177" s="6">
        <f>Table2[[#This Row],[% of Solo Streams]]/100</f>
        <v>0.10878886039999999</v>
      </c>
      <c r="N177" s="3">
        <v>13261.4</v>
      </c>
      <c r="O177" s="5">
        <v>89.121113960000002</v>
      </c>
      <c r="P177" s="6">
        <f>Table2[[#This Row],[% of Collaborative Streams]]/100</f>
        <v>0.89121113959999998</v>
      </c>
    </row>
    <row r="178" spans="1:16" x14ac:dyDescent="0.3">
      <c r="A178" s="2" t="s">
        <v>241</v>
      </c>
      <c r="B178" s="2" t="s">
        <v>20</v>
      </c>
      <c r="C178" s="2" t="s">
        <v>242</v>
      </c>
      <c r="D178" s="2" t="s">
        <v>24</v>
      </c>
      <c r="E178" s="2" t="s">
        <v>22</v>
      </c>
      <c r="F178" s="2" t="s">
        <v>18</v>
      </c>
      <c r="G178" s="4">
        <v>2016</v>
      </c>
      <c r="H178" s="4">
        <v>14558.4</v>
      </c>
      <c r="I178" s="4">
        <v>10084</v>
      </c>
      <c r="J178" s="4">
        <v>4479.1000000000004</v>
      </c>
      <c r="K178" s="4">
        <v>5316.8</v>
      </c>
      <c r="L178" s="6">
        <v>36.52049676</v>
      </c>
      <c r="M178" s="6">
        <f>Table2[[#This Row],[% of Solo Streams]]/100</f>
        <v>0.36520496759999999</v>
      </c>
      <c r="N178" s="3">
        <v>9241.6</v>
      </c>
      <c r="O178" s="5">
        <v>63.47950324</v>
      </c>
      <c r="P178" s="6">
        <f>Table2[[#This Row],[% of Collaborative Streams]]/100</f>
        <v>0.63479503240000001</v>
      </c>
    </row>
    <row r="179" spans="1:16" x14ac:dyDescent="0.3">
      <c r="A179" s="2" t="s">
        <v>243</v>
      </c>
      <c r="B179" s="2" t="s">
        <v>20</v>
      </c>
      <c r="C179" s="2" t="s">
        <v>33</v>
      </c>
      <c r="D179" s="2" t="s">
        <v>16</v>
      </c>
      <c r="E179" s="2" t="s">
        <v>22</v>
      </c>
      <c r="F179" s="2" t="s">
        <v>18</v>
      </c>
      <c r="G179" s="4">
        <v>2008</v>
      </c>
      <c r="H179" s="4">
        <v>14544.4</v>
      </c>
      <c r="I179" s="4">
        <v>10175.299999999999</v>
      </c>
      <c r="J179" s="4">
        <v>4376</v>
      </c>
      <c r="K179" s="4">
        <v>6747.8</v>
      </c>
      <c r="L179" s="6">
        <v>46.394488600000003</v>
      </c>
      <c r="M179" s="6">
        <f>Table2[[#This Row],[% of Solo Streams]]/100</f>
        <v>0.463944886</v>
      </c>
      <c r="N179" s="3">
        <v>7796.6</v>
      </c>
      <c r="O179" s="5">
        <v>53.605511399999997</v>
      </c>
      <c r="P179" s="6">
        <f>Table2[[#This Row],[% of Collaborative Streams]]/100</f>
        <v>0.53605511399999994</v>
      </c>
    </row>
    <row r="180" spans="1:16" x14ac:dyDescent="0.3">
      <c r="A180" s="2" t="s">
        <v>244</v>
      </c>
      <c r="B180" s="2" t="s">
        <v>14</v>
      </c>
      <c r="C180" s="2" t="s">
        <v>245</v>
      </c>
      <c r="D180" s="2" t="s">
        <v>16</v>
      </c>
      <c r="E180" s="2" t="s">
        <v>27</v>
      </c>
      <c r="F180" s="2" t="s">
        <v>18</v>
      </c>
      <c r="G180" s="4">
        <v>2017</v>
      </c>
      <c r="H180" s="4">
        <v>14512.1</v>
      </c>
      <c r="I180" s="4">
        <v>13579.3</v>
      </c>
      <c r="J180" s="4">
        <v>938.4</v>
      </c>
      <c r="K180" s="4">
        <v>12111.7</v>
      </c>
      <c r="L180" s="6">
        <v>83.459320149999996</v>
      </c>
      <c r="M180" s="6">
        <f>Table2[[#This Row],[% of Solo Streams]]/100</f>
        <v>0.83459320149999994</v>
      </c>
      <c r="N180" s="3">
        <v>2400.4</v>
      </c>
      <c r="O180" s="5">
        <v>16.54067985</v>
      </c>
      <c r="P180" s="6">
        <f>Table2[[#This Row],[% of Collaborative Streams]]/100</f>
        <v>0.16540679850000001</v>
      </c>
    </row>
    <row r="181" spans="1:16" x14ac:dyDescent="0.3">
      <c r="A181" s="2" t="s">
        <v>246</v>
      </c>
      <c r="B181" s="2" t="s">
        <v>14</v>
      </c>
      <c r="C181" s="2" t="s">
        <v>21</v>
      </c>
      <c r="D181" s="2" t="s">
        <v>16</v>
      </c>
      <c r="E181" s="2" t="s">
        <v>51</v>
      </c>
      <c r="F181" s="2" t="s">
        <v>48</v>
      </c>
      <c r="G181" s="4">
        <v>2003</v>
      </c>
      <c r="H181" s="4">
        <v>14507.7</v>
      </c>
      <c r="I181" s="4">
        <v>10717.2</v>
      </c>
      <c r="J181" s="4">
        <v>3796.5</v>
      </c>
      <c r="K181" s="4">
        <v>12380.2</v>
      </c>
      <c r="L181" s="6">
        <v>85.335373630000007</v>
      </c>
      <c r="M181" s="6">
        <f>Table2[[#This Row],[% of Solo Streams]]/100</f>
        <v>0.85335373630000011</v>
      </c>
      <c r="N181" s="3">
        <v>2127.5</v>
      </c>
      <c r="O181" s="5">
        <v>14.664626370000001</v>
      </c>
      <c r="P181" s="6">
        <f>Table2[[#This Row],[% of Collaborative Streams]]/100</f>
        <v>0.1466462637</v>
      </c>
    </row>
    <row r="182" spans="1:16" x14ac:dyDescent="0.3">
      <c r="A182" s="2" t="s">
        <v>247</v>
      </c>
      <c r="B182" s="2" t="s">
        <v>14</v>
      </c>
      <c r="C182" s="2" t="s">
        <v>15</v>
      </c>
      <c r="D182" s="2" t="s">
        <v>16</v>
      </c>
      <c r="E182" s="2" t="s">
        <v>27</v>
      </c>
      <c r="F182" s="2" t="s">
        <v>18</v>
      </c>
      <c r="G182" s="4">
        <v>2013</v>
      </c>
      <c r="H182" s="4">
        <v>14506.3</v>
      </c>
      <c r="I182" s="4">
        <v>13237.2</v>
      </c>
      <c r="J182" s="4">
        <v>1275</v>
      </c>
      <c r="K182" s="4">
        <v>7177.2</v>
      </c>
      <c r="L182" s="6">
        <v>49.476434380000001</v>
      </c>
      <c r="M182" s="6">
        <f>Table2[[#This Row],[% of Solo Streams]]/100</f>
        <v>0.49476434380000001</v>
      </c>
      <c r="N182" s="3">
        <v>7329.1</v>
      </c>
      <c r="O182" s="5">
        <v>50.523565619999999</v>
      </c>
      <c r="P182" s="6">
        <f>Table2[[#This Row],[% of Collaborative Streams]]/100</f>
        <v>0.50523565619999999</v>
      </c>
    </row>
    <row r="183" spans="1:16" x14ac:dyDescent="0.3">
      <c r="A183" s="2" t="s">
        <v>248</v>
      </c>
      <c r="B183" s="2" t="s">
        <v>14</v>
      </c>
      <c r="C183" s="2" t="s">
        <v>166</v>
      </c>
      <c r="D183" s="2" t="s">
        <v>167</v>
      </c>
      <c r="E183" s="2" t="s">
        <v>168</v>
      </c>
      <c r="F183" s="2" t="s">
        <v>48</v>
      </c>
      <c r="G183" s="4">
        <v>2007</v>
      </c>
      <c r="H183" s="4">
        <v>14404.4</v>
      </c>
      <c r="I183" s="4">
        <v>11024</v>
      </c>
      <c r="J183" s="4">
        <v>3391.4</v>
      </c>
      <c r="K183" s="4">
        <v>10484.4</v>
      </c>
      <c r="L183" s="6">
        <v>72.786093140000006</v>
      </c>
      <c r="M183" s="6">
        <f>Table2[[#This Row],[% of Solo Streams]]/100</f>
        <v>0.72786093140000008</v>
      </c>
      <c r="N183" s="3">
        <v>3920</v>
      </c>
      <c r="O183" s="5">
        <v>27.213906860000002</v>
      </c>
      <c r="P183" s="6">
        <f>Table2[[#This Row],[% of Collaborative Streams]]/100</f>
        <v>0.27213906860000003</v>
      </c>
    </row>
    <row r="184" spans="1:16" x14ac:dyDescent="0.3">
      <c r="A184" s="2" t="s">
        <v>249</v>
      </c>
      <c r="B184" s="2" t="s">
        <v>14</v>
      </c>
      <c r="C184" s="2" t="s">
        <v>21</v>
      </c>
      <c r="D184" s="2" t="s">
        <v>16</v>
      </c>
      <c r="E184" s="2" t="s">
        <v>17</v>
      </c>
      <c r="F184" s="2" t="s">
        <v>18</v>
      </c>
      <c r="G184" s="4">
        <v>2015</v>
      </c>
      <c r="H184" s="4">
        <v>14402.6</v>
      </c>
      <c r="I184" s="4">
        <v>13416.1</v>
      </c>
      <c r="J184" s="4">
        <v>990</v>
      </c>
      <c r="K184" s="4">
        <v>791.1</v>
      </c>
      <c r="L184" s="6">
        <v>5.4927582519999998</v>
      </c>
      <c r="M184" s="6">
        <f>Table2[[#This Row],[% of Solo Streams]]/100</f>
        <v>5.4927582519999997E-2</v>
      </c>
      <c r="N184" s="3">
        <v>13611.5</v>
      </c>
      <c r="O184" s="5">
        <v>94.507241750000006</v>
      </c>
      <c r="P184" s="6">
        <f>Table2[[#This Row],[% of Collaborative Streams]]/100</f>
        <v>0.94507241750000004</v>
      </c>
    </row>
    <row r="185" spans="1:16" x14ac:dyDescent="0.3">
      <c r="A185" s="2" t="s">
        <v>250</v>
      </c>
      <c r="B185" s="2" t="s">
        <v>14</v>
      </c>
      <c r="C185" s="2" t="s">
        <v>21</v>
      </c>
      <c r="D185" s="2" t="s">
        <v>16</v>
      </c>
      <c r="E185" s="2" t="s">
        <v>51</v>
      </c>
      <c r="F185" s="2" t="s">
        <v>48</v>
      </c>
      <c r="G185" s="4">
        <v>2005</v>
      </c>
      <c r="H185" s="4">
        <v>14402.3</v>
      </c>
      <c r="I185" s="4">
        <v>4417.2</v>
      </c>
      <c r="J185" s="4">
        <v>9988.5</v>
      </c>
      <c r="K185" s="4">
        <v>13038</v>
      </c>
      <c r="L185" s="6">
        <v>90.52720746</v>
      </c>
      <c r="M185" s="6">
        <f>Table2[[#This Row],[% of Solo Streams]]/100</f>
        <v>0.90527207460000003</v>
      </c>
      <c r="N185" s="3">
        <v>1364.3</v>
      </c>
      <c r="O185" s="5">
        <v>9.4727925400000004</v>
      </c>
      <c r="P185" s="6">
        <f>Table2[[#This Row],[% of Collaborative Streams]]/100</f>
        <v>9.472792540000001E-2</v>
      </c>
    </row>
    <row r="186" spans="1:16" x14ac:dyDescent="0.3">
      <c r="A186" s="2" t="s">
        <v>251</v>
      </c>
      <c r="B186" s="2" t="s">
        <v>14</v>
      </c>
      <c r="C186" s="2" t="s">
        <v>94</v>
      </c>
      <c r="D186" s="2" t="s">
        <v>16</v>
      </c>
      <c r="E186" s="2" t="s">
        <v>51</v>
      </c>
      <c r="F186" s="2" t="s">
        <v>18</v>
      </c>
      <c r="G186" s="4">
        <v>2008</v>
      </c>
      <c r="H186" s="4">
        <v>14387.1</v>
      </c>
      <c r="I186" s="4">
        <v>13232.8</v>
      </c>
      <c r="J186" s="4">
        <v>1165.4000000000001</v>
      </c>
      <c r="K186" s="4">
        <v>12678.8</v>
      </c>
      <c r="L186" s="6">
        <v>88.126168579999998</v>
      </c>
      <c r="M186" s="6">
        <f>Table2[[#This Row],[% of Solo Streams]]/100</f>
        <v>0.88126168579999997</v>
      </c>
      <c r="N186" s="3">
        <v>1708.3</v>
      </c>
      <c r="O186" s="5">
        <v>11.87383142</v>
      </c>
      <c r="P186" s="6">
        <f>Table2[[#This Row],[% of Collaborative Streams]]/100</f>
        <v>0.1187383142</v>
      </c>
    </row>
    <row r="187" spans="1:16" x14ac:dyDescent="0.3">
      <c r="A187" s="2" t="s">
        <v>252</v>
      </c>
      <c r="B187" s="2" t="s">
        <v>14</v>
      </c>
      <c r="C187" s="2" t="s">
        <v>242</v>
      </c>
      <c r="D187" s="2" t="s">
        <v>24</v>
      </c>
      <c r="E187" s="2" t="s">
        <v>25</v>
      </c>
      <c r="F187" s="2" t="s">
        <v>18</v>
      </c>
      <c r="G187" s="4">
        <v>2020</v>
      </c>
      <c r="H187" s="4">
        <v>14345.2</v>
      </c>
      <c r="I187" s="4">
        <v>7659.9</v>
      </c>
      <c r="J187" s="4">
        <v>6698.1</v>
      </c>
      <c r="K187" s="4">
        <v>4914.8999999999996</v>
      </c>
      <c r="L187" s="6">
        <v>34.261634549999997</v>
      </c>
      <c r="M187" s="6">
        <f>Table2[[#This Row],[% of Solo Streams]]/100</f>
        <v>0.34261634549999997</v>
      </c>
      <c r="N187" s="3">
        <v>9430.2999999999993</v>
      </c>
      <c r="O187" s="5">
        <v>65.738365450000003</v>
      </c>
      <c r="P187" s="6">
        <f>Table2[[#This Row],[% of Collaborative Streams]]/100</f>
        <v>0.65738365450000003</v>
      </c>
    </row>
    <row r="188" spans="1:16" x14ac:dyDescent="0.3">
      <c r="A188" s="2" t="s">
        <v>253</v>
      </c>
      <c r="B188" s="2" t="s">
        <v>14</v>
      </c>
      <c r="C188" s="2" t="s">
        <v>42</v>
      </c>
      <c r="D188" s="2" t="s">
        <v>24</v>
      </c>
      <c r="E188" s="2" t="s">
        <v>82</v>
      </c>
      <c r="F188" s="2" t="s">
        <v>48</v>
      </c>
      <c r="G188" s="4">
        <v>2015</v>
      </c>
      <c r="H188" s="4">
        <v>14293.7</v>
      </c>
      <c r="I188" s="4">
        <v>11695.5</v>
      </c>
      <c r="J188" s="4">
        <v>2609</v>
      </c>
      <c r="K188" s="4">
        <v>8588.9</v>
      </c>
      <c r="L188" s="6">
        <v>60.088710409999997</v>
      </c>
      <c r="M188" s="6">
        <f>Table2[[#This Row],[% of Solo Streams]]/100</f>
        <v>0.60088710410000001</v>
      </c>
      <c r="N188" s="3">
        <v>5704.8</v>
      </c>
      <c r="O188" s="5">
        <v>39.911289590000003</v>
      </c>
      <c r="P188" s="6">
        <f>Table2[[#This Row],[% of Collaborative Streams]]/100</f>
        <v>0.39911289590000004</v>
      </c>
    </row>
    <row r="189" spans="1:16" x14ac:dyDescent="0.3">
      <c r="A189" s="2" t="s">
        <v>254</v>
      </c>
      <c r="B189" s="2" t="s">
        <v>20</v>
      </c>
      <c r="C189" s="2" t="s">
        <v>147</v>
      </c>
      <c r="D189" s="2" t="s">
        <v>16</v>
      </c>
      <c r="E189" s="2" t="s">
        <v>22</v>
      </c>
      <c r="F189" s="2" t="s">
        <v>18</v>
      </c>
      <c r="G189" s="4">
        <v>2008</v>
      </c>
      <c r="H189" s="4">
        <v>14221.3</v>
      </c>
      <c r="I189" s="4">
        <v>9372.1</v>
      </c>
      <c r="J189" s="4">
        <v>4858.7</v>
      </c>
      <c r="K189" s="4">
        <v>7138.3</v>
      </c>
      <c r="L189" s="6">
        <v>50.194426669999999</v>
      </c>
      <c r="M189" s="6">
        <f>Table2[[#This Row],[% of Solo Streams]]/100</f>
        <v>0.50194426670000003</v>
      </c>
      <c r="N189" s="3">
        <v>7083</v>
      </c>
      <c r="O189" s="5">
        <v>49.805573330000001</v>
      </c>
      <c r="P189" s="6">
        <f>Table2[[#This Row],[% of Collaborative Streams]]/100</f>
        <v>0.49805573330000003</v>
      </c>
    </row>
    <row r="190" spans="1:16" x14ac:dyDescent="0.3">
      <c r="A190" s="2" t="s">
        <v>255</v>
      </c>
      <c r="B190" s="2" t="s">
        <v>14</v>
      </c>
      <c r="C190" s="2" t="s">
        <v>89</v>
      </c>
      <c r="D190" s="2" t="s">
        <v>24</v>
      </c>
      <c r="E190" s="2" t="s">
        <v>90</v>
      </c>
      <c r="F190" s="2" t="s">
        <v>18</v>
      </c>
      <c r="G190" s="4">
        <v>2023</v>
      </c>
      <c r="H190" s="4">
        <v>14166.6</v>
      </c>
      <c r="I190" s="4">
        <v>7969.4</v>
      </c>
      <c r="J190" s="4">
        <v>6215.6</v>
      </c>
      <c r="K190" s="4">
        <v>3646.4</v>
      </c>
      <c r="L190" s="6">
        <v>25.73941524</v>
      </c>
      <c r="M190" s="6">
        <f>Table2[[#This Row],[% of Solo Streams]]/100</f>
        <v>0.25739415240000002</v>
      </c>
      <c r="N190" s="3">
        <v>10520.2</v>
      </c>
      <c r="O190" s="5">
        <v>74.26058476</v>
      </c>
      <c r="P190" s="6">
        <f>Table2[[#This Row],[% of Collaborative Streams]]/100</f>
        <v>0.74260584760000004</v>
      </c>
    </row>
    <row r="191" spans="1:16" x14ac:dyDescent="0.3">
      <c r="A191" s="2" t="s">
        <v>256</v>
      </c>
      <c r="B191" s="2" t="s">
        <v>14</v>
      </c>
      <c r="C191" s="2" t="s">
        <v>59</v>
      </c>
      <c r="D191" s="2" t="s">
        <v>257</v>
      </c>
      <c r="E191" s="2" t="s">
        <v>17</v>
      </c>
      <c r="F191" s="2" t="s">
        <v>18</v>
      </c>
      <c r="G191" s="4">
        <v>2013</v>
      </c>
      <c r="H191" s="4">
        <v>14127.8</v>
      </c>
      <c r="I191" s="4">
        <v>11142.3</v>
      </c>
      <c r="J191" s="4">
        <v>2993.2</v>
      </c>
      <c r="K191" s="4">
        <v>8903.2000000000007</v>
      </c>
      <c r="L191" s="6">
        <v>63.019012160000003</v>
      </c>
      <c r="M191" s="6">
        <f>Table2[[#This Row],[% of Solo Streams]]/100</f>
        <v>0.63019012159999999</v>
      </c>
      <c r="N191" s="3">
        <v>5224.6000000000004</v>
      </c>
      <c r="O191" s="5">
        <v>36.980987839999997</v>
      </c>
      <c r="P191" s="6">
        <f>Table2[[#This Row],[% of Collaborative Streams]]/100</f>
        <v>0.36980987839999996</v>
      </c>
    </row>
    <row r="192" spans="1:16" x14ac:dyDescent="0.3">
      <c r="A192" s="2" t="s">
        <v>258</v>
      </c>
      <c r="B192" s="2" t="s">
        <v>14</v>
      </c>
      <c r="C192" s="2" t="s">
        <v>21</v>
      </c>
      <c r="D192" s="2" t="s">
        <v>16</v>
      </c>
      <c r="E192" s="2" t="s">
        <v>17</v>
      </c>
      <c r="F192" s="2" t="s">
        <v>18</v>
      </c>
      <c r="G192" s="4">
        <v>1991</v>
      </c>
      <c r="H192" s="4">
        <v>14116.7</v>
      </c>
      <c r="I192" s="4">
        <v>13659.9</v>
      </c>
      <c r="J192" s="4">
        <v>462.4</v>
      </c>
      <c r="K192" s="4">
        <v>5423.2</v>
      </c>
      <c r="L192" s="6">
        <v>38.416910469999998</v>
      </c>
      <c r="M192" s="6">
        <f>Table2[[#This Row],[% of Solo Streams]]/100</f>
        <v>0.38416910469999999</v>
      </c>
      <c r="N192" s="3">
        <v>8693.5</v>
      </c>
      <c r="O192" s="5">
        <v>61.583089530000002</v>
      </c>
      <c r="P192" s="6">
        <f>Table2[[#This Row],[% of Collaborative Streams]]/100</f>
        <v>0.61583089530000001</v>
      </c>
    </row>
    <row r="193" spans="1:16" x14ac:dyDescent="0.3">
      <c r="A193" s="2" t="s">
        <v>259</v>
      </c>
      <c r="B193" s="2" t="s">
        <v>14</v>
      </c>
      <c r="C193" s="2" t="s">
        <v>33</v>
      </c>
      <c r="D193" s="2" t="s">
        <v>16</v>
      </c>
      <c r="E193" s="2" t="s">
        <v>57</v>
      </c>
      <c r="F193" s="2" t="s">
        <v>48</v>
      </c>
      <c r="G193" s="4">
        <v>2001</v>
      </c>
      <c r="H193" s="4">
        <v>14104.4</v>
      </c>
      <c r="I193" s="4">
        <v>14087.5</v>
      </c>
      <c r="J193" s="4">
        <v>23.4</v>
      </c>
      <c r="K193" s="4">
        <v>3963.9</v>
      </c>
      <c r="L193" s="6">
        <v>28.103995919999999</v>
      </c>
      <c r="M193" s="6">
        <f>Table2[[#This Row],[% of Solo Streams]]/100</f>
        <v>0.28103995919999997</v>
      </c>
      <c r="N193" s="3">
        <v>10140.5</v>
      </c>
      <c r="O193" s="5">
        <v>71.896004079999997</v>
      </c>
      <c r="P193" s="6">
        <f>Table2[[#This Row],[% of Collaborative Streams]]/100</f>
        <v>0.71896004079999998</v>
      </c>
    </row>
    <row r="194" spans="1:16" x14ac:dyDescent="0.3">
      <c r="A194" s="2" t="s">
        <v>260</v>
      </c>
      <c r="B194" s="2" t="s">
        <v>14</v>
      </c>
      <c r="C194" s="2" t="s">
        <v>85</v>
      </c>
      <c r="D194" s="2" t="s">
        <v>16</v>
      </c>
      <c r="E194" s="2" t="s">
        <v>22</v>
      </c>
      <c r="F194" s="2" t="s">
        <v>18</v>
      </c>
      <c r="G194" s="4">
        <v>2017</v>
      </c>
      <c r="H194" s="4">
        <v>14087.8</v>
      </c>
      <c r="I194" s="4">
        <v>14091.2</v>
      </c>
      <c r="J194" s="4">
        <v>0</v>
      </c>
      <c r="K194" s="4">
        <v>13608.5</v>
      </c>
      <c r="L194" s="6">
        <v>96.597765440000003</v>
      </c>
      <c r="M194" s="6">
        <f>Table2[[#This Row],[% of Solo Streams]]/100</f>
        <v>0.96597765440000005</v>
      </c>
      <c r="N194" s="3">
        <v>479.3</v>
      </c>
      <c r="O194" s="5">
        <v>3.402234558</v>
      </c>
      <c r="P194" s="6">
        <f>Table2[[#This Row],[% of Collaborative Streams]]/100</f>
        <v>3.4022345580000002E-2</v>
      </c>
    </row>
    <row r="195" spans="1:16" x14ac:dyDescent="0.3">
      <c r="A195" s="2" t="s">
        <v>261</v>
      </c>
      <c r="B195" s="2" t="s">
        <v>14</v>
      </c>
      <c r="C195" s="2" t="s">
        <v>21</v>
      </c>
      <c r="D195" s="2" t="s">
        <v>24</v>
      </c>
      <c r="E195" s="2" t="s">
        <v>90</v>
      </c>
      <c r="F195" s="2" t="s">
        <v>48</v>
      </c>
      <c r="G195" s="4">
        <v>2022</v>
      </c>
      <c r="H195" s="4">
        <v>13999.3</v>
      </c>
      <c r="I195" s="4">
        <v>8094.6</v>
      </c>
      <c r="J195" s="4">
        <v>5914.6</v>
      </c>
      <c r="K195" s="4">
        <v>2001.5</v>
      </c>
      <c r="L195" s="6">
        <v>14.29714343</v>
      </c>
      <c r="M195" s="6">
        <f>Table2[[#This Row],[% of Solo Streams]]/100</f>
        <v>0.14297143430000001</v>
      </c>
      <c r="N195" s="3">
        <v>11997.8</v>
      </c>
      <c r="O195" s="5">
        <v>85.702856569999994</v>
      </c>
      <c r="P195" s="6">
        <f>Table2[[#This Row],[% of Collaborative Streams]]/100</f>
        <v>0.85702856569999997</v>
      </c>
    </row>
    <row r="196" spans="1:16" x14ac:dyDescent="0.3">
      <c r="A196" s="2" t="s">
        <v>262</v>
      </c>
      <c r="B196" s="2" t="s">
        <v>14</v>
      </c>
      <c r="C196" s="2" t="s">
        <v>42</v>
      </c>
      <c r="D196" s="2" t="s">
        <v>24</v>
      </c>
      <c r="E196" s="2" t="s">
        <v>22</v>
      </c>
      <c r="F196" s="2" t="s">
        <v>18</v>
      </c>
      <c r="G196" s="4">
        <v>2007</v>
      </c>
      <c r="H196" s="4">
        <v>13994.1</v>
      </c>
      <c r="I196" s="4">
        <v>8290.1</v>
      </c>
      <c r="J196" s="4">
        <v>5703.9</v>
      </c>
      <c r="K196" s="4">
        <v>3475.3</v>
      </c>
      <c r="L196" s="6">
        <v>24.834037200000001</v>
      </c>
      <c r="M196" s="6">
        <f>Table2[[#This Row],[% of Solo Streams]]/100</f>
        <v>0.248340372</v>
      </c>
      <c r="N196" s="3">
        <v>10518.8</v>
      </c>
      <c r="O196" s="5">
        <v>75.165962800000003</v>
      </c>
      <c r="P196" s="6">
        <f>Table2[[#This Row],[% of Collaborative Streams]]/100</f>
        <v>0.75165962800000008</v>
      </c>
    </row>
    <row r="197" spans="1:16" x14ac:dyDescent="0.3">
      <c r="A197" s="2" t="s">
        <v>263</v>
      </c>
      <c r="B197" s="2" t="s">
        <v>14</v>
      </c>
      <c r="C197" s="2" t="s">
        <v>21</v>
      </c>
      <c r="D197" s="2" t="s">
        <v>24</v>
      </c>
      <c r="E197" s="2" t="s">
        <v>25</v>
      </c>
      <c r="F197" s="2" t="s">
        <v>18</v>
      </c>
      <c r="G197" s="4">
        <v>2009</v>
      </c>
      <c r="H197" s="4">
        <v>13994</v>
      </c>
      <c r="I197" s="4">
        <v>944.9</v>
      </c>
      <c r="J197" s="4">
        <v>13049.1</v>
      </c>
      <c r="K197" s="4">
        <v>136</v>
      </c>
      <c r="L197" s="6">
        <v>0.97184507649999996</v>
      </c>
      <c r="M197" s="6">
        <f>Table2[[#This Row],[% of Solo Streams]]/100</f>
        <v>9.7184507649999991E-3</v>
      </c>
      <c r="N197" s="3">
        <v>13858</v>
      </c>
      <c r="O197" s="5">
        <v>99.028154920000006</v>
      </c>
      <c r="P197" s="6">
        <f>Table2[[#This Row],[% of Collaborative Streams]]/100</f>
        <v>0.99028154920000011</v>
      </c>
    </row>
    <row r="198" spans="1:16" x14ac:dyDescent="0.3">
      <c r="A198" s="2" t="s">
        <v>264</v>
      </c>
      <c r="B198" s="2" t="s">
        <v>14</v>
      </c>
      <c r="C198" s="2" t="s">
        <v>21</v>
      </c>
      <c r="D198" s="2" t="s">
        <v>16</v>
      </c>
      <c r="E198" s="2" t="s">
        <v>17</v>
      </c>
      <c r="F198" s="2" t="s">
        <v>18</v>
      </c>
      <c r="G198" s="4">
        <v>2007</v>
      </c>
      <c r="H198" s="4">
        <v>13978.6</v>
      </c>
      <c r="I198" s="4">
        <v>4090.4</v>
      </c>
      <c r="J198" s="4">
        <v>9888.1</v>
      </c>
      <c r="K198" s="4">
        <v>895.7</v>
      </c>
      <c r="L198" s="6">
        <v>6.4076516960000003</v>
      </c>
      <c r="M198" s="6">
        <f>Table2[[#This Row],[% of Solo Streams]]/100</f>
        <v>6.4076516959999996E-2</v>
      </c>
      <c r="N198" s="3">
        <v>13082.9</v>
      </c>
      <c r="O198" s="5">
        <v>93.592348299999998</v>
      </c>
      <c r="P198" s="6">
        <f>Table2[[#This Row],[% of Collaborative Streams]]/100</f>
        <v>0.93592348299999994</v>
      </c>
    </row>
    <row r="199" spans="1:16" x14ac:dyDescent="0.3">
      <c r="A199" s="2" t="s">
        <v>265</v>
      </c>
      <c r="B199" s="2" t="s">
        <v>14</v>
      </c>
      <c r="C199" s="2" t="s">
        <v>21</v>
      </c>
      <c r="D199" s="2" t="s">
        <v>16</v>
      </c>
      <c r="E199" s="2" t="s">
        <v>17</v>
      </c>
      <c r="F199" s="2" t="s">
        <v>18</v>
      </c>
      <c r="G199" s="4">
        <v>2010</v>
      </c>
      <c r="H199" s="4">
        <v>13891.9</v>
      </c>
      <c r="I199" s="4">
        <v>9309.2000000000007</v>
      </c>
      <c r="J199" s="4">
        <v>4586.6000000000004</v>
      </c>
      <c r="K199" s="4">
        <v>12293.1</v>
      </c>
      <c r="L199" s="6">
        <v>88.491135119999996</v>
      </c>
      <c r="M199" s="6">
        <f>Table2[[#This Row],[% of Solo Streams]]/100</f>
        <v>0.88491135119999997</v>
      </c>
      <c r="N199" s="3">
        <v>1598.8</v>
      </c>
      <c r="O199" s="5">
        <v>11.508864880000001</v>
      </c>
      <c r="P199" s="6">
        <f>Table2[[#This Row],[% of Collaborative Streams]]/100</f>
        <v>0.11508864880000001</v>
      </c>
    </row>
    <row r="200" spans="1:16" x14ac:dyDescent="0.3">
      <c r="A200" s="2" t="s">
        <v>266</v>
      </c>
      <c r="B200" s="2" t="s">
        <v>14</v>
      </c>
      <c r="C200" s="2" t="s">
        <v>21</v>
      </c>
      <c r="D200" s="2" t="s">
        <v>16</v>
      </c>
      <c r="E200" s="2" t="s">
        <v>27</v>
      </c>
      <c r="F200" s="2" t="s">
        <v>18</v>
      </c>
      <c r="G200" s="4">
        <v>2011</v>
      </c>
      <c r="H200" s="4">
        <v>13890.6</v>
      </c>
      <c r="I200" s="4">
        <v>13739.5</v>
      </c>
      <c r="J200" s="4">
        <v>155.6</v>
      </c>
      <c r="K200" s="4">
        <v>8915.5</v>
      </c>
      <c r="L200" s="6">
        <v>64.183692570000005</v>
      </c>
      <c r="M200" s="6">
        <f>Table2[[#This Row],[% of Solo Streams]]/100</f>
        <v>0.64183692570000006</v>
      </c>
      <c r="N200" s="3">
        <v>4975.1000000000004</v>
      </c>
      <c r="O200" s="5">
        <v>35.816307430000002</v>
      </c>
      <c r="P200" s="6">
        <f>Table2[[#This Row],[% of Collaborative Streams]]/100</f>
        <v>0.3581630743</v>
      </c>
    </row>
    <row r="201" spans="1:16" x14ac:dyDescent="0.3">
      <c r="A201" s="2" t="s">
        <v>267</v>
      </c>
      <c r="B201" s="2" t="s">
        <v>14</v>
      </c>
      <c r="C201" s="2" t="s">
        <v>242</v>
      </c>
      <c r="D201" s="2" t="s">
        <v>24</v>
      </c>
      <c r="E201" s="2" t="s">
        <v>17</v>
      </c>
      <c r="F201" s="2" t="s">
        <v>18</v>
      </c>
      <c r="G201" s="4">
        <v>2014</v>
      </c>
      <c r="H201" s="4">
        <v>13734.1</v>
      </c>
      <c r="I201" s="4">
        <v>11278.9</v>
      </c>
      <c r="J201" s="4">
        <v>2462</v>
      </c>
      <c r="K201" s="4">
        <v>8953.7000000000007</v>
      </c>
      <c r="L201" s="6">
        <v>65.193205230000004</v>
      </c>
      <c r="M201" s="6">
        <f>Table2[[#This Row],[% of Solo Streams]]/100</f>
        <v>0.65193205230000006</v>
      </c>
      <c r="N201" s="3">
        <v>4780.3999999999996</v>
      </c>
      <c r="O201" s="5">
        <v>34.806794770000003</v>
      </c>
      <c r="P201" s="6">
        <f>Table2[[#This Row],[% of Collaborative Streams]]/100</f>
        <v>0.34806794770000005</v>
      </c>
    </row>
    <row r="202" spans="1:16" x14ac:dyDescent="0.3">
      <c r="A202" s="2" t="s">
        <v>268</v>
      </c>
      <c r="B202" s="2" t="s">
        <v>14</v>
      </c>
      <c r="C202" s="2" t="s">
        <v>21</v>
      </c>
      <c r="D202" s="2" t="s">
        <v>16</v>
      </c>
      <c r="E202" s="2" t="s">
        <v>17</v>
      </c>
      <c r="F202" s="2" t="s">
        <v>18</v>
      </c>
      <c r="G202" s="4">
        <v>2017</v>
      </c>
      <c r="H202" s="4">
        <v>13692</v>
      </c>
      <c r="I202" s="4">
        <v>6665</v>
      </c>
      <c r="J202" s="4">
        <v>7030</v>
      </c>
      <c r="K202" s="4">
        <v>4971.3</v>
      </c>
      <c r="L202" s="6">
        <v>36.308063099999998</v>
      </c>
      <c r="M202" s="6">
        <f>Table2[[#This Row],[% of Solo Streams]]/100</f>
        <v>0.36308063099999999</v>
      </c>
      <c r="N202" s="3">
        <v>8720.7000000000007</v>
      </c>
      <c r="O202" s="5">
        <v>63.691936900000002</v>
      </c>
      <c r="P202" s="6">
        <f>Table2[[#This Row],[% of Collaborative Streams]]/100</f>
        <v>0.63691936900000001</v>
      </c>
    </row>
    <row r="203" spans="1:16" x14ac:dyDescent="0.3">
      <c r="A203" s="2" t="s">
        <v>269</v>
      </c>
      <c r="B203" s="2" t="s">
        <v>14</v>
      </c>
      <c r="C203" s="2" t="s">
        <v>21</v>
      </c>
      <c r="D203" s="2" t="s">
        <v>16</v>
      </c>
      <c r="E203" s="2" t="s">
        <v>51</v>
      </c>
      <c r="F203" s="2" t="s">
        <v>48</v>
      </c>
      <c r="G203" s="4">
        <v>1985</v>
      </c>
      <c r="H203" s="4">
        <v>13683</v>
      </c>
      <c r="I203" s="4">
        <v>13689.3</v>
      </c>
      <c r="J203" s="4">
        <v>0</v>
      </c>
      <c r="K203" s="4">
        <v>13682.2</v>
      </c>
      <c r="L203" s="6">
        <v>99.994153330000003</v>
      </c>
      <c r="M203" s="6">
        <f>Table2[[#This Row],[% of Solo Streams]]/100</f>
        <v>0.99994153330000002</v>
      </c>
      <c r="N203" s="3">
        <v>0.8</v>
      </c>
      <c r="O203" s="5">
        <v>5.8466710520000001E-3</v>
      </c>
      <c r="P203" s="6">
        <f>Table2[[#This Row],[% of Collaborative Streams]]/100</f>
        <v>5.8466710519999999E-5</v>
      </c>
    </row>
    <row r="204" spans="1:16" x14ac:dyDescent="0.3">
      <c r="A204" s="2" t="s">
        <v>270</v>
      </c>
      <c r="B204" s="2" t="s">
        <v>20</v>
      </c>
      <c r="C204" s="2" t="s">
        <v>21</v>
      </c>
      <c r="D204" s="2" t="s">
        <v>16</v>
      </c>
      <c r="E204" s="2" t="s">
        <v>22</v>
      </c>
      <c r="F204" s="2" t="s">
        <v>18</v>
      </c>
      <c r="G204" s="4">
        <v>1990</v>
      </c>
      <c r="H204" s="4">
        <v>13650.2</v>
      </c>
      <c r="I204" s="4">
        <v>12396.8</v>
      </c>
      <c r="J204" s="4">
        <v>1258.3</v>
      </c>
      <c r="K204" s="4">
        <v>10348.700000000001</v>
      </c>
      <c r="L204" s="6">
        <v>75.813541189999995</v>
      </c>
      <c r="M204" s="6">
        <f>Table2[[#This Row],[% of Solo Streams]]/100</f>
        <v>0.7581354119</v>
      </c>
      <c r="N204" s="3">
        <v>3301.5</v>
      </c>
      <c r="O204" s="5">
        <v>24.186458810000001</v>
      </c>
      <c r="P204" s="6">
        <f>Table2[[#This Row],[% of Collaborative Streams]]/100</f>
        <v>0.2418645881</v>
      </c>
    </row>
    <row r="205" spans="1:16" x14ac:dyDescent="0.3">
      <c r="A205" s="2" t="s">
        <v>271</v>
      </c>
      <c r="B205" s="2" t="s">
        <v>14</v>
      </c>
      <c r="C205" s="2" t="s">
        <v>21</v>
      </c>
      <c r="D205" s="2" t="s">
        <v>16</v>
      </c>
      <c r="E205" s="2" t="s">
        <v>272</v>
      </c>
      <c r="F205" s="2" t="s">
        <v>18</v>
      </c>
      <c r="G205" s="4">
        <v>2017</v>
      </c>
      <c r="H205" s="4">
        <v>13543.1</v>
      </c>
      <c r="I205" s="4">
        <v>12815.1</v>
      </c>
      <c r="J205" s="4">
        <v>728</v>
      </c>
      <c r="K205" s="4">
        <v>10726.1</v>
      </c>
      <c r="L205" s="6">
        <v>79.199740090000006</v>
      </c>
      <c r="M205" s="6">
        <f>Table2[[#This Row],[% of Solo Streams]]/100</f>
        <v>0.79199740090000004</v>
      </c>
      <c r="N205" s="3">
        <v>2817</v>
      </c>
      <c r="O205" s="5">
        <v>20.800259910000001</v>
      </c>
      <c r="P205" s="6">
        <f>Table2[[#This Row],[% of Collaborative Streams]]/100</f>
        <v>0.20800259910000002</v>
      </c>
    </row>
    <row r="206" spans="1:16" x14ac:dyDescent="0.3">
      <c r="A206" s="2" t="s">
        <v>273</v>
      </c>
      <c r="B206" s="2" t="s">
        <v>20</v>
      </c>
      <c r="C206" s="2" t="s">
        <v>21</v>
      </c>
      <c r="D206" s="2" t="s">
        <v>16</v>
      </c>
      <c r="E206" s="2" t="s">
        <v>17</v>
      </c>
      <c r="F206" s="2" t="s">
        <v>18</v>
      </c>
      <c r="G206" s="4">
        <v>2016</v>
      </c>
      <c r="H206" s="4">
        <v>13532</v>
      </c>
      <c r="I206" s="4">
        <v>7853.3</v>
      </c>
      <c r="J206" s="4">
        <v>5683.7</v>
      </c>
      <c r="K206" s="4">
        <v>4660.7</v>
      </c>
      <c r="L206" s="6">
        <v>34.442063259999998</v>
      </c>
      <c r="M206" s="6">
        <f>Table2[[#This Row],[% of Solo Streams]]/100</f>
        <v>0.3444206326</v>
      </c>
      <c r="N206" s="3">
        <v>8871.2999999999993</v>
      </c>
      <c r="O206" s="5">
        <v>65.557936740000002</v>
      </c>
      <c r="P206" s="6">
        <f>Table2[[#This Row],[% of Collaborative Streams]]/100</f>
        <v>0.6555793674</v>
      </c>
    </row>
    <row r="207" spans="1:16" x14ac:dyDescent="0.3">
      <c r="A207" s="2" t="s">
        <v>274</v>
      </c>
      <c r="B207" s="2" t="s">
        <v>14</v>
      </c>
      <c r="C207" s="2" t="s">
        <v>89</v>
      </c>
      <c r="D207" s="2" t="s">
        <v>24</v>
      </c>
      <c r="E207" s="2" t="s">
        <v>90</v>
      </c>
      <c r="F207" s="2" t="s">
        <v>18</v>
      </c>
      <c r="G207" s="4">
        <v>2016</v>
      </c>
      <c r="H207" s="4">
        <v>13503.4</v>
      </c>
      <c r="I207" s="4">
        <v>9602.2999999999993</v>
      </c>
      <c r="J207" s="4">
        <v>3932.5</v>
      </c>
      <c r="K207" s="4">
        <v>8044.7</v>
      </c>
      <c r="L207" s="6">
        <v>59.575366199999998</v>
      </c>
      <c r="M207" s="6">
        <f>Table2[[#This Row],[% of Solo Streams]]/100</f>
        <v>0.59575366200000002</v>
      </c>
      <c r="N207" s="3">
        <v>5458.7</v>
      </c>
      <c r="O207" s="5">
        <v>40.424633800000002</v>
      </c>
      <c r="P207" s="6">
        <f>Table2[[#This Row],[% of Collaborative Streams]]/100</f>
        <v>0.40424633800000004</v>
      </c>
    </row>
    <row r="208" spans="1:16" x14ac:dyDescent="0.3">
      <c r="A208" s="2" t="s">
        <v>275</v>
      </c>
      <c r="B208" s="2" t="s">
        <v>14</v>
      </c>
      <c r="C208" s="2" t="s">
        <v>21</v>
      </c>
      <c r="D208" s="2" t="s">
        <v>16</v>
      </c>
      <c r="E208" s="2" t="s">
        <v>27</v>
      </c>
      <c r="F208" s="2" t="s">
        <v>18</v>
      </c>
      <c r="G208" s="4">
        <v>2013</v>
      </c>
      <c r="H208" s="4">
        <v>13490.4</v>
      </c>
      <c r="I208" s="4">
        <v>9955.4</v>
      </c>
      <c r="J208" s="4">
        <v>3540.8</v>
      </c>
      <c r="K208" s="4">
        <v>8582.9</v>
      </c>
      <c r="L208" s="6">
        <v>63.622279550000002</v>
      </c>
      <c r="M208" s="6">
        <f>Table2[[#This Row],[% of Solo Streams]]/100</f>
        <v>0.63622279550000005</v>
      </c>
      <c r="N208" s="3">
        <v>4907.5</v>
      </c>
      <c r="O208" s="5">
        <v>36.377720449999998</v>
      </c>
      <c r="P208" s="6">
        <f>Table2[[#This Row],[% of Collaborative Streams]]/100</f>
        <v>0.36377720450000001</v>
      </c>
    </row>
    <row r="209" spans="1:16" x14ac:dyDescent="0.3">
      <c r="A209" s="2" t="s">
        <v>276</v>
      </c>
      <c r="B209" s="2" t="s">
        <v>14</v>
      </c>
      <c r="C209" s="2" t="s">
        <v>181</v>
      </c>
      <c r="D209" s="2" t="s">
        <v>16</v>
      </c>
      <c r="E209" s="2" t="s">
        <v>60</v>
      </c>
      <c r="F209" s="2" t="s">
        <v>18</v>
      </c>
      <c r="G209" s="4">
        <v>2012</v>
      </c>
      <c r="H209" s="4">
        <v>13468.7</v>
      </c>
      <c r="I209" s="4">
        <v>12222.3</v>
      </c>
      <c r="J209" s="4">
        <v>1249.7</v>
      </c>
      <c r="K209" s="4">
        <v>1202.8</v>
      </c>
      <c r="L209" s="6">
        <v>8.9303347760000005</v>
      </c>
      <c r="M209" s="6">
        <f>Table2[[#This Row],[% of Solo Streams]]/100</f>
        <v>8.9303347759999999E-2</v>
      </c>
      <c r="N209" s="3">
        <v>12265.9</v>
      </c>
      <c r="O209" s="5">
        <v>91.069665220000005</v>
      </c>
      <c r="P209" s="6">
        <f>Table2[[#This Row],[% of Collaborative Streams]]/100</f>
        <v>0.91069665220000007</v>
      </c>
    </row>
    <row r="210" spans="1:16" x14ac:dyDescent="0.3">
      <c r="A210" s="2" t="s">
        <v>277</v>
      </c>
      <c r="B210" s="2" t="s">
        <v>14</v>
      </c>
      <c r="C210" s="2" t="s">
        <v>89</v>
      </c>
      <c r="D210" s="2" t="s">
        <v>24</v>
      </c>
      <c r="E210" s="2" t="s">
        <v>90</v>
      </c>
      <c r="F210" s="2" t="s">
        <v>48</v>
      </c>
      <c r="G210" s="4">
        <v>2003</v>
      </c>
      <c r="H210" s="4">
        <v>13433.6</v>
      </c>
      <c r="I210" s="4">
        <v>12366.7</v>
      </c>
      <c r="J210" s="4">
        <v>1072.9000000000001</v>
      </c>
      <c r="K210" s="4">
        <v>11154.7</v>
      </c>
      <c r="L210" s="6">
        <v>83.035820630000003</v>
      </c>
      <c r="M210" s="6">
        <f>Table2[[#This Row],[% of Solo Streams]]/100</f>
        <v>0.83035820630000001</v>
      </c>
      <c r="N210" s="3">
        <v>2278.9</v>
      </c>
      <c r="O210" s="5">
        <v>16.96417937</v>
      </c>
      <c r="P210" s="6">
        <f>Table2[[#This Row],[% of Collaborative Streams]]/100</f>
        <v>0.16964179369999999</v>
      </c>
    </row>
    <row r="211" spans="1:16" x14ac:dyDescent="0.3">
      <c r="A211" s="2" t="s">
        <v>278</v>
      </c>
      <c r="B211" s="2" t="s">
        <v>14</v>
      </c>
      <c r="C211" s="2" t="s">
        <v>33</v>
      </c>
      <c r="D211" s="2" t="s">
        <v>16</v>
      </c>
      <c r="E211" s="2" t="s">
        <v>51</v>
      </c>
      <c r="F211" s="2" t="s">
        <v>48</v>
      </c>
      <c r="G211" s="4">
        <v>1967</v>
      </c>
      <c r="H211" s="4">
        <v>13404.2</v>
      </c>
      <c r="I211" s="4">
        <v>11623.7</v>
      </c>
      <c r="J211" s="4">
        <v>1790.5</v>
      </c>
      <c r="K211" s="4">
        <v>13400.7</v>
      </c>
      <c r="L211" s="6">
        <v>99.973888779999996</v>
      </c>
      <c r="M211" s="6">
        <f>Table2[[#This Row],[% of Solo Streams]]/100</f>
        <v>0.99973888779999998</v>
      </c>
      <c r="N211" s="3">
        <v>3.5</v>
      </c>
      <c r="O211" s="5">
        <v>2.6111218870000001E-2</v>
      </c>
      <c r="P211" s="6">
        <f>Table2[[#This Row],[% of Collaborative Streams]]/100</f>
        <v>2.6111218869999999E-4</v>
      </c>
    </row>
    <row r="212" spans="1:16" x14ac:dyDescent="0.3">
      <c r="A212" s="2" t="s">
        <v>279</v>
      </c>
      <c r="B212" s="2" t="s">
        <v>14</v>
      </c>
      <c r="C212" s="2" t="s">
        <v>21</v>
      </c>
      <c r="D212" s="2" t="s">
        <v>16</v>
      </c>
      <c r="E212" s="2" t="s">
        <v>17</v>
      </c>
      <c r="F212" s="2" t="s">
        <v>18</v>
      </c>
      <c r="G212" s="4">
        <v>2006</v>
      </c>
      <c r="H212" s="4">
        <v>13398.3</v>
      </c>
      <c r="I212" s="4">
        <v>13409.8</v>
      </c>
      <c r="J212" s="4">
        <v>0</v>
      </c>
      <c r="K212" s="4">
        <v>4665.5</v>
      </c>
      <c r="L212" s="6">
        <v>34.82158184</v>
      </c>
      <c r="M212" s="6">
        <f>Table2[[#This Row],[% of Solo Streams]]/100</f>
        <v>0.34821581839999999</v>
      </c>
      <c r="N212" s="3">
        <v>8732.7999999999993</v>
      </c>
      <c r="O212" s="5">
        <v>65.178418160000007</v>
      </c>
      <c r="P212" s="6">
        <f>Table2[[#This Row],[% of Collaborative Streams]]/100</f>
        <v>0.65178418160000007</v>
      </c>
    </row>
    <row r="213" spans="1:16" x14ac:dyDescent="0.3">
      <c r="A213" s="2" t="s">
        <v>280</v>
      </c>
      <c r="B213" s="2" t="s">
        <v>14</v>
      </c>
      <c r="C213" s="2" t="s">
        <v>21</v>
      </c>
      <c r="D213" s="2" t="s">
        <v>24</v>
      </c>
      <c r="E213" s="2" t="s">
        <v>25</v>
      </c>
      <c r="F213" s="2" t="s">
        <v>48</v>
      </c>
      <c r="G213" s="4">
        <v>1998</v>
      </c>
      <c r="H213" s="4">
        <v>13323.2</v>
      </c>
      <c r="I213" s="4">
        <v>8971.1</v>
      </c>
      <c r="J213" s="4">
        <v>4360.5</v>
      </c>
      <c r="K213" s="4">
        <v>5734.4</v>
      </c>
      <c r="L213" s="6">
        <v>43.040710939999997</v>
      </c>
      <c r="M213" s="6">
        <f>Table2[[#This Row],[% of Solo Streams]]/100</f>
        <v>0.43040710939999999</v>
      </c>
      <c r="N213" s="3">
        <v>7588.8</v>
      </c>
      <c r="O213" s="5">
        <v>56.959289060000003</v>
      </c>
      <c r="P213" s="6">
        <f>Table2[[#This Row],[% of Collaborative Streams]]/100</f>
        <v>0.56959289060000007</v>
      </c>
    </row>
    <row r="214" spans="1:16" x14ac:dyDescent="0.3">
      <c r="A214" s="2" t="s">
        <v>281</v>
      </c>
      <c r="B214" s="2" t="s">
        <v>14</v>
      </c>
      <c r="C214" s="2" t="s">
        <v>21</v>
      </c>
      <c r="D214" s="2" t="s">
        <v>16</v>
      </c>
      <c r="E214" s="2" t="s">
        <v>17</v>
      </c>
      <c r="F214" s="2" t="s">
        <v>18</v>
      </c>
      <c r="G214" s="4">
        <v>1984</v>
      </c>
      <c r="H214" s="4">
        <v>13320.3</v>
      </c>
      <c r="I214" s="4">
        <v>8568.7000000000007</v>
      </c>
      <c r="J214" s="4">
        <v>4756.2</v>
      </c>
      <c r="K214" s="4">
        <v>464.4</v>
      </c>
      <c r="L214" s="6">
        <v>3.4864079640000001</v>
      </c>
      <c r="M214" s="6">
        <f>Table2[[#This Row],[% of Solo Streams]]/100</f>
        <v>3.4864079640000004E-2</v>
      </c>
      <c r="N214" s="3">
        <v>12855.9</v>
      </c>
      <c r="O214" s="5">
        <v>96.513592040000006</v>
      </c>
      <c r="P214" s="6">
        <f>Table2[[#This Row],[% of Collaborative Streams]]/100</f>
        <v>0.96513592040000007</v>
      </c>
    </row>
    <row r="215" spans="1:16" x14ac:dyDescent="0.3">
      <c r="A215" s="2" t="s">
        <v>282</v>
      </c>
      <c r="B215" s="2" t="s">
        <v>14</v>
      </c>
      <c r="C215" s="2" t="s">
        <v>21</v>
      </c>
      <c r="D215" s="2" t="s">
        <v>24</v>
      </c>
      <c r="E215" s="2" t="s">
        <v>25</v>
      </c>
      <c r="F215" s="2" t="s">
        <v>18</v>
      </c>
      <c r="G215" s="4">
        <v>2017</v>
      </c>
      <c r="H215" s="4">
        <v>13291</v>
      </c>
      <c r="I215" s="4">
        <v>10113.700000000001</v>
      </c>
      <c r="J215" s="4">
        <v>3183.3</v>
      </c>
      <c r="K215" s="4">
        <v>4068.1</v>
      </c>
      <c r="L215" s="6">
        <v>30.60793018</v>
      </c>
      <c r="M215" s="6">
        <f>Table2[[#This Row],[% of Solo Streams]]/100</f>
        <v>0.30607930179999998</v>
      </c>
      <c r="N215" s="3">
        <v>9222.9</v>
      </c>
      <c r="O215" s="5">
        <v>69.392069820000003</v>
      </c>
      <c r="P215" s="6">
        <f>Table2[[#This Row],[% of Collaborative Streams]]/100</f>
        <v>0.69392069820000002</v>
      </c>
    </row>
    <row r="216" spans="1:16" x14ac:dyDescent="0.3">
      <c r="A216" s="2" t="s">
        <v>283</v>
      </c>
      <c r="B216" s="2" t="s">
        <v>78</v>
      </c>
      <c r="C216" s="2" t="s">
        <v>21</v>
      </c>
      <c r="D216" s="2" t="s">
        <v>16</v>
      </c>
      <c r="E216" s="2" t="s">
        <v>57</v>
      </c>
      <c r="F216" s="2" t="s">
        <v>48</v>
      </c>
      <c r="G216" s="4">
        <v>2008</v>
      </c>
      <c r="H216" s="4">
        <v>13287</v>
      </c>
      <c r="I216" s="4">
        <v>13294.9</v>
      </c>
      <c r="J216" s="4">
        <v>0</v>
      </c>
      <c r="K216" s="4">
        <v>13287</v>
      </c>
      <c r="L216" s="6">
        <v>100</v>
      </c>
      <c r="M216" s="6">
        <f>Table2[[#This Row],[% of Solo Streams]]/100</f>
        <v>1</v>
      </c>
      <c r="N216" s="3">
        <v>0</v>
      </c>
      <c r="O216" s="5">
        <v>0</v>
      </c>
      <c r="P216" s="6">
        <f>Table2[[#This Row],[% of Collaborative Streams]]/100</f>
        <v>0</v>
      </c>
    </row>
    <row r="217" spans="1:16" x14ac:dyDescent="0.3">
      <c r="A217" s="2" t="s">
        <v>284</v>
      </c>
      <c r="B217" s="2" t="s">
        <v>14</v>
      </c>
      <c r="C217" s="2" t="s">
        <v>21</v>
      </c>
      <c r="D217" s="2" t="s">
        <v>16</v>
      </c>
      <c r="E217" s="2" t="s">
        <v>17</v>
      </c>
      <c r="F217" s="2" t="s">
        <v>18</v>
      </c>
      <c r="G217" s="4">
        <v>2008</v>
      </c>
      <c r="H217" s="4">
        <v>13281.8</v>
      </c>
      <c r="I217" s="4">
        <v>12309.2</v>
      </c>
      <c r="J217" s="4">
        <v>978.1</v>
      </c>
      <c r="K217" s="4">
        <v>11171.3</v>
      </c>
      <c r="L217" s="6">
        <v>84.109834509999999</v>
      </c>
      <c r="M217" s="6">
        <f>Table2[[#This Row],[% of Solo Streams]]/100</f>
        <v>0.84109834510000003</v>
      </c>
      <c r="N217" s="3">
        <v>2110.5</v>
      </c>
      <c r="O217" s="5">
        <v>15.890165489999999</v>
      </c>
      <c r="P217" s="6">
        <f>Table2[[#This Row],[% of Collaborative Streams]]/100</f>
        <v>0.15890165489999999</v>
      </c>
    </row>
    <row r="218" spans="1:16" x14ac:dyDescent="0.3">
      <c r="A218" s="2" t="s">
        <v>285</v>
      </c>
      <c r="B218" s="2" t="s">
        <v>14</v>
      </c>
      <c r="C218" s="2" t="s">
        <v>21</v>
      </c>
      <c r="D218" s="2" t="s">
        <v>24</v>
      </c>
      <c r="E218" s="2" t="s">
        <v>25</v>
      </c>
      <c r="F218" s="2" t="s">
        <v>18</v>
      </c>
      <c r="G218" s="4">
        <v>2000</v>
      </c>
      <c r="H218" s="4">
        <v>13273.4</v>
      </c>
      <c r="I218" s="4">
        <v>4702.2</v>
      </c>
      <c r="J218" s="4">
        <v>8580.5</v>
      </c>
      <c r="K218" s="4">
        <v>575.4</v>
      </c>
      <c r="L218" s="6">
        <v>4.3349857610000004</v>
      </c>
      <c r="M218" s="6">
        <f>Table2[[#This Row],[% of Solo Streams]]/100</f>
        <v>4.3349857610000007E-2</v>
      </c>
      <c r="N218" s="3">
        <v>12698</v>
      </c>
      <c r="O218" s="5">
        <v>95.665014240000005</v>
      </c>
      <c r="P218" s="6">
        <f>Table2[[#This Row],[% of Collaborative Streams]]/100</f>
        <v>0.95665014240000001</v>
      </c>
    </row>
    <row r="219" spans="1:16" x14ac:dyDescent="0.3">
      <c r="A219" s="2" t="s">
        <v>286</v>
      </c>
      <c r="B219" s="2" t="s">
        <v>78</v>
      </c>
      <c r="C219" s="2" t="s">
        <v>21</v>
      </c>
      <c r="D219" s="2" t="s">
        <v>16</v>
      </c>
      <c r="E219" s="2" t="s">
        <v>60</v>
      </c>
      <c r="F219" s="2" t="s">
        <v>48</v>
      </c>
      <c r="G219" s="4">
        <v>2009</v>
      </c>
      <c r="H219" s="4">
        <v>13220.4</v>
      </c>
      <c r="I219" s="4">
        <v>11619.7</v>
      </c>
      <c r="J219" s="4">
        <v>1604</v>
      </c>
      <c r="K219" s="4">
        <v>45.4</v>
      </c>
      <c r="L219" s="6">
        <v>0.34340867139999998</v>
      </c>
      <c r="M219" s="6">
        <f>Table2[[#This Row],[% of Solo Streams]]/100</f>
        <v>3.4340867139999996E-3</v>
      </c>
      <c r="N219" s="3">
        <v>13175</v>
      </c>
      <c r="O219" s="5">
        <v>99.656591329999998</v>
      </c>
      <c r="P219" s="6">
        <f>Table2[[#This Row],[% of Collaborative Streams]]/100</f>
        <v>0.99656591329999999</v>
      </c>
    </row>
    <row r="220" spans="1:16" x14ac:dyDescent="0.3">
      <c r="A220" s="2" t="s">
        <v>287</v>
      </c>
      <c r="B220" s="2" t="s">
        <v>14</v>
      </c>
      <c r="C220" s="2" t="s">
        <v>21</v>
      </c>
      <c r="D220" s="2" t="s">
        <v>16</v>
      </c>
      <c r="E220" s="2" t="s">
        <v>22</v>
      </c>
      <c r="F220" s="2" t="s">
        <v>18</v>
      </c>
      <c r="G220" s="4">
        <v>1999</v>
      </c>
      <c r="H220" s="4">
        <v>13208.3</v>
      </c>
      <c r="I220" s="4">
        <v>12134.4</v>
      </c>
      <c r="J220" s="4">
        <v>1076.8</v>
      </c>
      <c r="K220" s="4">
        <v>11821.4</v>
      </c>
      <c r="L220" s="6">
        <v>89.499784230000003</v>
      </c>
      <c r="M220" s="6">
        <f>Table2[[#This Row],[% of Solo Streams]]/100</f>
        <v>0.89499784230000001</v>
      </c>
      <c r="N220" s="3">
        <v>1386.9</v>
      </c>
      <c r="O220" s="5">
        <v>10.500215770000001</v>
      </c>
      <c r="P220" s="6">
        <f>Table2[[#This Row],[% of Collaborative Streams]]/100</f>
        <v>0.1050021577</v>
      </c>
    </row>
    <row r="221" spans="1:16" x14ac:dyDescent="0.3">
      <c r="A221" s="2" t="s">
        <v>288</v>
      </c>
      <c r="B221" s="2" t="s">
        <v>14</v>
      </c>
      <c r="C221" s="2" t="s">
        <v>21</v>
      </c>
      <c r="D221" s="2" t="s">
        <v>16</v>
      </c>
      <c r="E221" s="2" t="s">
        <v>27</v>
      </c>
      <c r="F221" s="2" t="s">
        <v>18</v>
      </c>
      <c r="G221" s="4">
        <v>2010</v>
      </c>
      <c r="H221" s="4">
        <v>13065.7</v>
      </c>
      <c r="I221" s="4">
        <v>7612.4</v>
      </c>
      <c r="J221" s="4">
        <v>5460.1</v>
      </c>
      <c r="K221" s="4">
        <v>5541.7</v>
      </c>
      <c r="L221" s="6">
        <v>42.414107170000001</v>
      </c>
      <c r="M221" s="6">
        <f>Table2[[#This Row],[% of Solo Streams]]/100</f>
        <v>0.42414107170000004</v>
      </c>
      <c r="N221" s="3">
        <v>7524</v>
      </c>
      <c r="O221" s="5">
        <v>57.585892829999999</v>
      </c>
      <c r="P221" s="6">
        <f>Table2[[#This Row],[% of Collaborative Streams]]/100</f>
        <v>0.57585892829999996</v>
      </c>
    </row>
    <row r="222" spans="1:16" x14ac:dyDescent="0.3">
      <c r="A222" s="2" t="s">
        <v>289</v>
      </c>
      <c r="B222" s="2" t="s">
        <v>14</v>
      </c>
      <c r="C222" s="2" t="s">
        <v>21</v>
      </c>
      <c r="D222" s="2" t="s">
        <v>16</v>
      </c>
      <c r="E222" s="2" t="s">
        <v>17</v>
      </c>
      <c r="F222" s="2" t="s">
        <v>18</v>
      </c>
      <c r="G222" s="4">
        <v>2018</v>
      </c>
      <c r="H222" s="4">
        <v>13039.8</v>
      </c>
      <c r="I222" s="4">
        <v>12982.3</v>
      </c>
      <c r="J222" s="4">
        <v>59.7</v>
      </c>
      <c r="K222" s="4">
        <v>7413.1</v>
      </c>
      <c r="L222" s="6">
        <v>56.849798309999997</v>
      </c>
      <c r="M222" s="6">
        <f>Table2[[#This Row],[% of Solo Streams]]/100</f>
        <v>0.56849798309999999</v>
      </c>
      <c r="N222" s="3">
        <v>5626.7</v>
      </c>
      <c r="O222" s="5">
        <v>43.150201690000003</v>
      </c>
      <c r="P222" s="6">
        <f>Table2[[#This Row],[% of Collaborative Streams]]/100</f>
        <v>0.43150201690000001</v>
      </c>
    </row>
    <row r="223" spans="1:16" x14ac:dyDescent="0.3">
      <c r="A223" s="2" t="s">
        <v>290</v>
      </c>
      <c r="B223" s="2" t="s">
        <v>14</v>
      </c>
      <c r="C223" s="2" t="s">
        <v>21</v>
      </c>
      <c r="D223" s="2" t="s">
        <v>16</v>
      </c>
      <c r="E223" s="2" t="s">
        <v>291</v>
      </c>
      <c r="F223" s="2" t="s">
        <v>48</v>
      </c>
      <c r="G223" s="4">
        <v>1998</v>
      </c>
      <c r="H223" s="4">
        <v>13009.4</v>
      </c>
      <c r="I223" s="4">
        <v>13017.1</v>
      </c>
      <c r="J223" s="4">
        <v>0</v>
      </c>
      <c r="K223" s="4">
        <v>12963.5</v>
      </c>
      <c r="L223" s="6">
        <v>99.647178190000005</v>
      </c>
      <c r="M223" s="6">
        <f>Table2[[#This Row],[% of Solo Streams]]/100</f>
        <v>0.99647178190000008</v>
      </c>
      <c r="N223" s="3">
        <v>45.9</v>
      </c>
      <c r="O223" s="5">
        <v>0.3528218058</v>
      </c>
      <c r="P223" s="6">
        <f>Table2[[#This Row],[% of Collaborative Streams]]/100</f>
        <v>3.5282180579999998E-3</v>
      </c>
    </row>
    <row r="224" spans="1:16" x14ac:dyDescent="0.3">
      <c r="A224" s="2" t="s">
        <v>292</v>
      </c>
      <c r="B224" s="2" t="s">
        <v>14</v>
      </c>
      <c r="C224" s="2" t="s">
        <v>21</v>
      </c>
      <c r="D224" s="2" t="s">
        <v>16</v>
      </c>
      <c r="E224" s="2" t="s">
        <v>17</v>
      </c>
      <c r="F224" s="2" t="s">
        <v>18</v>
      </c>
      <c r="G224" s="4">
        <v>2009</v>
      </c>
      <c r="H224" s="4">
        <v>12994.4</v>
      </c>
      <c r="I224" s="4">
        <v>12999.7</v>
      </c>
      <c r="J224" s="4">
        <v>0</v>
      </c>
      <c r="K224" s="4">
        <v>5593.4</v>
      </c>
      <c r="L224" s="6">
        <v>43.044696180000003</v>
      </c>
      <c r="M224" s="6">
        <f>Table2[[#This Row],[% of Solo Streams]]/100</f>
        <v>0.43044696180000003</v>
      </c>
      <c r="N224" s="3">
        <v>7401</v>
      </c>
      <c r="O224" s="5">
        <v>56.955303819999997</v>
      </c>
      <c r="P224" s="6">
        <f>Table2[[#This Row],[% of Collaborative Streams]]/100</f>
        <v>0.56955303820000003</v>
      </c>
    </row>
    <row r="225" spans="1:16" x14ac:dyDescent="0.3">
      <c r="A225" s="2" t="s">
        <v>293</v>
      </c>
      <c r="B225" s="2" t="s">
        <v>78</v>
      </c>
      <c r="C225" s="2" t="s">
        <v>147</v>
      </c>
      <c r="D225" s="2" t="s">
        <v>16</v>
      </c>
      <c r="E225" s="2" t="s">
        <v>22</v>
      </c>
      <c r="F225" s="2" t="s">
        <v>48</v>
      </c>
      <c r="G225" s="4">
        <v>1972</v>
      </c>
      <c r="H225" s="4">
        <v>12992.2</v>
      </c>
      <c r="I225" s="4">
        <v>10479.5</v>
      </c>
      <c r="J225" s="4">
        <v>2516.3000000000002</v>
      </c>
      <c r="K225" s="4">
        <v>12992.2</v>
      </c>
      <c r="L225" s="6">
        <v>100</v>
      </c>
      <c r="M225" s="6">
        <f>Table2[[#This Row],[% of Solo Streams]]/100</f>
        <v>1</v>
      </c>
      <c r="N225" s="3">
        <v>0</v>
      </c>
      <c r="O225" s="5">
        <v>0</v>
      </c>
      <c r="P225" s="6">
        <f>Table2[[#This Row],[% of Collaborative Streams]]/100</f>
        <v>0</v>
      </c>
    </row>
    <row r="226" spans="1:16" x14ac:dyDescent="0.3">
      <c r="A226" s="2" t="s">
        <v>294</v>
      </c>
      <c r="B226" s="2" t="s">
        <v>20</v>
      </c>
      <c r="C226" s="2" t="s">
        <v>21</v>
      </c>
      <c r="D226" s="2" t="s">
        <v>24</v>
      </c>
      <c r="E226" s="2" t="s">
        <v>82</v>
      </c>
      <c r="F226" s="2" t="s">
        <v>18</v>
      </c>
      <c r="G226" s="4">
        <v>2013</v>
      </c>
      <c r="H226" s="4">
        <v>12985.2</v>
      </c>
      <c r="I226" s="4">
        <v>8772.2000000000007</v>
      </c>
      <c r="J226" s="4">
        <v>4216.8</v>
      </c>
      <c r="K226" s="4">
        <v>2160.8000000000002</v>
      </c>
      <c r="L226" s="6">
        <v>16.640483010000001</v>
      </c>
      <c r="M226" s="6">
        <f>Table2[[#This Row],[% of Solo Streams]]/100</f>
        <v>0.16640483010000001</v>
      </c>
      <c r="N226" s="3">
        <v>10824.4</v>
      </c>
      <c r="O226" s="5">
        <v>83.359516990000003</v>
      </c>
      <c r="P226" s="6">
        <f>Table2[[#This Row],[% of Collaborative Streams]]/100</f>
        <v>0.83359516990000004</v>
      </c>
    </row>
    <row r="227" spans="1:16" x14ac:dyDescent="0.3">
      <c r="A227" s="2" t="s">
        <v>295</v>
      </c>
      <c r="B227" s="2" t="s">
        <v>14</v>
      </c>
      <c r="C227" s="2" t="s">
        <v>21</v>
      </c>
      <c r="D227" s="2" t="s">
        <v>24</v>
      </c>
      <c r="E227" s="2" t="s">
        <v>25</v>
      </c>
      <c r="F227" s="2" t="s">
        <v>18</v>
      </c>
      <c r="G227" s="4">
        <v>2003</v>
      </c>
      <c r="H227" s="4">
        <v>12929.7</v>
      </c>
      <c r="I227" s="4">
        <v>5938.5</v>
      </c>
      <c r="J227" s="4">
        <v>6997.8</v>
      </c>
      <c r="K227" s="4">
        <v>1490.1</v>
      </c>
      <c r="L227" s="6">
        <v>11.524629340000001</v>
      </c>
      <c r="M227" s="6">
        <f>Table2[[#This Row],[% of Solo Streams]]/100</f>
        <v>0.1152462934</v>
      </c>
      <c r="N227" s="3">
        <v>11439.6</v>
      </c>
      <c r="O227" s="5">
        <v>88.475370659999996</v>
      </c>
      <c r="P227" s="6">
        <f>Table2[[#This Row],[% of Collaborative Streams]]/100</f>
        <v>0.88475370659999997</v>
      </c>
    </row>
    <row r="228" spans="1:16" x14ac:dyDescent="0.3">
      <c r="A228" s="2" t="s">
        <v>296</v>
      </c>
      <c r="B228" s="2" t="s">
        <v>14</v>
      </c>
      <c r="C228" s="2" t="s">
        <v>242</v>
      </c>
      <c r="D228" s="2" t="s">
        <v>24</v>
      </c>
      <c r="E228" s="2" t="s">
        <v>82</v>
      </c>
      <c r="F228" s="2" t="s">
        <v>18</v>
      </c>
      <c r="G228" s="4">
        <v>1995</v>
      </c>
      <c r="H228" s="4">
        <v>12857.9</v>
      </c>
      <c r="I228" s="4">
        <v>11010.3</v>
      </c>
      <c r="J228" s="4">
        <v>1853</v>
      </c>
      <c r="K228" s="4">
        <v>3301</v>
      </c>
      <c r="L228" s="6">
        <v>25.672932589999998</v>
      </c>
      <c r="M228" s="6">
        <f>Table2[[#This Row],[% of Solo Streams]]/100</f>
        <v>0.25672932589999997</v>
      </c>
      <c r="N228" s="3">
        <v>9556.9</v>
      </c>
      <c r="O228" s="5">
        <v>74.327067409999998</v>
      </c>
      <c r="P228" s="6">
        <f>Table2[[#This Row],[% of Collaborative Streams]]/100</f>
        <v>0.74327067410000003</v>
      </c>
    </row>
    <row r="229" spans="1:16" x14ac:dyDescent="0.3">
      <c r="A229" s="2" t="s">
        <v>297</v>
      </c>
      <c r="B229" s="2" t="s">
        <v>14</v>
      </c>
      <c r="C229" s="2" t="s">
        <v>21</v>
      </c>
      <c r="D229" s="2" t="s">
        <v>16</v>
      </c>
      <c r="E229" s="2" t="s">
        <v>17</v>
      </c>
      <c r="F229" s="2" t="s">
        <v>18</v>
      </c>
      <c r="G229" s="4">
        <v>2015</v>
      </c>
      <c r="H229" s="4">
        <v>12823.8</v>
      </c>
      <c r="I229" s="4">
        <v>5535</v>
      </c>
      <c r="J229" s="4">
        <v>7288.8</v>
      </c>
      <c r="K229" s="4">
        <v>2109.1999999999998</v>
      </c>
      <c r="L229" s="6">
        <v>16.447542850000001</v>
      </c>
      <c r="M229" s="6">
        <f>Table2[[#This Row],[% of Solo Streams]]/100</f>
        <v>0.16447542850000002</v>
      </c>
      <c r="N229" s="3">
        <v>10714.6</v>
      </c>
      <c r="O229" s="5">
        <v>83.552457149999995</v>
      </c>
      <c r="P229" s="6">
        <f>Table2[[#This Row],[% of Collaborative Streams]]/100</f>
        <v>0.83552457149999992</v>
      </c>
    </row>
    <row r="230" spans="1:16" x14ac:dyDescent="0.3">
      <c r="A230" s="2" t="s">
        <v>298</v>
      </c>
      <c r="B230" s="2" t="s">
        <v>14</v>
      </c>
      <c r="C230" s="2" t="s">
        <v>89</v>
      </c>
      <c r="D230" s="2" t="s">
        <v>24</v>
      </c>
      <c r="E230" s="2" t="s">
        <v>90</v>
      </c>
      <c r="F230" s="2" t="s">
        <v>18</v>
      </c>
      <c r="G230" s="4">
        <v>2018</v>
      </c>
      <c r="H230" s="4">
        <v>12810.9</v>
      </c>
      <c r="I230" s="4">
        <v>6582.9</v>
      </c>
      <c r="J230" s="4">
        <v>6236.2</v>
      </c>
      <c r="K230" s="4">
        <v>1707.5</v>
      </c>
      <c r="L230" s="6">
        <v>13.328493699999999</v>
      </c>
      <c r="M230" s="6">
        <f>Table2[[#This Row],[% of Solo Streams]]/100</f>
        <v>0.13328493699999999</v>
      </c>
      <c r="N230" s="3">
        <v>11103.4</v>
      </c>
      <c r="O230" s="5">
        <v>86.671506300000004</v>
      </c>
      <c r="P230" s="6">
        <f>Table2[[#This Row],[% of Collaborative Streams]]/100</f>
        <v>0.86671506300000001</v>
      </c>
    </row>
    <row r="231" spans="1:16" x14ac:dyDescent="0.3">
      <c r="A231" s="2" t="s">
        <v>299</v>
      </c>
      <c r="B231" s="2" t="s">
        <v>14</v>
      </c>
      <c r="C231" s="2" t="s">
        <v>21</v>
      </c>
      <c r="D231" s="2" t="s">
        <v>24</v>
      </c>
      <c r="E231" s="2" t="s">
        <v>25</v>
      </c>
      <c r="F231" s="2" t="s">
        <v>48</v>
      </c>
      <c r="G231" s="4">
        <v>2000</v>
      </c>
      <c r="H231" s="4">
        <v>12799.8</v>
      </c>
      <c r="I231" s="4">
        <v>5018.3999999999996</v>
      </c>
      <c r="J231" s="4">
        <v>7786.4</v>
      </c>
      <c r="K231" s="4">
        <v>1713.9</v>
      </c>
      <c r="L231" s="6">
        <v>13.390052969999999</v>
      </c>
      <c r="M231" s="6">
        <f>Table2[[#This Row],[% of Solo Streams]]/100</f>
        <v>0.13390052969999999</v>
      </c>
      <c r="N231" s="3">
        <v>11085.9</v>
      </c>
      <c r="O231" s="5">
        <v>86.609947030000001</v>
      </c>
      <c r="P231" s="6">
        <f>Table2[[#This Row],[% of Collaborative Streams]]/100</f>
        <v>0.86609947030000001</v>
      </c>
    </row>
    <row r="232" spans="1:16" x14ac:dyDescent="0.3">
      <c r="A232" s="2" t="s">
        <v>300</v>
      </c>
      <c r="B232" s="2" t="s">
        <v>14</v>
      </c>
      <c r="C232" s="2" t="s">
        <v>94</v>
      </c>
      <c r="D232" s="2" t="s">
        <v>16</v>
      </c>
      <c r="E232" s="2" t="s">
        <v>51</v>
      </c>
      <c r="F232" s="2" t="s">
        <v>48</v>
      </c>
      <c r="G232" s="4">
        <v>2011</v>
      </c>
      <c r="H232" s="4">
        <v>12788.3</v>
      </c>
      <c r="I232" s="4">
        <v>12025.6</v>
      </c>
      <c r="J232" s="4">
        <v>766.3</v>
      </c>
      <c r="K232" s="4">
        <v>11526.4</v>
      </c>
      <c r="L232" s="6">
        <v>90.132386629999999</v>
      </c>
      <c r="M232" s="6">
        <f>Table2[[#This Row],[% of Solo Streams]]/100</f>
        <v>0.90132386629999994</v>
      </c>
      <c r="N232" s="3">
        <v>1261.9000000000001</v>
      </c>
      <c r="O232" s="5">
        <v>9.8676133650000004</v>
      </c>
      <c r="P232" s="6">
        <f>Table2[[#This Row],[% of Collaborative Streams]]/100</f>
        <v>9.8676133649999997E-2</v>
      </c>
    </row>
    <row r="233" spans="1:16" x14ac:dyDescent="0.3">
      <c r="A233" s="2" t="s">
        <v>301</v>
      </c>
      <c r="B233" s="2" t="s">
        <v>14</v>
      </c>
      <c r="C233" s="2" t="s">
        <v>21</v>
      </c>
      <c r="D233" s="2" t="s">
        <v>16</v>
      </c>
      <c r="E233" s="2" t="s">
        <v>17</v>
      </c>
      <c r="F233" s="2" t="s">
        <v>18</v>
      </c>
      <c r="G233" s="4">
        <v>2015</v>
      </c>
      <c r="H233" s="4">
        <v>12751</v>
      </c>
      <c r="I233" s="4">
        <v>8481.6</v>
      </c>
      <c r="J233" s="4">
        <v>4272.5</v>
      </c>
      <c r="K233" s="4">
        <v>5659.8</v>
      </c>
      <c r="L233" s="6">
        <v>44.387106889999998</v>
      </c>
      <c r="M233" s="6">
        <f>Table2[[#This Row],[% of Solo Streams]]/100</f>
        <v>0.4438710689</v>
      </c>
      <c r="N233" s="3">
        <v>7091.2</v>
      </c>
      <c r="O233" s="5">
        <v>55.612893110000002</v>
      </c>
      <c r="P233" s="6">
        <f>Table2[[#This Row],[% of Collaborative Streams]]/100</f>
        <v>0.55612893110000006</v>
      </c>
    </row>
    <row r="234" spans="1:16" x14ac:dyDescent="0.3">
      <c r="A234" s="2" t="s">
        <v>302</v>
      </c>
      <c r="B234" s="2" t="s">
        <v>20</v>
      </c>
      <c r="C234" s="2" t="s">
        <v>45</v>
      </c>
      <c r="D234" s="2" t="s">
        <v>46</v>
      </c>
      <c r="E234" s="2" t="s">
        <v>47</v>
      </c>
      <c r="F234" s="2" t="s">
        <v>48</v>
      </c>
      <c r="G234" s="4">
        <v>2015</v>
      </c>
      <c r="H234" s="4">
        <v>12716.2</v>
      </c>
      <c r="I234" s="4">
        <v>2648.7</v>
      </c>
      <c r="J234" s="4">
        <v>10073.4</v>
      </c>
      <c r="K234" s="4">
        <v>12242.6</v>
      </c>
      <c r="L234" s="6">
        <v>96.275616929999998</v>
      </c>
      <c r="M234" s="6">
        <f>Table2[[#This Row],[% of Solo Streams]]/100</f>
        <v>0.96275616929999996</v>
      </c>
      <c r="N234" s="3">
        <v>473.6</v>
      </c>
      <c r="O234" s="5">
        <v>3.72438307</v>
      </c>
      <c r="P234" s="6">
        <f>Table2[[#This Row],[% of Collaborative Streams]]/100</f>
        <v>3.7243830700000001E-2</v>
      </c>
    </row>
    <row r="235" spans="1:16" x14ac:dyDescent="0.3">
      <c r="A235" s="2" t="s">
        <v>303</v>
      </c>
      <c r="B235" s="2" t="s">
        <v>14</v>
      </c>
      <c r="C235" s="2" t="s">
        <v>21</v>
      </c>
      <c r="D235" s="2" t="s">
        <v>24</v>
      </c>
      <c r="E235" s="2" t="s">
        <v>25</v>
      </c>
      <c r="F235" s="2" t="s">
        <v>18</v>
      </c>
      <c r="G235" s="4">
        <v>2004</v>
      </c>
      <c r="H235" s="4">
        <v>12713.2</v>
      </c>
      <c r="I235" s="4">
        <v>12596.1</v>
      </c>
      <c r="J235" s="4">
        <v>124.8</v>
      </c>
      <c r="K235" s="4">
        <v>1284.7</v>
      </c>
      <c r="L235" s="6">
        <v>10.10524494</v>
      </c>
      <c r="M235" s="6">
        <f>Table2[[#This Row],[% of Solo Streams]]/100</f>
        <v>0.10105244940000001</v>
      </c>
      <c r="N235" s="3">
        <v>11428.5</v>
      </c>
      <c r="O235" s="5">
        <v>89.894755059999994</v>
      </c>
      <c r="P235" s="6">
        <f>Table2[[#This Row],[% of Collaborative Streams]]/100</f>
        <v>0.89894755059999998</v>
      </c>
    </row>
    <row r="236" spans="1:16" x14ac:dyDescent="0.3">
      <c r="A236" s="2" t="s">
        <v>304</v>
      </c>
      <c r="B236" s="2" t="s">
        <v>20</v>
      </c>
      <c r="C236" s="2" t="s">
        <v>21</v>
      </c>
      <c r="D236" s="2" t="s">
        <v>16</v>
      </c>
      <c r="E236" s="2" t="s">
        <v>22</v>
      </c>
      <c r="F236" s="2" t="s">
        <v>18</v>
      </c>
      <c r="G236" s="4">
        <v>2008</v>
      </c>
      <c r="H236" s="4">
        <v>12700.7</v>
      </c>
      <c r="I236" s="4">
        <v>8281.2000000000007</v>
      </c>
      <c r="J236" s="4">
        <v>4423.1000000000004</v>
      </c>
      <c r="K236" s="4">
        <v>7763.9</v>
      </c>
      <c r="L236" s="6">
        <v>61.129701509999997</v>
      </c>
      <c r="M236" s="6">
        <f>Table2[[#This Row],[% of Solo Streams]]/100</f>
        <v>0.61129701510000001</v>
      </c>
      <c r="N236" s="3">
        <v>4936.8</v>
      </c>
      <c r="O236" s="5">
        <v>38.870298490000003</v>
      </c>
      <c r="P236" s="6">
        <f>Table2[[#This Row],[% of Collaborative Streams]]/100</f>
        <v>0.38870298490000005</v>
      </c>
    </row>
    <row r="237" spans="1:16" x14ac:dyDescent="0.3">
      <c r="A237" s="2" t="s">
        <v>305</v>
      </c>
      <c r="B237" s="2" t="s">
        <v>14</v>
      </c>
      <c r="C237" s="2" t="s">
        <v>33</v>
      </c>
      <c r="D237" s="2" t="s">
        <v>16</v>
      </c>
      <c r="E237" s="2" t="s">
        <v>22</v>
      </c>
      <c r="F237" s="2" t="s">
        <v>18</v>
      </c>
      <c r="G237" s="4">
        <v>2010</v>
      </c>
      <c r="H237" s="4">
        <v>12650.8</v>
      </c>
      <c r="I237" s="4">
        <v>11398.2</v>
      </c>
      <c r="J237" s="4">
        <v>1255.5</v>
      </c>
      <c r="K237" s="4">
        <v>5777.3</v>
      </c>
      <c r="L237" s="6">
        <v>45.667467670000001</v>
      </c>
      <c r="M237" s="6">
        <f>Table2[[#This Row],[% of Solo Streams]]/100</f>
        <v>0.4566746767</v>
      </c>
      <c r="N237" s="3">
        <v>6873.5</v>
      </c>
      <c r="O237" s="5">
        <v>54.332532329999999</v>
      </c>
      <c r="P237" s="6">
        <f>Table2[[#This Row],[% of Collaborative Streams]]/100</f>
        <v>0.54332532329999994</v>
      </c>
    </row>
    <row r="238" spans="1:16" x14ac:dyDescent="0.3">
      <c r="A238" s="2" t="s">
        <v>306</v>
      </c>
      <c r="B238" s="2" t="s">
        <v>14</v>
      </c>
      <c r="C238" s="2" t="s">
        <v>15</v>
      </c>
      <c r="D238" s="2" t="s">
        <v>16</v>
      </c>
      <c r="E238" s="2" t="s">
        <v>22</v>
      </c>
      <c r="F238" s="2" t="s">
        <v>18</v>
      </c>
      <c r="G238" s="4">
        <v>2001</v>
      </c>
      <c r="H238" s="4">
        <v>12647.5</v>
      </c>
      <c r="I238" s="4">
        <v>11934</v>
      </c>
      <c r="J238" s="4">
        <v>715.4</v>
      </c>
      <c r="K238" s="4">
        <v>10362.700000000001</v>
      </c>
      <c r="L238" s="6">
        <v>81.934769720000006</v>
      </c>
      <c r="M238" s="6">
        <f>Table2[[#This Row],[% of Solo Streams]]/100</f>
        <v>0.8193476972</v>
      </c>
      <c r="N238" s="3">
        <v>2284.8000000000002</v>
      </c>
      <c r="O238" s="5">
        <v>18.065230280000002</v>
      </c>
      <c r="P238" s="6">
        <f>Table2[[#This Row],[% of Collaborative Streams]]/100</f>
        <v>0.18065230280000003</v>
      </c>
    </row>
    <row r="239" spans="1:16" x14ac:dyDescent="0.3">
      <c r="A239" s="2" t="s">
        <v>307</v>
      </c>
      <c r="B239" s="2" t="s">
        <v>14</v>
      </c>
      <c r="C239" s="2" t="s">
        <v>21</v>
      </c>
      <c r="D239" s="2" t="s">
        <v>16</v>
      </c>
      <c r="E239" s="2" t="s">
        <v>17</v>
      </c>
      <c r="F239" s="2" t="s">
        <v>18</v>
      </c>
      <c r="G239" s="4">
        <v>2000</v>
      </c>
      <c r="H239" s="4">
        <v>12593.2</v>
      </c>
      <c r="I239" s="4">
        <v>6266</v>
      </c>
      <c r="J239" s="4">
        <v>6330.7</v>
      </c>
      <c r="K239" s="4">
        <v>351.5</v>
      </c>
      <c r="L239" s="6">
        <v>2.791188896</v>
      </c>
      <c r="M239" s="6">
        <f>Table2[[#This Row],[% of Solo Streams]]/100</f>
        <v>2.7911888959999999E-2</v>
      </c>
      <c r="N239" s="3">
        <v>12241.7</v>
      </c>
      <c r="O239" s="5">
        <v>97.208811100000005</v>
      </c>
      <c r="P239" s="6">
        <f>Table2[[#This Row],[% of Collaborative Streams]]/100</f>
        <v>0.97208811100000003</v>
      </c>
    </row>
    <row r="240" spans="1:16" x14ac:dyDescent="0.3">
      <c r="A240" s="2" t="s">
        <v>308</v>
      </c>
      <c r="B240" s="2" t="s">
        <v>20</v>
      </c>
      <c r="C240" s="2" t="s">
        <v>33</v>
      </c>
      <c r="D240" s="2" t="s">
        <v>16</v>
      </c>
      <c r="E240" s="2" t="s">
        <v>22</v>
      </c>
      <c r="F240" s="2" t="s">
        <v>18</v>
      </c>
      <c r="G240" s="4">
        <v>2013</v>
      </c>
      <c r="H240" s="4">
        <v>12593</v>
      </c>
      <c r="I240" s="4">
        <v>12542.7</v>
      </c>
      <c r="J240" s="4">
        <v>29.5</v>
      </c>
      <c r="K240" s="4">
        <v>3706.6</v>
      </c>
      <c r="L240" s="6">
        <v>29.433812440000001</v>
      </c>
      <c r="M240" s="6">
        <f>Table2[[#This Row],[% of Solo Streams]]/100</f>
        <v>0.29433812440000001</v>
      </c>
      <c r="N240" s="3">
        <v>8886.4</v>
      </c>
      <c r="O240" s="5">
        <v>70.566187560000003</v>
      </c>
      <c r="P240" s="6">
        <f>Table2[[#This Row],[% of Collaborative Streams]]/100</f>
        <v>0.70566187560000004</v>
      </c>
    </row>
    <row r="241" spans="1:16" x14ac:dyDescent="0.3">
      <c r="A241" s="2" t="s">
        <v>309</v>
      </c>
      <c r="B241" s="2" t="s">
        <v>14</v>
      </c>
      <c r="C241" s="2" t="s">
        <v>33</v>
      </c>
      <c r="D241" s="2" t="s">
        <v>16</v>
      </c>
      <c r="E241" s="2" t="s">
        <v>51</v>
      </c>
      <c r="F241" s="2" t="s">
        <v>48</v>
      </c>
      <c r="G241" s="4">
        <v>1964</v>
      </c>
      <c r="H241" s="4">
        <v>12566.2</v>
      </c>
      <c r="I241" s="4">
        <v>4905.7</v>
      </c>
      <c r="J241" s="4">
        <v>7658.9</v>
      </c>
      <c r="K241" s="4">
        <v>12335.7</v>
      </c>
      <c r="L241" s="6">
        <v>98.165714379999997</v>
      </c>
      <c r="M241" s="6">
        <f>Table2[[#This Row],[% of Solo Streams]]/100</f>
        <v>0.98165714380000002</v>
      </c>
      <c r="N241" s="3">
        <v>230.5</v>
      </c>
      <c r="O241" s="5">
        <v>1.834285623</v>
      </c>
      <c r="P241" s="6">
        <f>Table2[[#This Row],[% of Collaborative Streams]]/100</f>
        <v>1.8342856229999999E-2</v>
      </c>
    </row>
    <row r="242" spans="1:16" x14ac:dyDescent="0.3">
      <c r="A242" s="2" t="s">
        <v>310</v>
      </c>
      <c r="B242" s="2" t="s">
        <v>14</v>
      </c>
      <c r="C242" s="2" t="s">
        <v>21</v>
      </c>
      <c r="D242" s="2" t="s">
        <v>16</v>
      </c>
      <c r="E242" s="2" t="s">
        <v>22</v>
      </c>
      <c r="F242" s="2" t="s">
        <v>18</v>
      </c>
      <c r="G242" s="4">
        <v>1939</v>
      </c>
      <c r="H242" s="4">
        <v>12421.7</v>
      </c>
      <c r="I242" s="4">
        <v>11999.7</v>
      </c>
      <c r="J242" s="4">
        <v>421.9</v>
      </c>
      <c r="K242" s="4">
        <v>9162.6</v>
      </c>
      <c r="L242" s="6">
        <v>73.762850499999999</v>
      </c>
      <c r="M242" s="6">
        <f>Table2[[#This Row],[% of Solo Streams]]/100</f>
        <v>0.73762850499999999</v>
      </c>
      <c r="N242" s="3">
        <v>3259.1</v>
      </c>
      <c r="O242" s="5">
        <v>26.237149500000001</v>
      </c>
      <c r="P242" s="6">
        <f>Table2[[#This Row],[% of Collaborative Streams]]/100</f>
        <v>0.26237149500000001</v>
      </c>
    </row>
    <row r="243" spans="1:16" x14ac:dyDescent="0.3">
      <c r="A243" s="2" t="s">
        <v>311</v>
      </c>
      <c r="B243" s="2" t="s">
        <v>14</v>
      </c>
      <c r="C243" s="2" t="s">
        <v>128</v>
      </c>
      <c r="D243" s="2" t="s">
        <v>129</v>
      </c>
      <c r="E243" s="2" t="s">
        <v>60</v>
      </c>
      <c r="F243" s="2" t="s">
        <v>18</v>
      </c>
      <c r="G243" s="4">
        <v>2014</v>
      </c>
      <c r="H243" s="4">
        <v>12403.3</v>
      </c>
      <c r="I243" s="4">
        <v>7261.2</v>
      </c>
      <c r="J243" s="4">
        <v>5145.8</v>
      </c>
      <c r="K243" s="4">
        <v>376.4</v>
      </c>
      <c r="L243" s="6">
        <v>3.034676256</v>
      </c>
      <c r="M243" s="6">
        <f>Table2[[#This Row],[% of Solo Streams]]/100</f>
        <v>3.0346762560000001E-2</v>
      </c>
      <c r="N243" s="3">
        <v>12026.9</v>
      </c>
      <c r="O243" s="5">
        <v>96.965323740000002</v>
      </c>
      <c r="P243" s="6">
        <f>Table2[[#This Row],[% of Collaborative Streams]]/100</f>
        <v>0.96965323739999998</v>
      </c>
    </row>
    <row r="244" spans="1:16" x14ac:dyDescent="0.3">
      <c r="A244" s="2" t="s">
        <v>312</v>
      </c>
      <c r="B244" s="2" t="s">
        <v>14</v>
      </c>
      <c r="C244" s="2" t="s">
        <v>21</v>
      </c>
      <c r="D244" s="2" t="s">
        <v>24</v>
      </c>
      <c r="E244" s="2" t="s">
        <v>25</v>
      </c>
      <c r="F244" s="2" t="s">
        <v>18</v>
      </c>
      <c r="G244" s="4">
        <v>2015</v>
      </c>
      <c r="H244" s="4">
        <v>12394.6</v>
      </c>
      <c r="I244" s="4">
        <v>4419.3999999999996</v>
      </c>
      <c r="J244" s="4">
        <v>7981.5</v>
      </c>
      <c r="K244" s="4">
        <v>1528.1</v>
      </c>
      <c r="L244" s="6">
        <v>12.328756070000001</v>
      </c>
      <c r="M244" s="6">
        <f>Table2[[#This Row],[% of Solo Streams]]/100</f>
        <v>0.12328756070000001</v>
      </c>
      <c r="N244" s="3">
        <v>10866.5</v>
      </c>
      <c r="O244" s="5">
        <v>87.671243930000003</v>
      </c>
      <c r="P244" s="6">
        <f>Table2[[#This Row],[% of Collaborative Streams]]/100</f>
        <v>0.87671243929999998</v>
      </c>
    </row>
    <row r="245" spans="1:16" x14ac:dyDescent="0.3">
      <c r="A245" s="2" t="s">
        <v>313</v>
      </c>
      <c r="B245" s="2" t="s">
        <v>14</v>
      </c>
      <c r="C245" s="2" t="s">
        <v>166</v>
      </c>
      <c r="D245" s="2" t="s">
        <v>167</v>
      </c>
      <c r="E245" s="2" t="s">
        <v>168</v>
      </c>
      <c r="F245" s="2" t="s">
        <v>18</v>
      </c>
      <c r="G245" s="4">
        <v>2009</v>
      </c>
      <c r="H245" s="4">
        <v>12324.9</v>
      </c>
      <c r="I245" s="4">
        <v>10393.6</v>
      </c>
      <c r="J245" s="4">
        <v>1924.7</v>
      </c>
      <c r="K245" s="4">
        <v>8841.9</v>
      </c>
      <c r="L245" s="6">
        <v>71.740135820000006</v>
      </c>
      <c r="M245" s="6">
        <f>Table2[[#This Row],[% of Solo Streams]]/100</f>
        <v>0.71740135820000006</v>
      </c>
      <c r="N245" s="3">
        <v>3483</v>
      </c>
      <c r="O245" s="5">
        <v>28.259864180000001</v>
      </c>
      <c r="P245" s="6">
        <f>Table2[[#This Row],[% of Collaborative Streams]]/100</f>
        <v>0.28259864179999999</v>
      </c>
    </row>
    <row r="246" spans="1:16" x14ac:dyDescent="0.3">
      <c r="A246" s="2" t="s">
        <v>314</v>
      </c>
      <c r="B246" s="2" t="s">
        <v>14</v>
      </c>
      <c r="C246" s="2" t="s">
        <v>21</v>
      </c>
      <c r="D246" s="2" t="s">
        <v>24</v>
      </c>
      <c r="E246" s="2" t="s">
        <v>17</v>
      </c>
      <c r="F246" s="2" t="s">
        <v>18</v>
      </c>
      <c r="G246" s="4">
        <v>2017</v>
      </c>
      <c r="H246" s="4">
        <v>12209.5</v>
      </c>
      <c r="I246" s="4">
        <v>8937.9</v>
      </c>
      <c r="J246" s="4">
        <v>3281.7</v>
      </c>
      <c r="K246" s="4">
        <v>3226.5</v>
      </c>
      <c r="L246" s="6">
        <v>26.426143580000002</v>
      </c>
      <c r="M246" s="6">
        <f>Table2[[#This Row],[% of Solo Streams]]/100</f>
        <v>0.2642614358</v>
      </c>
      <c r="N246" s="3">
        <v>8983</v>
      </c>
      <c r="O246" s="5">
        <v>73.573856419999998</v>
      </c>
      <c r="P246" s="6">
        <f>Table2[[#This Row],[% of Collaborative Streams]]/100</f>
        <v>0.73573856419999994</v>
      </c>
    </row>
    <row r="247" spans="1:16" x14ac:dyDescent="0.3">
      <c r="A247" s="2" t="s">
        <v>315</v>
      </c>
      <c r="B247" s="2" t="s">
        <v>14</v>
      </c>
      <c r="C247" s="2" t="s">
        <v>89</v>
      </c>
      <c r="D247" s="2" t="s">
        <v>24</v>
      </c>
      <c r="E247" s="2" t="s">
        <v>90</v>
      </c>
      <c r="F247" s="2" t="s">
        <v>48</v>
      </c>
      <c r="G247" s="4">
        <v>2014</v>
      </c>
      <c r="H247" s="4">
        <v>12151.3</v>
      </c>
      <c r="I247" s="4">
        <v>8589.7999999999993</v>
      </c>
      <c r="J247" s="4">
        <v>3569.6</v>
      </c>
      <c r="K247" s="4">
        <v>2705.2</v>
      </c>
      <c r="L247" s="6">
        <v>22.26263857</v>
      </c>
      <c r="M247" s="6">
        <f>Table2[[#This Row],[% of Solo Streams]]/100</f>
        <v>0.22262638570000001</v>
      </c>
      <c r="N247" s="3">
        <v>9446.1</v>
      </c>
      <c r="O247" s="5">
        <v>77.737361430000007</v>
      </c>
      <c r="P247" s="6">
        <f>Table2[[#This Row],[% of Collaborative Streams]]/100</f>
        <v>0.77737361430000007</v>
      </c>
    </row>
    <row r="248" spans="1:16" x14ac:dyDescent="0.3">
      <c r="A248" s="2" t="s">
        <v>316</v>
      </c>
      <c r="B248" s="2" t="s">
        <v>14</v>
      </c>
      <c r="C248" s="2" t="s">
        <v>71</v>
      </c>
      <c r="D248" s="2" t="s">
        <v>72</v>
      </c>
      <c r="E248" s="2" t="s">
        <v>73</v>
      </c>
      <c r="F248" s="2" t="s">
        <v>18</v>
      </c>
      <c r="G248" s="4">
        <v>2008</v>
      </c>
      <c r="H248" s="4">
        <v>12136.7</v>
      </c>
      <c r="I248" s="4">
        <v>8.4</v>
      </c>
      <c r="J248" s="4">
        <v>12135.9</v>
      </c>
      <c r="K248" s="4">
        <v>0</v>
      </c>
      <c r="L248" s="6">
        <v>0</v>
      </c>
      <c r="M248" s="6">
        <f>Table2[[#This Row],[% of Solo Streams]]/100</f>
        <v>0</v>
      </c>
      <c r="N248" s="3">
        <v>12136.7</v>
      </c>
      <c r="O248" s="5">
        <v>100</v>
      </c>
      <c r="P248" s="6">
        <f>Table2[[#This Row],[% of Collaborative Streams]]/100</f>
        <v>1</v>
      </c>
    </row>
    <row r="249" spans="1:16" x14ac:dyDescent="0.3">
      <c r="A249" s="2" t="s">
        <v>317</v>
      </c>
      <c r="B249" s="2" t="s">
        <v>20</v>
      </c>
      <c r="C249" s="2" t="s">
        <v>21</v>
      </c>
      <c r="D249" s="2" t="s">
        <v>16</v>
      </c>
      <c r="E249" s="2" t="s">
        <v>27</v>
      </c>
      <c r="F249" s="2" t="s">
        <v>18</v>
      </c>
      <c r="G249" s="4">
        <v>2001</v>
      </c>
      <c r="H249" s="4">
        <v>12099.6</v>
      </c>
      <c r="I249" s="4">
        <v>8350.5</v>
      </c>
      <c r="J249" s="4">
        <v>3754.7</v>
      </c>
      <c r="K249" s="4">
        <v>7341.3</v>
      </c>
      <c r="L249" s="6">
        <v>60.673906580000001</v>
      </c>
      <c r="M249" s="6">
        <f>Table2[[#This Row],[% of Solo Streams]]/100</f>
        <v>0.60673906580000003</v>
      </c>
      <c r="N249" s="3">
        <v>4758.3</v>
      </c>
      <c r="O249" s="5">
        <v>39.326093419999999</v>
      </c>
      <c r="P249" s="6">
        <f>Table2[[#This Row],[% of Collaborative Streams]]/100</f>
        <v>0.39326093419999997</v>
      </c>
    </row>
    <row r="250" spans="1:16" x14ac:dyDescent="0.3">
      <c r="A250" s="2" t="s">
        <v>318</v>
      </c>
      <c r="B250" s="2" t="s">
        <v>20</v>
      </c>
      <c r="C250" s="2" t="s">
        <v>21</v>
      </c>
      <c r="D250" s="2" t="s">
        <v>16</v>
      </c>
      <c r="E250" s="2" t="s">
        <v>22</v>
      </c>
      <c r="F250" s="2" t="s">
        <v>18</v>
      </c>
      <c r="G250" s="4">
        <v>2009</v>
      </c>
      <c r="H250" s="4">
        <v>12094.7</v>
      </c>
      <c r="I250" s="4">
        <v>7821.4</v>
      </c>
      <c r="J250" s="4">
        <v>4279.1000000000004</v>
      </c>
      <c r="K250" s="4">
        <v>7189.4</v>
      </c>
      <c r="L250" s="6">
        <v>59.44256575</v>
      </c>
      <c r="M250" s="6">
        <f>Table2[[#This Row],[% of Solo Streams]]/100</f>
        <v>0.59442565749999998</v>
      </c>
      <c r="N250" s="3">
        <v>4905.3</v>
      </c>
      <c r="O250" s="5">
        <v>40.55743425</v>
      </c>
      <c r="P250" s="6">
        <f>Table2[[#This Row],[% of Collaborative Streams]]/100</f>
        <v>0.40557434250000002</v>
      </c>
    </row>
    <row r="251" spans="1:16" x14ac:dyDescent="0.3">
      <c r="A251" s="2" t="s">
        <v>319</v>
      </c>
      <c r="B251" s="2" t="s">
        <v>14</v>
      </c>
      <c r="C251" s="2" t="s">
        <v>21</v>
      </c>
      <c r="D251" s="2" t="s">
        <v>16</v>
      </c>
      <c r="E251" s="2" t="s">
        <v>22</v>
      </c>
      <c r="F251" s="2" t="s">
        <v>18</v>
      </c>
      <c r="G251" s="4">
        <v>2015</v>
      </c>
      <c r="H251" s="4">
        <v>11966.9</v>
      </c>
      <c r="I251" s="4">
        <v>10802.2</v>
      </c>
      <c r="J251" s="4">
        <v>1167.0999999999999</v>
      </c>
      <c r="K251" s="4">
        <v>7423</v>
      </c>
      <c r="L251" s="6">
        <v>62.029431180000003</v>
      </c>
      <c r="M251" s="6">
        <f>Table2[[#This Row],[% of Solo Streams]]/100</f>
        <v>0.62029431180000005</v>
      </c>
      <c r="N251" s="3">
        <v>4543.8999999999996</v>
      </c>
      <c r="O251" s="5">
        <v>37.970568819999997</v>
      </c>
      <c r="P251" s="6">
        <f>Table2[[#This Row],[% of Collaborative Streams]]/100</f>
        <v>0.37970568819999995</v>
      </c>
    </row>
    <row r="252" spans="1:16" x14ac:dyDescent="0.3">
      <c r="A252" s="2" t="s">
        <v>320</v>
      </c>
      <c r="B252" s="2" t="s">
        <v>20</v>
      </c>
      <c r="C252" s="2" t="s">
        <v>21</v>
      </c>
      <c r="D252" s="2" t="s">
        <v>16</v>
      </c>
      <c r="E252" s="2" t="s">
        <v>22</v>
      </c>
      <c r="F252" s="2" t="s">
        <v>18</v>
      </c>
      <c r="G252" s="4">
        <v>1982</v>
      </c>
      <c r="H252" s="4">
        <v>11879.6</v>
      </c>
      <c r="I252" s="4">
        <v>10122.700000000001</v>
      </c>
      <c r="J252" s="4">
        <v>1768.2</v>
      </c>
      <c r="K252" s="4">
        <v>8527.5</v>
      </c>
      <c r="L252" s="6">
        <v>71.782719959999994</v>
      </c>
      <c r="M252" s="6">
        <f>Table2[[#This Row],[% of Solo Streams]]/100</f>
        <v>0.71782719959999997</v>
      </c>
      <c r="N252" s="3">
        <v>3352.1</v>
      </c>
      <c r="O252" s="5">
        <v>28.217280039999999</v>
      </c>
      <c r="P252" s="6">
        <f>Table2[[#This Row],[% of Collaborative Streams]]/100</f>
        <v>0.28217280039999998</v>
      </c>
    </row>
    <row r="253" spans="1:16" x14ac:dyDescent="0.3">
      <c r="A253" s="2" t="s">
        <v>321</v>
      </c>
      <c r="B253" s="2" t="s">
        <v>14</v>
      </c>
      <c r="C253" s="2" t="s">
        <v>89</v>
      </c>
      <c r="D253" s="2" t="s">
        <v>24</v>
      </c>
      <c r="E253" s="2" t="s">
        <v>82</v>
      </c>
      <c r="F253" s="2" t="s">
        <v>48</v>
      </c>
      <c r="G253" s="4">
        <v>2005</v>
      </c>
      <c r="H253" s="4">
        <v>11853.7</v>
      </c>
      <c r="I253" s="4">
        <v>9900.6</v>
      </c>
      <c r="J253" s="4">
        <v>1953.1</v>
      </c>
      <c r="K253" s="4">
        <v>5248.7</v>
      </c>
      <c r="L253" s="6">
        <v>44.279001489999999</v>
      </c>
      <c r="M253" s="6">
        <f>Table2[[#This Row],[% of Solo Streams]]/100</f>
        <v>0.44279001489999997</v>
      </c>
      <c r="N253" s="3">
        <v>6605</v>
      </c>
      <c r="O253" s="5">
        <v>55.720998510000001</v>
      </c>
      <c r="P253" s="6">
        <f>Table2[[#This Row],[% of Collaborative Streams]]/100</f>
        <v>0.55720998509999997</v>
      </c>
    </row>
    <row r="254" spans="1:16" x14ac:dyDescent="0.3">
      <c r="A254" s="2" t="s">
        <v>322</v>
      </c>
      <c r="B254" s="2" t="s">
        <v>14</v>
      </c>
      <c r="C254" s="2" t="s">
        <v>21</v>
      </c>
      <c r="D254" s="2" t="s">
        <v>16</v>
      </c>
      <c r="E254" s="2" t="s">
        <v>27</v>
      </c>
      <c r="F254" s="2" t="s">
        <v>18</v>
      </c>
      <c r="G254" s="4">
        <v>2004</v>
      </c>
      <c r="H254" s="4">
        <v>11821.6</v>
      </c>
      <c r="I254" s="4">
        <v>7454.6</v>
      </c>
      <c r="J254" s="4">
        <v>4369.1000000000004</v>
      </c>
      <c r="K254" s="4">
        <v>5783.2</v>
      </c>
      <c r="L254" s="6">
        <v>48.920619879999997</v>
      </c>
      <c r="M254" s="6">
        <f>Table2[[#This Row],[% of Solo Streams]]/100</f>
        <v>0.48920619879999999</v>
      </c>
      <c r="N254" s="3">
        <v>6038.4</v>
      </c>
      <c r="O254" s="5">
        <v>51.079380120000003</v>
      </c>
      <c r="P254" s="6">
        <f>Table2[[#This Row],[% of Collaborative Streams]]/100</f>
        <v>0.51079380120000006</v>
      </c>
    </row>
    <row r="255" spans="1:16" x14ac:dyDescent="0.3">
      <c r="A255" s="2" t="s">
        <v>323</v>
      </c>
      <c r="B255" s="2" t="s">
        <v>20</v>
      </c>
      <c r="C255" s="2" t="s">
        <v>21</v>
      </c>
      <c r="D255" s="2" t="s">
        <v>16</v>
      </c>
      <c r="E255" s="2" t="s">
        <v>22</v>
      </c>
      <c r="F255" s="2" t="s">
        <v>18</v>
      </c>
      <c r="G255" s="4">
        <v>2009</v>
      </c>
      <c r="H255" s="4">
        <v>11817.1</v>
      </c>
      <c r="I255" s="4">
        <v>9731.6</v>
      </c>
      <c r="J255" s="4">
        <v>2088</v>
      </c>
      <c r="K255" s="4">
        <v>7684.3</v>
      </c>
      <c r="L255" s="6">
        <v>65.026952469999998</v>
      </c>
      <c r="M255" s="6">
        <f>Table2[[#This Row],[% of Solo Streams]]/100</f>
        <v>0.65026952469999999</v>
      </c>
      <c r="N255" s="3">
        <v>4132.8</v>
      </c>
      <c r="O255" s="5">
        <v>34.973047530000002</v>
      </c>
      <c r="P255" s="6">
        <f>Table2[[#This Row],[% of Collaborative Streams]]/100</f>
        <v>0.34973047530000001</v>
      </c>
    </row>
    <row r="256" spans="1:16" x14ac:dyDescent="0.3">
      <c r="A256" s="2" t="s">
        <v>324</v>
      </c>
      <c r="B256" s="2" t="s">
        <v>14</v>
      </c>
      <c r="C256" s="2" t="s">
        <v>21</v>
      </c>
      <c r="D256" s="2" t="s">
        <v>16</v>
      </c>
      <c r="E256" s="2" t="s">
        <v>17</v>
      </c>
      <c r="F256" s="2" t="s">
        <v>18</v>
      </c>
      <c r="G256" s="4">
        <v>2017</v>
      </c>
      <c r="H256" s="4">
        <v>11783.3</v>
      </c>
      <c r="I256" s="4">
        <v>10687.5</v>
      </c>
      <c r="J256" s="4">
        <v>1099.4000000000001</v>
      </c>
      <c r="K256" s="4">
        <v>8809.7999999999993</v>
      </c>
      <c r="L256" s="6">
        <v>74.765133710000001</v>
      </c>
      <c r="M256" s="6">
        <f>Table2[[#This Row],[% of Solo Streams]]/100</f>
        <v>0.74765133709999998</v>
      </c>
      <c r="N256" s="3">
        <v>2973.5</v>
      </c>
      <c r="O256" s="5">
        <v>25.234866289999999</v>
      </c>
      <c r="P256" s="6">
        <f>Table2[[#This Row],[% of Collaborative Streams]]/100</f>
        <v>0.25234866290000002</v>
      </c>
    </row>
    <row r="257" spans="1:16" x14ac:dyDescent="0.3">
      <c r="A257" s="2" t="s">
        <v>325</v>
      </c>
      <c r="B257" s="2" t="s">
        <v>20</v>
      </c>
      <c r="C257" s="2" t="s">
        <v>326</v>
      </c>
      <c r="D257" s="2" t="s">
        <v>16</v>
      </c>
      <c r="E257" s="2" t="s">
        <v>22</v>
      </c>
      <c r="F257" s="2" t="s">
        <v>18</v>
      </c>
      <c r="G257" s="4">
        <v>2012</v>
      </c>
      <c r="H257" s="4">
        <v>11721</v>
      </c>
      <c r="I257" s="4">
        <v>11036</v>
      </c>
      <c r="J257" s="4">
        <v>689</v>
      </c>
      <c r="K257" s="4">
        <v>10605.6</v>
      </c>
      <c r="L257" s="6">
        <v>90.483747120000004</v>
      </c>
      <c r="M257" s="6">
        <f>Table2[[#This Row],[% of Solo Streams]]/100</f>
        <v>0.90483747120000002</v>
      </c>
      <c r="N257" s="3">
        <v>1115.4000000000001</v>
      </c>
      <c r="O257" s="5">
        <v>9.5162528789999996</v>
      </c>
      <c r="P257" s="6">
        <f>Table2[[#This Row],[% of Collaborative Streams]]/100</f>
        <v>9.5162528789999992E-2</v>
      </c>
    </row>
    <row r="258" spans="1:16" x14ac:dyDescent="0.3">
      <c r="A258" s="2" t="s">
        <v>327</v>
      </c>
      <c r="B258" s="2" t="s">
        <v>14</v>
      </c>
      <c r="C258" s="2" t="s">
        <v>166</v>
      </c>
      <c r="D258" s="2" t="s">
        <v>167</v>
      </c>
      <c r="E258" s="2" t="s">
        <v>17</v>
      </c>
      <c r="F258" s="2" t="s">
        <v>18</v>
      </c>
      <c r="G258" s="4">
        <v>2019</v>
      </c>
      <c r="H258" s="4">
        <v>11715.1</v>
      </c>
      <c r="I258" s="4">
        <v>1404.1</v>
      </c>
      <c r="J258" s="4">
        <v>10305.200000000001</v>
      </c>
      <c r="K258" s="4">
        <v>7.7</v>
      </c>
      <c r="L258" s="6">
        <v>6.5727138480000002E-2</v>
      </c>
      <c r="M258" s="6">
        <f>Table2[[#This Row],[% of Solo Streams]]/100</f>
        <v>6.5727138479999999E-4</v>
      </c>
      <c r="N258" s="3">
        <v>11707.4</v>
      </c>
      <c r="O258" s="5">
        <v>99.934272859999993</v>
      </c>
      <c r="P258" s="6">
        <f>Table2[[#This Row],[% of Collaborative Streams]]/100</f>
        <v>0.99934272859999995</v>
      </c>
    </row>
    <row r="259" spans="1:16" x14ac:dyDescent="0.3">
      <c r="A259" s="2" t="s">
        <v>328</v>
      </c>
      <c r="B259" s="2" t="s">
        <v>14</v>
      </c>
      <c r="C259" s="2" t="s">
        <v>21</v>
      </c>
      <c r="D259" s="2" t="s">
        <v>16</v>
      </c>
      <c r="E259" s="2" t="s">
        <v>98</v>
      </c>
      <c r="F259" s="2" t="s">
        <v>18</v>
      </c>
      <c r="G259" s="4">
        <v>2015</v>
      </c>
      <c r="H259" s="4">
        <v>11678.7</v>
      </c>
      <c r="I259" s="4">
        <v>9802.2000000000007</v>
      </c>
      <c r="J259" s="4">
        <v>1883.1</v>
      </c>
      <c r="K259" s="4">
        <v>9721.7999999999993</v>
      </c>
      <c r="L259" s="6">
        <v>83.243854200000001</v>
      </c>
      <c r="M259" s="6">
        <f>Table2[[#This Row],[% of Solo Streams]]/100</f>
        <v>0.832438542</v>
      </c>
      <c r="N259" s="3">
        <v>1956.9</v>
      </c>
      <c r="O259" s="5">
        <v>16.756145799999999</v>
      </c>
      <c r="P259" s="6">
        <f>Table2[[#This Row],[% of Collaborative Streams]]/100</f>
        <v>0.167561458</v>
      </c>
    </row>
    <row r="260" spans="1:16" x14ac:dyDescent="0.3">
      <c r="A260" s="2" t="s">
        <v>329</v>
      </c>
      <c r="B260" s="2" t="s">
        <v>14</v>
      </c>
      <c r="C260" s="2" t="s">
        <v>330</v>
      </c>
      <c r="D260" s="2" t="s">
        <v>16</v>
      </c>
      <c r="E260" s="2" t="s">
        <v>17</v>
      </c>
      <c r="F260" s="2" t="s">
        <v>18</v>
      </c>
      <c r="G260" s="4">
        <v>2002</v>
      </c>
      <c r="H260" s="4">
        <v>11640.6</v>
      </c>
      <c r="I260" s="4">
        <v>6067.8</v>
      </c>
      <c r="J260" s="4">
        <v>5576.2</v>
      </c>
      <c r="K260" s="4">
        <v>325.2</v>
      </c>
      <c r="L260" s="6">
        <v>2.7936704290000001</v>
      </c>
      <c r="M260" s="6">
        <f>Table2[[#This Row],[% of Solo Streams]]/100</f>
        <v>2.7936704289999999E-2</v>
      </c>
      <c r="N260" s="3">
        <v>11315.4</v>
      </c>
      <c r="O260" s="5">
        <v>97.206329569999994</v>
      </c>
      <c r="P260" s="6">
        <f>Table2[[#This Row],[% of Collaborative Streams]]/100</f>
        <v>0.97206329569999994</v>
      </c>
    </row>
    <row r="261" spans="1:16" x14ac:dyDescent="0.3">
      <c r="A261" s="2" t="s">
        <v>331</v>
      </c>
      <c r="B261" s="2" t="s">
        <v>20</v>
      </c>
      <c r="C261" s="2" t="s">
        <v>21</v>
      </c>
      <c r="D261" s="2" t="s">
        <v>16</v>
      </c>
      <c r="E261" s="2" t="s">
        <v>22</v>
      </c>
      <c r="F261" s="2" t="s">
        <v>18</v>
      </c>
      <c r="G261" s="4">
        <v>2014</v>
      </c>
      <c r="H261" s="4">
        <v>11632.9</v>
      </c>
      <c r="I261" s="4">
        <v>11637.4</v>
      </c>
      <c r="J261" s="4">
        <v>0</v>
      </c>
      <c r="K261" s="4">
        <v>11489.7</v>
      </c>
      <c r="L261" s="6">
        <v>98.769008589999999</v>
      </c>
      <c r="M261" s="6">
        <f>Table2[[#This Row],[% of Solo Streams]]/100</f>
        <v>0.98769008589999996</v>
      </c>
      <c r="N261" s="3">
        <v>143.19999999999999</v>
      </c>
      <c r="O261" s="5">
        <v>1.2309914120000001</v>
      </c>
      <c r="P261" s="6">
        <f>Table2[[#This Row],[% of Collaborative Streams]]/100</f>
        <v>1.2309914120000001E-2</v>
      </c>
    </row>
    <row r="262" spans="1:16" x14ac:dyDescent="0.3">
      <c r="A262" s="2" t="s">
        <v>332</v>
      </c>
      <c r="B262" s="2" t="s">
        <v>14</v>
      </c>
      <c r="C262" s="2" t="s">
        <v>21</v>
      </c>
      <c r="D262" s="2" t="s">
        <v>16</v>
      </c>
      <c r="E262" s="2" t="s">
        <v>51</v>
      </c>
      <c r="F262" s="2" t="s">
        <v>18</v>
      </c>
      <c r="G262" s="4">
        <v>1954</v>
      </c>
      <c r="H262" s="4">
        <v>11588.8</v>
      </c>
      <c r="I262" s="4">
        <v>11545</v>
      </c>
      <c r="J262" s="4">
        <v>47.3</v>
      </c>
      <c r="K262" s="4">
        <v>10653.5</v>
      </c>
      <c r="L262" s="6">
        <v>91.929276540000004</v>
      </c>
      <c r="M262" s="6">
        <f>Table2[[#This Row],[% of Solo Streams]]/100</f>
        <v>0.91929276540000004</v>
      </c>
      <c r="N262" s="3">
        <v>935.3</v>
      </c>
      <c r="O262" s="5">
        <v>8.0707234569999997</v>
      </c>
      <c r="P262" s="6">
        <f>Table2[[#This Row],[% of Collaborative Streams]]/100</f>
        <v>8.0707234569999994E-2</v>
      </c>
    </row>
    <row r="263" spans="1:16" x14ac:dyDescent="0.3">
      <c r="A263" s="2" t="s">
        <v>333</v>
      </c>
      <c r="B263" s="2" t="s">
        <v>14</v>
      </c>
      <c r="C263" s="2" t="s">
        <v>21</v>
      </c>
      <c r="D263" s="2" t="s">
        <v>16</v>
      </c>
      <c r="E263" s="2" t="s">
        <v>17</v>
      </c>
      <c r="F263" s="2" t="s">
        <v>18</v>
      </c>
      <c r="G263" s="4">
        <v>2006</v>
      </c>
      <c r="H263" s="4">
        <v>11575.2</v>
      </c>
      <c r="I263" s="4">
        <v>3209.4</v>
      </c>
      <c r="J263" s="4">
        <v>8365.7999999999993</v>
      </c>
      <c r="K263" s="4">
        <v>747.3</v>
      </c>
      <c r="L263" s="6">
        <v>6.4560439560000003</v>
      </c>
      <c r="M263" s="6">
        <f>Table2[[#This Row],[% of Solo Streams]]/100</f>
        <v>6.4560439560000002E-2</v>
      </c>
      <c r="N263" s="3">
        <v>10827.9</v>
      </c>
      <c r="O263" s="5">
        <v>93.543956039999998</v>
      </c>
      <c r="P263" s="6">
        <f>Table2[[#This Row],[% of Collaborative Streams]]/100</f>
        <v>0.93543956039999998</v>
      </c>
    </row>
    <row r="264" spans="1:16" x14ac:dyDescent="0.3">
      <c r="A264" s="2" t="s">
        <v>334</v>
      </c>
      <c r="B264" s="2" t="s">
        <v>14</v>
      </c>
      <c r="C264" s="2" t="s">
        <v>335</v>
      </c>
      <c r="D264" s="2" t="s">
        <v>24</v>
      </c>
      <c r="E264" s="2" t="s">
        <v>25</v>
      </c>
      <c r="F264" s="2" t="s">
        <v>18</v>
      </c>
      <c r="G264" s="4">
        <v>2019</v>
      </c>
      <c r="H264" s="4">
        <v>11566.2</v>
      </c>
      <c r="I264" s="4">
        <v>7224.2</v>
      </c>
      <c r="J264" s="4">
        <v>4349.3999999999996</v>
      </c>
      <c r="K264" s="4">
        <v>4663</v>
      </c>
      <c r="L264" s="6">
        <v>40.315747610000003</v>
      </c>
      <c r="M264" s="6">
        <f>Table2[[#This Row],[% of Solo Streams]]/100</f>
        <v>0.40315747610000002</v>
      </c>
      <c r="N264" s="3">
        <v>6903.2</v>
      </c>
      <c r="O264" s="5">
        <v>59.684252389999997</v>
      </c>
      <c r="P264" s="6">
        <f>Table2[[#This Row],[% of Collaborative Streams]]/100</f>
        <v>0.59684252389999992</v>
      </c>
    </row>
    <row r="265" spans="1:16" x14ac:dyDescent="0.3">
      <c r="A265" s="2" t="s">
        <v>336</v>
      </c>
      <c r="B265" s="2" t="s">
        <v>14</v>
      </c>
      <c r="C265" s="2" t="s">
        <v>337</v>
      </c>
      <c r="D265" s="2" t="s">
        <v>16</v>
      </c>
      <c r="E265" s="2" t="s">
        <v>60</v>
      </c>
      <c r="F265" s="2" t="s">
        <v>18</v>
      </c>
      <c r="G265" s="4">
        <v>2010</v>
      </c>
      <c r="H265" s="4">
        <v>11481.4</v>
      </c>
      <c r="I265" s="4">
        <v>11486.5</v>
      </c>
      <c r="J265" s="4">
        <v>0</v>
      </c>
      <c r="K265" s="4">
        <v>235.7</v>
      </c>
      <c r="L265" s="6">
        <v>2.0528855369999999</v>
      </c>
      <c r="M265" s="6">
        <f>Table2[[#This Row],[% of Solo Streams]]/100</f>
        <v>2.0528855369999998E-2</v>
      </c>
      <c r="N265" s="3">
        <v>11245.7</v>
      </c>
      <c r="O265" s="5">
        <v>97.947114459999995</v>
      </c>
      <c r="P265" s="6">
        <f>Table2[[#This Row],[% of Collaborative Streams]]/100</f>
        <v>0.97947114459999995</v>
      </c>
    </row>
    <row r="266" spans="1:16" x14ac:dyDescent="0.3">
      <c r="A266" s="2" t="s">
        <v>338</v>
      </c>
      <c r="B266" s="2" t="s">
        <v>78</v>
      </c>
      <c r="C266" s="2" t="s">
        <v>21</v>
      </c>
      <c r="D266" s="2" t="s">
        <v>16</v>
      </c>
      <c r="E266" s="2" t="s">
        <v>51</v>
      </c>
      <c r="F266" s="2" t="s">
        <v>48</v>
      </c>
      <c r="G266" s="4">
        <v>2005</v>
      </c>
      <c r="H266" s="4">
        <v>11480.4</v>
      </c>
      <c r="I266" s="4">
        <v>8241.1</v>
      </c>
      <c r="J266" s="4">
        <v>3243.6</v>
      </c>
      <c r="K266" s="4">
        <v>11420.3</v>
      </c>
      <c r="L266" s="6">
        <v>99.476499079999996</v>
      </c>
      <c r="M266" s="6">
        <f>Table2[[#This Row],[% of Solo Streams]]/100</f>
        <v>0.99476499079999992</v>
      </c>
      <c r="N266" s="3">
        <v>60.1</v>
      </c>
      <c r="O266" s="5">
        <v>0.52350092329999998</v>
      </c>
      <c r="P266" s="6">
        <f>Table2[[#This Row],[% of Collaborative Streams]]/100</f>
        <v>5.235009233E-3</v>
      </c>
    </row>
    <row r="267" spans="1:16" x14ac:dyDescent="0.3">
      <c r="A267" s="2" t="s">
        <v>339</v>
      </c>
      <c r="B267" s="2" t="s">
        <v>14</v>
      </c>
      <c r="C267" s="2" t="s">
        <v>21</v>
      </c>
      <c r="D267" s="2" t="s">
        <v>16</v>
      </c>
      <c r="E267" s="2" t="s">
        <v>17</v>
      </c>
      <c r="F267" s="2" t="s">
        <v>18</v>
      </c>
      <c r="G267" s="4">
        <v>2012</v>
      </c>
      <c r="H267" s="4">
        <v>11475.1</v>
      </c>
      <c r="I267" s="4">
        <v>3956.3</v>
      </c>
      <c r="J267" s="4">
        <v>7518.7</v>
      </c>
      <c r="K267" s="4">
        <v>545.70000000000005</v>
      </c>
      <c r="L267" s="6">
        <v>4.7555141130000003</v>
      </c>
      <c r="M267" s="6">
        <f>Table2[[#This Row],[% of Solo Streams]]/100</f>
        <v>4.7555141130000006E-2</v>
      </c>
      <c r="N267" s="3">
        <v>10929.4</v>
      </c>
      <c r="O267" s="5">
        <v>95.244485890000007</v>
      </c>
      <c r="P267" s="6">
        <f>Table2[[#This Row],[% of Collaborative Streams]]/100</f>
        <v>0.95244485890000008</v>
      </c>
    </row>
    <row r="268" spans="1:16" x14ac:dyDescent="0.3">
      <c r="A268" s="2" t="s">
        <v>340</v>
      </c>
      <c r="B268" s="2" t="s">
        <v>14</v>
      </c>
      <c r="C268" s="2" t="s">
        <v>59</v>
      </c>
      <c r="D268" s="2" t="s">
        <v>257</v>
      </c>
      <c r="E268" s="2" t="s">
        <v>17</v>
      </c>
      <c r="F268" s="2" t="s">
        <v>18</v>
      </c>
      <c r="G268" s="4">
        <v>2017</v>
      </c>
      <c r="H268" s="4">
        <v>11459.5</v>
      </c>
      <c r="I268" s="4">
        <v>7069.7</v>
      </c>
      <c r="J268" s="4">
        <v>4399.6000000000004</v>
      </c>
      <c r="K268" s="4">
        <v>5201.3999999999996</v>
      </c>
      <c r="L268" s="6">
        <v>45.389414899999998</v>
      </c>
      <c r="M268" s="6">
        <f>Table2[[#This Row],[% of Solo Streams]]/100</f>
        <v>0.45389414899999997</v>
      </c>
      <c r="N268" s="3">
        <v>6258.1</v>
      </c>
      <c r="O268" s="5">
        <v>54.610585100000002</v>
      </c>
      <c r="P268" s="6">
        <f>Table2[[#This Row],[% of Collaborative Streams]]/100</f>
        <v>0.54610585099999998</v>
      </c>
    </row>
    <row r="269" spans="1:16" x14ac:dyDescent="0.3">
      <c r="A269" s="2" t="s">
        <v>341</v>
      </c>
      <c r="B269" s="2" t="s">
        <v>14</v>
      </c>
      <c r="C269" s="2" t="s">
        <v>21</v>
      </c>
      <c r="D269" s="2" t="s">
        <v>16</v>
      </c>
      <c r="E269" s="2" t="s">
        <v>27</v>
      </c>
      <c r="F269" s="2" t="s">
        <v>18</v>
      </c>
      <c r="G269" s="4">
        <v>2006</v>
      </c>
      <c r="H269" s="4">
        <v>11428.5</v>
      </c>
      <c r="I269" s="4">
        <v>7562.2</v>
      </c>
      <c r="J269" s="4">
        <v>3868</v>
      </c>
      <c r="K269" s="4">
        <v>6108.9</v>
      </c>
      <c r="L269" s="6">
        <v>53.453209080000001</v>
      </c>
      <c r="M269" s="6">
        <f>Table2[[#This Row],[% of Solo Streams]]/100</f>
        <v>0.53453209079999997</v>
      </c>
      <c r="N269" s="3">
        <v>5319.6</v>
      </c>
      <c r="O269" s="5">
        <v>46.546790919999999</v>
      </c>
      <c r="P269" s="6">
        <f>Table2[[#This Row],[% of Collaborative Streams]]/100</f>
        <v>0.46546790919999997</v>
      </c>
    </row>
    <row r="270" spans="1:16" x14ac:dyDescent="0.3">
      <c r="A270" s="2" t="s">
        <v>342</v>
      </c>
      <c r="B270" s="2" t="s">
        <v>14</v>
      </c>
      <c r="C270" s="2" t="s">
        <v>21</v>
      </c>
      <c r="D270" s="2" t="s">
        <v>16</v>
      </c>
      <c r="E270" s="2" t="s">
        <v>51</v>
      </c>
      <c r="F270" s="2" t="s">
        <v>48</v>
      </c>
      <c r="G270" s="4">
        <v>1968</v>
      </c>
      <c r="H270" s="4">
        <v>11314.2</v>
      </c>
      <c r="I270" s="4">
        <v>11274.4</v>
      </c>
      <c r="J270" s="4">
        <v>44.7</v>
      </c>
      <c r="K270" s="4">
        <v>11264.9</v>
      </c>
      <c r="L270" s="6">
        <v>99.564264379999997</v>
      </c>
      <c r="M270" s="6">
        <f>Table2[[#This Row],[% of Solo Streams]]/100</f>
        <v>0.9956426438</v>
      </c>
      <c r="N270" s="3">
        <v>49.3</v>
      </c>
      <c r="O270" s="5">
        <v>0.43573562430000001</v>
      </c>
      <c r="P270" s="6">
        <f>Table2[[#This Row],[% of Collaborative Streams]]/100</f>
        <v>4.3573562430000001E-3</v>
      </c>
    </row>
    <row r="271" spans="1:16" x14ac:dyDescent="0.3">
      <c r="A271" s="2" t="s">
        <v>343</v>
      </c>
      <c r="B271" s="2" t="s">
        <v>14</v>
      </c>
      <c r="C271" s="2" t="s">
        <v>21</v>
      </c>
      <c r="D271" s="2" t="s">
        <v>16</v>
      </c>
      <c r="E271" s="2" t="s">
        <v>27</v>
      </c>
      <c r="F271" s="2" t="s">
        <v>18</v>
      </c>
      <c r="G271" s="4">
        <v>2005</v>
      </c>
      <c r="H271" s="4">
        <v>11238.2</v>
      </c>
      <c r="I271" s="4">
        <v>4609.5</v>
      </c>
      <c r="J271" s="4">
        <v>6628.7</v>
      </c>
      <c r="K271" s="4">
        <v>839.9</v>
      </c>
      <c r="L271" s="6">
        <v>7.4736167709999997</v>
      </c>
      <c r="M271" s="6">
        <f>Table2[[#This Row],[% of Solo Streams]]/100</f>
        <v>7.4736167709999995E-2</v>
      </c>
      <c r="N271" s="3">
        <v>10398.299999999999</v>
      </c>
      <c r="O271" s="5">
        <v>92.526383229999993</v>
      </c>
      <c r="P271" s="6">
        <f>Table2[[#This Row],[% of Collaborative Streams]]/100</f>
        <v>0.92526383229999998</v>
      </c>
    </row>
    <row r="272" spans="1:16" x14ac:dyDescent="0.3">
      <c r="A272" s="2" t="s">
        <v>344</v>
      </c>
      <c r="B272" s="2" t="s">
        <v>14</v>
      </c>
      <c r="C272" s="2" t="s">
        <v>45</v>
      </c>
      <c r="D272" s="2" t="s">
        <v>46</v>
      </c>
      <c r="E272" s="2" t="s">
        <v>47</v>
      </c>
      <c r="F272" s="2" t="s">
        <v>18</v>
      </c>
      <c r="G272" s="4">
        <v>2013</v>
      </c>
      <c r="H272" s="4">
        <v>11232.6</v>
      </c>
      <c r="I272" s="4">
        <v>9653.7999999999993</v>
      </c>
      <c r="J272" s="4">
        <v>1583.7</v>
      </c>
      <c r="K272" s="4">
        <v>4076.4</v>
      </c>
      <c r="L272" s="6">
        <v>36.29079643</v>
      </c>
      <c r="M272" s="6">
        <f>Table2[[#This Row],[% of Solo Streams]]/100</f>
        <v>0.3629079643</v>
      </c>
      <c r="N272" s="3">
        <v>7156.2</v>
      </c>
      <c r="O272" s="5">
        <v>63.70920357</v>
      </c>
      <c r="P272" s="6">
        <f>Table2[[#This Row],[% of Collaborative Streams]]/100</f>
        <v>0.63709203569999995</v>
      </c>
    </row>
    <row r="273" spans="1:16" x14ac:dyDescent="0.3">
      <c r="A273" s="2" t="s">
        <v>345</v>
      </c>
      <c r="B273" s="2" t="s">
        <v>14</v>
      </c>
      <c r="C273" s="2" t="s">
        <v>21</v>
      </c>
      <c r="D273" s="2" t="s">
        <v>16</v>
      </c>
      <c r="E273" s="2" t="s">
        <v>60</v>
      </c>
      <c r="F273" s="2" t="s">
        <v>18</v>
      </c>
      <c r="G273" s="4">
        <v>2010</v>
      </c>
      <c r="H273" s="4">
        <v>11198.8</v>
      </c>
      <c r="I273" s="4">
        <v>5328.3</v>
      </c>
      <c r="J273" s="4">
        <v>5873.2</v>
      </c>
      <c r="K273" s="4">
        <v>961.9</v>
      </c>
      <c r="L273" s="6">
        <v>8.5893131409999999</v>
      </c>
      <c r="M273" s="6">
        <f>Table2[[#This Row],[% of Solo Streams]]/100</f>
        <v>8.5893131410000004E-2</v>
      </c>
      <c r="N273" s="3">
        <v>10236.9</v>
      </c>
      <c r="O273" s="5">
        <v>91.410686859999998</v>
      </c>
      <c r="P273" s="6">
        <f>Table2[[#This Row],[% of Collaborative Streams]]/100</f>
        <v>0.91410686860000001</v>
      </c>
    </row>
    <row r="274" spans="1:16" x14ac:dyDescent="0.3">
      <c r="A274" s="2" t="s">
        <v>346</v>
      </c>
      <c r="B274" s="2" t="s">
        <v>14</v>
      </c>
      <c r="C274" s="2" t="s">
        <v>21</v>
      </c>
      <c r="D274" s="2" t="s">
        <v>16</v>
      </c>
      <c r="E274" s="2" t="s">
        <v>17</v>
      </c>
      <c r="F274" s="2" t="s">
        <v>18</v>
      </c>
      <c r="G274" s="4">
        <v>2006</v>
      </c>
      <c r="H274" s="4">
        <v>11196</v>
      </c>
      <c r="I274" s="4">
        <v>10287.700000000001</v>
      </c>
      <c r="J274" s="4">
        <v>910.9</v>
      </c>
      <c r="K274" s="4">
        <v>656.6</v>
      </c>
      <c r="L274" s="6">
        <v>5.8645944979999998</v>
      </c>
      <c r="M274" s="6">
        <f>Table2[[#This Row],[% of Solo Streams]]/100</f>
        <v>5.8645944979999996E-2</v>
      </c>
      <c r="N274" s="3">
        <v>10539.4</v>
      </c>
      <c r="O274" s="5">
        <v>94.135405500000005</v>
      </c>
      <c r="P274" s="6">
        <f>Table2[[#This Row],[% of Collaborative Streams]]/100</f>
        <v>0.94135405500000002</v>
      </c>
    </row>
    <row r="275" spans="1:16" x14ac:dyDescent="0.3">
      <c r="A275" s="2" t="s">
        <v>347</v>
      </c>
      <c r="B275" s="2" t="s">
        <v>14</v>
      </c>
      <c r="C275" s="2" t="s">
        <v>348</v>
      </c>
      <c r="D275" s="2" t="s">
        <v>16</v>
      </c>
      <c r="E275" s="2" t="s">
        <v>349</v>
      </c>
      <c r="F275" s="2" t="s">
        <v>18</v>
      </c>
      <c r="G275" s="4">
        <v>2011</v>
      </c>
      <c r="H275" s="4">
        <v>11149</v>
      </c>
      <c r="I275" s="4">
        <v>3260</v>
      </c>
      <c r="J275" s="4">
        <v>7882.2</v>
      </c>
      <c r="K275" s="4">
        <v>1292</v>
      </c>
      <c r="L275" s="6">
        <v>11.588483269999999</v>
      </c>
      <c r="M275" s="6">
        <f>Table2[[#This Row],[% of Solo Streams]]/100</f>
        <v>0.1158848327</v>
      </c>
      <c r="N275" s="3">
        <v>9857</v>
      </c>
      <c r="O275" s="5">
        <v>88.411516730000002</v>
      </c>
      <c r="P275" s="6">
        <f>Table2[[#This Row],[% of Collaborative Streams]]/100</f>
        <v>0.88411516730000006</v>
      </c>
    </row>
    <row r="276" spans="1:16" x14ac:dyDescent="0.3">
      <c r="A276" s="2" t="s">
        <v>350</v>
      </c>
      <c r="B276" s="2" t="s">
        <v>14</v>
      </c>
      <c r="C276" s="2" t="s">
        <v>33</v>
      </c>
      <c r="D276" s="2" t="s">
        <v>16</v>
      </c>
      <c r="E276" s="2" t="s">
        <v>51</v>
      </c>
      <c r="F276" s="2" t="s">
        <v>48</v>
      </c>
      <c r="G276" s="4">
        <v>1994</v>
      </c>
      <c r="H276" s="4">
        <v>11063.6</v>
      </c>
      <c r="I276" s="4">
        <v>11073.6</v>
      </c>
      <c r="J276" s="4">
        <v>0</v>
      </c>
      <c r="K276" s="4">
        <v>11061.4</v>
      </c>
      <c r="L276" s="6">
        <v>99.980114970000002</v>
      </c>
      <c r="M276" s="6">
        <f>Table2[[#This Row],[% of Solo Streams]]/100</f>
        <v>0.9998011497</v>
      </c>
      <c r="N276" s="3">
        <v>2.2000000000000002</v>
      </c>
      <c r="O276" s="5">
        <v>1.9885028379999999E-2</v>
      </c>
      <c r="P276" s="6">
        <f>Table2[[#This Row],[% of Collaborative Streams]]/100</f>
        <v>1.988502838E-4</v>
      </c>
    </row>
    <row r="277" spans="1:16" x14ac:dyDescent="0.3">
      <c r="A277" s="2" t="s">
        <v>351</v>
      </c>
      <c r="B277" s="2" t="s">
        <v>20</v>
      </c>
      <c r="C277" s="2" t="s">
        <v>21</v>
      </c>
      <c r="D277" s="2" t="s">
        <v>16</v>
      </c>
      <c r="E277" s="2" t="s">
        <v>22</v>
      </c>
      <c r="F277" s="2" t="s">
        <v>18</v>
      </c>
      <c r="G277" s="4">
        <v>1999</v>
      </c>
      <c r="H277" s="4">
        <v>11060.5</v>
      </c>
      <c r="I277" s="4">
        <v>6055.9</v>
      </c>
      <c r="J277" s="4">
        <v>5004.6000000000004</v>
      </c>
      <c r="K277" s="4">
        <v>4661.1000000000004</v>
      </c>
      <c r="L277" s="6">
        <v>42.141856150000002</v>
      </c>
      <c r="M277" s="6">
        <f>Table2[[#This Row],[% of Solo Streams]]/100</f>
        <v>0.42141856150000001</v>
      </c>
      <c r="N277" s="3">
        <v>6399.4</v>
      </c>
      <c r="O277" s="5">
        <v>57.858143849999998</v>
      </c>
      <c r="P277" s="6">
        <f>Table2[[#This Row],[% of Collaborative Streams]]/100</f>
        <v>0.57858143849999999</v>
      </c>
    </row>
    <row r="278" spans="1:16" x14ac:dyDescent="0.3">
      <c r="A278" s="2" t="s">
        <v>352</v>
      </c>
      <c r="B278" s="2" t="s">
        <v>14</v>
      </c>
      <c r="C278" s="2" t="s">
        <v>21</v>
      </c>
      <c r="D278" s="2" t="s">
        <v>16</v>
      </c>
      <c r="E278" s="2" t="s">
        <v>291</v>
      </c>
      <c r="F278" s="2" t="s">
        <v>48</v>
      </c>
      <c r="G278" s="4">
        <v>1999</v>
      </c>
      <c r="H278" s="4">
        <v>11051.4</v>
      </c>
      <c r="I278" s="4">
        <v>11056.2</v>
      </c>
      <c r="J278" s="4">
        <v>0</v>
      </c>
      <c r="K278" s="4">
        <v>11051.4</v>
      </c>
      <c r="L278" s="6">
        <v>100</v>
      </c>
      <c r="M278" s="6">
        <f>Table2[[#This Row],[% of Solo Streams]]/100</f>
        <v>1</v>
      </c>
      <c r="N278" s="3">
        <v>0</v>
      </c>
      <c r="O278" s="5">
        <v>0</v>
      </c>
      <c r="P278" s="6">
        <f>Table2[[#This Row],[% of Collaborative Streams]]/100</f>
        <v>0</v>
      </c>
    </row>
    <row r="279" spans="1:16" x14ac:dyDescent="0.3">
      <c r="A279" s="2" t="s">
        <v>353</v>
      </c>
      <c r="B279" s="2" t="s">
        <v>14</v>
      </c>
      <c r="C279" s="2" t="s">
        <v>71</v>
      </c>
      <c r="D279" s="2" t="s">
        <v>72</v>
      </c>
      <c r="E279" s="2" t="s">
        <v>73</v>
      </c>
      <c r="F279" s="2" t="s">
        <v>18</v>
      </c>
      <c r="G279" s="4">
        <v>2004</v>
      </c>
      <c r="H279" s="4">
        <v>11014.9</v>
      </c>
      <c r="I279" s="4">
        <v>5793.9</v>
      </c>
      <c r="J279" s="4">
        <v>5236.3</v>
      </c>
      <c r="K279" s="4">
        <v>0</v>
      </c>
      <c r="L279" s="6">
        <v>0</v>
      </c>
      <c r="M279" s="6">
        <f>Table2[[#This Row],[% of Solo Streams]]/100</f>
        <v>0</v>
      </c>
      <c r="N279" s="3">
        <v>11014.9</v>
      </c>
      <c r="O279" s="5">
        <v>100</v>
      </c>
      <c r="P279" s="6">
        <f>Table2[[#This Row],[% of Collaborative Streams]]/100</f>
        <v>1</v>
      </c>
    </row>
    <row r="280" spans="1:16" x14ac:dyDescent="0.3">
      <c r="A280" s="2" t="s">
        <v>354</v>
      </c>
      <c r="B280" s="2" t="s">
        <v>20</v>
      </c>
      <c r="C280" s="2" t="s">
        <v>33</v>
      </c>
      <c r="D280" s="2" t="s">
        <v>16</v>
      </c>
      <c r="E280" s="2" t="s">
        <v>22</v>
      </c>
      <c r="F280" s="2" t="s">
        <v>48</v>
      </c>
      <c r="G280" s="4">
        <v>2011</v>
      </c>
      <c r="H280" s="4">
        <v>10985.7</v>
      </c>
      <c r="I280" s="4">
        <v>0</v>
      </c>
      <c r="J280" s="4">
        <v>11024.9</v>
      </c>
      <c r="K280" s="4">
        <v>6916.9</v>
      </c>
      <c r="L280" s="6">
        <v>62.962760680000002</v>
      </c>
      <c r="M280" s="6">
        <f>Table2[[#This Row],[% of Solo Streams]]/100</f>
        <v>0.62962760680000007</v>
      </c>
      <c r="N280" s="3">
        <v>4068.8</v>
      </c>
      <c r="O280" s="5">
        <v>37.037239319999998</v>
      </c>
      <c r="P280" s="6">
        <f>Table2[[#This Row],[% of Collaborative Streams]]/100</f>
        <v>0.37037239319999998</v>
      </c>
    </row>
    <row r="281" spans="1:16" x14ac:dyDescent="0.3">
      <c r="A281" s="2" t="s">
        <v>355</v>
      </c>
      <c r="B281" s="2" t="s">
        <v>14</v>
      </c>
      <c r="C281" s="2" t="s">
        <v>42</v>
      </c>
      <c r="D281" s="2" t="s">
        <v>24</v>
      </c>
      <c r="E281" s="2" t="s">
        <v>25</v>
      </c>
      <c r="F281" s="2" t="s">
        <v>18</v>
      </c>
      <c r="G281" s="4">
        <v>2019</v>
      </c>
      <c r="H281" s="4">
        <v>10974</v>
      </c>
      <c r="I281" s="4">
        <v>9511.5</v>
      </c>
      <c r="J281" s="4">
        <v>1474.2</v>
      </c>
      <c r="K281" s="4">
        <v>3645.8</v>
      </c>
      <c r="L281" s="6">
        <v>33.222161470000003</v>
      </c>
      <c r="M281" s="6">
        <f>Table2[[#This Row],[% of Solo Streams]]/100</f>
        <v>0.33222161470000006</v>
      </c>
      <c r="N281" s="3">
        <v>7328.2</v>
      </c>
      <c r="O281" s="5">
        <v>66.777838529999997</v>
      </c>
      <c r="P281" s="6">
        <f>Table2[[#This Row],[% of Collaborative Streams]]/100</f>
        <v>0.6677783853</v>
      </c>
    </row>
    <row r="282" spans="1:16" x14ac:dyDescent="0.3">
      <c r="A282" s="2" t="s">
        <v>356</v>
      </c>
      <c r="B282" s="2" t="s">
        <v>14</v>
      </c>
      <c r="C282" s="2" t="s">
        <v>21</v>
      </c>
      <c r="D282" s="2" t="s">
        <v>16</v>
      </c>
      <c r="E282" s="2" t="s">
        <v>17</v>
      </c>
      <c r="F282" s="2" t="s">
        <v>18</v>
      </c>
      <c r="G282" s="4">
        <v>1993</v>
      </c>
      <c r="H282" s="4">
        <v>10968.8</v>
      </c>
      <c r="I282" s="4">
        <v>5006.3999999999996</v>
      </c>
      <c r="J282" s="4">
        <v>5977.1</v>
      </c>
      <c r="K282" s="4">
        <v>7034.7</v>
      </c>
      <c r="L282" s="6">
        <v>64.133724749999999</v>
      </c>
      <c r="M282" s="6">
        <f>Table2[[#This Row],[% of Solo Streams]]/100</f>
        <v>0.64133724749999999</v>
      </c>
      <c r="N282" s="3">
        <v>3934.1</v>
      </c>
      <c r="O282" s="5">
        <v>35.866275250000001</v>
      </c>
      <c r="P282" s="6">
        <f>Table2[[#This Row],[% of Collaborative Streams]]/100</f>
        <v>0.35866275250000001</v>
      </c>
    </row>
    <row r="283" spans="1:16" x14ac:dyDescent="0.3">
      <c r="A283" s="2" t="s">
        <v>357</v>
      </c>
      <c r="B283" s="2" t="s">
        <v>20</v>
      </c>
      <c r="C283" s="2" t="s">
        <v>245</v>
      </c>
      <c r="D283" s="2" t="s">
        <v>16</v>
      </c>
      <c r="E283" s="2" t="s">
        <v>57</v>
      </c>
      <c r="F283" s="2" t="s">
        <v>18</v>
      </c>
      <c r="G283" s="4">
        <v>2012</v>
      </c>
      <c r="H283" s="4">
        <v>10939.4</v>
      </c>
      <c r="I283" s="4">
        <v>9358.7999999999993</v>
      </c>
      <c r="J283" s="4">
        <v>1614.9</v>
      </c>
      <c r="K283" s="4">
        <v>10795.1</v>
      </c>
      <c r="L283" s="6">
        <v>98.680914860000001</v>
      </c>
      <c r="M283" s="6">
        <f>Table2[[#This Row],[% of Solo Streams]]/100</f>
        <v>0.98680914860000002</v>
      </c>
      <c r="N283" s="3">
        <v>144.30000000000001</v>
      </c>
      <c r="O283" s="5">
        <v>1.319085142</v>
      </c>
      <c r="P283" s="6">
        <f>Table2[[#This Row],[% of Collaborative Streams]]/100</f>
        <v>1.319085142E-2</v>
      </c>
    </row>
    <row r="284" spans="1:16" x14ac:dyDescent="0.3">
      <c r="A284" s="2" t="s">
        <v>358</v>
      </c>
      <c r="B284" s="2" t="s">
        <v>14</v>
      </c>
      <c r="C284" s="2" t="s">
        <v>21</v>
      </c>
      <c r="D284" s="2" t="s">
        <v>24</v>
      </c>
      <c r="E284" s="2" t="s">
        <v>25</v>
      </c>
      <c r="F284" s="2" t="s">
        <v>18</v>
      </c>
      <c r="G284" s="4">
        <v>2006</v>
      </c>
      <c r="H284" s="4">
        <v>10933.4</v>
      </c>
      <c r="I284" s="4">
        <v>10905.7</v>
      </c>
      <c r="J284" s="4">
        <v>38</v>
      </c>
      <c r="K284" s="4">
        <v>8.1</v>
      </c>
      <c r="L284" s="6">
        <v>7.4084914119999998E-2</v>
      </c>
      <c r="M284" s="6">
        <f>Table2[[#This Row],[% of Solo Streams]]/100</f>
        <v>7.4084914119999996E-4</v>
      </c>
      <c r="N284" s="3">
        <v>10925.3</v>
      </c>
      <c r="O284" s="5">
        <v>99.925915090000004</v>
      </c>
      <c r="P284" s="6">
        <f>Table2[[#This Row],[% of Collaborative Streams]]/100</f>
        <v>0.99925915090000006</v>
      </c>
    </row>
    <row r="285" spans="1:16" x14ac:dyDescent="0.3">
      <c r="A285" s="2" t="s">
        <v>359</v>
      </c>
      <c r="B285" s="2" t="s">
        <v>14</v>
      </c>
      <c r="C285" s="2" t="s">
        <v>166</v>
      </c>
      <c r="D285" s="2" t="s">
        <v>167</v>
      </c>
      <c r="E285" s="2" t="s">
        <v>168</v>
      </c>
      <c r="F285" s="2" t="s">
        <v>48</v>
      </c>
      <c r="G285" s="4">
        <v>2011</v>
      </c>
      <c r="H285" s="4">
        <v>10914.2</v>
      </c>
      <c r="I285" s="4">
        <v>9203.4</v>
      </c>
      <c r="J285" s="4">
        <v>1721.9</v>
      </c>
      <c r="K285" s="4">
        <v>8573.2000000000007</v>
      </c>
      <c r="L285" s="6">
        <v>78.550878670000003</v>
      </c>
      <c r="M285" s="6">
        <f>Table2[[#This Row],[% of Solo Streams]]/100</f>
        <v>0.78550878670000002</v>
      </c>
      <c r="N285" s="3">
        <v>2341</v>
      </c>
      <c r="O285" s="5">
        <v>21.449121330000001</v>
      </c>
      <c r="P285" s="6">
        <f>Table2[[#This Row],[% of Collaborative Streams]]/100</f>
        <v>0.21449121330000001</v>
      </c>
    </row>
    <row r="286" spans="1:16" x14ac:dyDescent="0.3">
      <c r="A286" s="2" t="s">
        <v>360</v>
      </c>
      <c r="B286" s="2" t="s">
        <v>14</v>
      </c>
      <c r="C286" s="2" t="s">
        <v>128</v>
      </c>
      <c r="D286" s="2" t="s">
        <v>129</v>
      </c>
      <c r="E286" s="2" t="s">
        <v>291</v>
      </c>
      <c r="F286" s="2" t="s">
        <v>48</v>
      </c>
      <c r="G286" s="4">
        <v>1995</v>
      </c>
      <c r="H286" s="4">
        <v>10902.6</v>
      </c>
      <c r="I286" s="4">
        <v>10910.3</v>
      </c>
      <c r="J286" s="4">
        <v>0</v>
      </c>
      <c r="K286" s="4">
        <v>10773.4</v>
      </c>
      <c r="L286" s="6">
        <v>98.814961569999994</v>
      </c>
      <c r="M286" s="6">
        <f>Table2[[#This Row],[% of Solo Streams]]/100</f>
        <v>0.98814961569999993</v>
      </c>
      <c r="N286" s="3">
        <v>129.19999999999999</v>
      </c>
      <c r="O286" s="5">
        <v>1.1850384309999999</v>
      </c>
      <c r="P286" s="6">
        <f>Table2[[#This Row],[% of Collaborative Streams]]/100</f>
        <v>1.185038431E-2</v>
      </c>
    </row>
    <row r="287" spans="1:16" x14ac:dyDescent="0.3">
      <c r="A287" s="2" t="s">
        <v>361</v>
      </c>
      <c r="B287" s="2" t="s">
        <v>14</v>
      </c>
      <c r="C287" s="2" t="s">
        <v>33</v>
      </c>
      <c r="D287" s="2" t="s">
        <v>16</v>
      </c>
      <c r="E287" s="2" t="s">
        <v>22</v>
      </c>
      <c r="F287" s="2" t="s">
        <v>18</v>
      </c>
      <c r="G287" s="4">
        <v>2010</v>
      </c>
      <c r="H287" s="4">
        <v>10783.2</v>
      </c>
      <c r="I287" s="4">
        <v>7412.3</v>
      </c>
      <c r="J287" s="4">
        <v>3373.2</v>
      </c>
      <c r="K287" s="4">
        <v>5819.8</v>
      </c>
      <c r="L287" s="6">
        <v>53.970991910000002</v>
      </c>
      <c r="M287" s="6">
        <f>Table2[[#This Row],[% of Solo Streams]]/100</f>
        <v>0.53970991909999999</v>
      </c>
      <c r="N287" s="3">
        <v>4963.3999999999996</v>
      </c>
      <c r="O287" s="5">
        <v>46.029008089999998</v>
      </c>
      <c r="P287" s="6">
        <f>Table2[[#This Row],[% of Collaborative Streams]]/100</f>
        <v>0.46029008089999995</v>
      </c>
    </row>
    <row r="288" spans="1:16" x14ac:dyDescent="0.3">
      <c r="A288" s="2" t="s">
        <v>362</v>
      </c>
      <c r="B288" s="2" t="s">
        <v>14</v>
      </c>
      <c r="C288" s="2" t="s">
        <v>21</v>
      </c>
      <c r="D288" s="2" t="s">
        <v>24</v>
      </c>
      <c r="E288" s="2" t="s">
        <v>25</v>
      </c>
      <c r="F288" s="2" t="s">
        <v>18</v>
      </c>
      <c r="G288" s="4">
        <v>1999</v>
      </c>
      <c r="H288" s="4">
        <v>10776.2</v>
      </c>
      <c r="I288" s="4">
        <v>10712.5</v>
      </c>
      <c r="J288" s="4">
        <v>63.9</v>
      </c>
      <c r="K288" s="4">
        <v>291.89999999999998</v>
      </c>
      <c r="L288" s="6">
        <v>2.7087470539999998</v>
      </c>
      <c r="M288" s="6">
        <f>Table2[[#This Row],[% of Solo Streams]]/100</f>
        <v>2.7087470539999998E-2</v>
      </c>
      <c r="N288" s="3">
        <v>10484.299999999999</v>
      </c>
      <c r="O288" s="5">
        <v>97.291252950000001</v>
      </c>
      <c r="P288" s="6">
        <f>Table2[[#This Row],[% of Collaborative Streams]]/100</f>
        <v>0.97291252949999996</v>
      </c>
    </row>
    <row r="289" spans="1:16" x14ac:dyDescent="0.3">
      <c r="A289" s="2" t="s">
        <v>363</v>
      </c>
      <c r="B289" s="2" t="s">
        <v>14</v>
      </c>
      <c r="C289" s="2" t="s">
        <v>21</v>
      </c>
      <c r="D289" s="2" t="s">
        <v>24</v>
      </c>
      <c r="E289" s="2" t="s">
        <v>25</v>
      </c>
      <c r="F289" s="2" t="s">
        <v>18</v>
      </c>
      <c r="G289" s="4">
        <v>2010</v>
      </c>
      <c r="H289" s="4">
        <v>10772</v>
      </c>
      <c r="I289" s="4">
        <v>595.6</v>
      </c>
      <c r="J289" s="4">
        <v>10180.6</v>
      </c>
      <c r="K289" s="4">
        <v>689.2</v>
      </c>
      <c r="L289" s="6">
        <v>6.3980690679999999</v>
      </c>
      <c r="M289" s="6">
        <f>Table2[[#This Row],[% of Solo Streams]]/100</f>
        <v>6.3980690679999994E-2</v>
      </c>
      <c r="N289" s="3">
        <v>10082.799999999999</v>
      </c>
      <c r="O289" s="5">
        <v>93.601930929999995</v>
      </c>
      <c r="P289" s="6">
        <f>Table2[[#This Row],[% of Collaborative Streams]]/100</f>
        <v>0.93601930929999999</v>
      </c>
    </row>
    <row r="290" spans="1:16" x14ac:dyDescent="0.3">
      <c r="A290" s="2" t="s">
        <v>364</v>
      </c>
      <c r="B290" s="2" t="s">
        <v>14</v>
      </c>
      <c r="C290" s="2" t="s">
        <v>21</v>
      </c>
      <c r="D290" s="2" t="s">
        <v>16</v>
      </c>
      <c r="E290" s="2" t="s">
        <v>51</v>
      </c>
      <c r="F290" s="2" t="s">
        <v>48</v>
      </c>
      <c r="G290" s="4">
        <v>1984</v>
      </c>
      <c r="H290" s="4">
        <v>10771.3</v>
      </c>
      <c r="I290" s="4">
        <v>10772.2</v>
      </c>
      <c r="J290" s="4">
        <v>0.6</v>
      </c>
      <c r="K290" s="4">
        <v>10575.9</v>
      </c>
      <c r="L290" s="6">
        <v>98.185919990000002</v>
      </c>
      <c r="M290" s="6">
        <f>Table2[[#This Row],[% of Solo Streams]]/100</f>
        <v>0.98185919990000003</v>
      </c>
      <c r="N290" s="3">
        <v>195.4</v>
      </c>
      <c r="O290" s="5">
        <v>1.814080009</v>
      </c>
      <c r="P290" s="6">
        <f>Table2[[#This Row],[% of Collaborative Streams]]/100</f>
        <v>1.8140800089999999E-2</v>
      </c>
    </row>
    <row r="291" spans="1:16" x14ac:dyDescent="0.3">
      <c r="A291" s="2" t="s">
        <v>365</v>
      </c>
      <c r="B291" s="2" t="s">
        <v>14</v>
      </c>
      <c r="C291" s="2" t="s">
        <v>21</v>
      </c>
      <c r="D291" s="2" t="s">
        <v>16</v>
      </c>
      <c r="E291" s="2" t="s">
        <v>51</v>
      </c>
      <c r="F291" s="2" t="s">
        <v>48</v>
      </c>
      <c r="G291" s="4">
        <v>2004</v>
      </c>
      <c r="H291" s="4">
        <v>10767.6</v>
      </c>
      <c r="I291" s="4">
        <v>1893.8</v>
      </c>
      <c r="J291" s="4">
        <v>8878.2000000000007</v>
      </c>
      <c r="K291" s="4">
        <v>10569.4</v>
      </c>
      <c r="L291" s="6">
        <v>98.159292690000001</v>
      </c>
      <c r="M291" s="6">
        <f>Table2[[#This Row],[% of Solo Streams]]/100</f>
        <v>0.9815929269</v>
      </c>
      <c r="N291" s="3">
        <v>198.2</v>
      </c>
      <c r="O291" s="5">
        <v>1.840707307</v>
      </c>
      <c r="P291" s="6">
        <f>Table2[[#This Row],[% of Collaborative Streams]]/100</f>
        <v>1.8407073069999998E-2</v>
      </c>
    </row>
    <row r="292" spans="1:16" x14ac:dyDescent="0.3">
      <c r="A292" s="2" t="s">
        <v>366</v>
      </c>
      <c r="B292" s="2" t="s">
        <v>14</v>
      </c>
      <c r="C292" s="2" t="s">
        <v>21</v>
      </c>
      <c r="D292" s="2" t="s">
        <v>16</v>
      </c>
      <c r="E292" s="2" t="s">
        <v>51</v>
      </c>
      <c r="F292" s="2" t="s">
        <v>48</v>
      </c>
      <c r="G292" s="4">
        <v>1995</v>
      </c>
      <c r="H292" s="4">
        <v>10760.4</v>
      </c>
      <c r="I292" s="4">
        <v>10630.4</v>
      </c>
      <c r="J292" s="4">
        <v>133.80000000000001</v>
      </c>
      <c r="K292" s="4">
        <v>10584.7</v>
      </c>
      <c r="L292" s="6">
        <v>98.367161069999995</v>
      </c>
      <c r="M292" s="6">
        <f>Table2[[#This Row],[% of Solo Streams]]/100</f>
        <v>0.98367161069999998</v>
      </c>
      <c r="N292" s="3">
        <v>175.7</v>
      </c>
      <c r="O292" s="5">
        <v>1.632838928</v>
      </c>
      <c r="P292" s="6">
        <f>Table2[[#This Row],[% of Collaborative Streams]]/100</f>
        <v>1.6328389280000001E-2</v>
      </c>
    </row>
    <row r="293" spans="1:16" x14ac:dyDescent="0.3">
      <c r="A293" s="2" t="s">
        <v>367</v>
      </c>
      <c r="B293" s="2" t="s">
        <v>20</v>
      </c>
      <c r="C293" s="2" t="s">
        <v>21</v>
      </c>
      <c r="D293" s="2" t="s">
        <v>16</v>
      </c>
      <c r="E293" s="2" t="s">
        <v>27</v>
      </c>
      <c r="F293" s="2" t="s">
        <v>18</v>
      </c>
      <c r="G293" s="4">
        <v>2018</v>
      </c>
      <c r="H293" s="4">
        <v>10756.4</v>
      </c>
      <c r="I293" s="4">
        <v>7776.1</v>
      </c>
      <c r="J293" s="4">
        <v>2980.3</v>
      </c>
      <c r="K293" s="4">
        <v>3834.9</v>
      </c>
      <c r="L293" s="6">
        <v>35.652262839999999</v>
      </c>
      <c r="M293" s="6">
        <f>Table2[[#This Row],[% of Solo Streams]]/100</f>
        <v>0.35652262839999999</v>
      </c>
      <c r="N293" s="3">
        <v>6921.5</v>
      </c>
      <c r="O293" s="5">
        <v>64.347737159999994</v>
      </c>
      <c r="P293" s="6">
        <f>Table2[[#This Row],[% of Collaborative Streams]]/100</f>
        <v>0.64347737159999996</v>
      </c>
    </row>
    <row r="294" spans="1:16" x14ac:dyDescent="0.3">
      <c r="A294" s="2" t="s">
        <v>368</v>
      </c>
      <c r="B294" s="2" t="s">
        <v>20</v>
      </c>
      <c r="C294" s="2" t="s">
        <v>21</v>
      </c>
      <c r="D294" s="2" t="s">
        <v>16</v>
      </c>
      <c r="E294" s="2" t="s">
        <v>27</v>
      </c>
      <c r="F294" s="2" t="s">
        <v>18</v>
      </c>
      <c r="G294" s="4">
        <v>2002</v>
      </c>
      <c r="H294" s="4">
        <v>10731.7</v>
      </c>
      <c r="I294" s="4">
        <v>6224.9</v>
      </c>
      <c r="J294" s="4">
        <v>4506.8</v>
      </c>
      <c r="K294" s="4">
        <v>3239.2</v>
      </c>
      <c r="L294" s="6">
        <v>30.183475130000001</v>
      </c>
      <c r="M294" s="6">
        <f>Table2[[#This Row],[% of Solo Streams]]/100</f>
        <v>0.30183475130000004</v>
      </c>
      <c r="N294" s="3">
        <v>7492.5</v>
      </c>
      <c r="O294" s="5">
        <v>69.816524869999995</v>
      </c>
      <c r="P294" s="6">
        <f>Table2[[#This Row],[% of Collaborative Streams]]/100</f>
        <v>0.69816524869999996</v>
      </c>
    </row>
    <row r="295" spans="1:16" x14ac:dyDescent="0.3">
      <c r="A295" s="2" t="s">
        <v>369</v>
      </c>
      <c r="B295" s="2" t="s">
        <v>20</v>
      </c>
      <c r="C295" s="2" t="s">
        <v>21</v>
      </c>
      <c r="D295" s="2" t="s">
        <v>16</v>
      </c>
      <c r="E295" s="2" t="s">
        <v>27</v>
      </c>
      <c r="F295" s="2" t="s">
        <v>18</v>
      </c>
      <c r="G295" s="4">
        <v>2014</v>
      </c>
      <c r="H295" s="4">
        <v>10712.8</v>
      </c>
      <c r="I295" s="4">
        <v>6060.2</v>
      </c>
      <c r="J295" s="4">
        <v>4663.3999999999996</v>
      </c>
      <c r="K295" s="4">
        <v>4257.3999999999996</v>
      </c>
      <c r="L295" s="6">
        <v>39.741244119999998</v>
      </c>
      <c r="M295" s="6">
        <f>Table2[[#This Row],[% of Solo Streams]]/100</f>
        <v>0.39741244119999997</v>
      </c>
      <c r="N295" s="3">
        <v>6455.4</v>
      </c>
      <c r="O295" s="5">
        <v>60.258755880000002</v>
      </c>
      <c r="P295" s="6">
        <f>Table2[[#This Row],[% of Collaborative Streams]]/100</f>
        <v>0.60258755880000003</v>
      </c>
    </row>
    <row r="296" spans="1:16" x14ac:dyDescent="0.3">
      <c r="A296" s="2" t="s">
        <v>370</v>
      </c>
      <c r="B296" s="2" t="s">
        <v>78</v>
      </c>
      <c r="C296" s="2" t="s">
        <v>33</v>
      </c>
      <c r="D296" s="2" t="s">
        <v>16</v>
      </c>
      <c r="E296" s="2" t="s">
        <v>22</v>
      </c>
      <c r="F296" s="2" t="s">
        <v>48</v>
      </c>
      <c r="G296" s="4">
        <v>2012</v>
      </c>
      <c r="H296" s="4">
        <v>10711.2</v>
      </c>
      <c r="I296" s="4">
        <v>10381.4</v>
      </c>
      <c r="J296" s="4">
        <v>333.5</v>
      </c>
      <c r="K296" s="4">
        <v>73.400000000000006</v>
      </c>
      <c r="L296" s="6">
        <v>0.68526402269999998</v>
      </c>
      <c r="M296" s="6">
        <f>Table2[[#This Row],[% of Solo Streams]]/100</f>
        <v>6.8526402269999996E-3</v>
      </c>
      <c r="N296" s="3">
        <v>10637.8</v>
      </c>
      <c r="O296" s="5">
        <v>99.314735979999995</v>
      </c>
      <c r="P296" s="6">
        <f>Table2[[#This Row],[% of Collaborative Streams]]/100</f>
        <v>0.99314735979999991</v>
      </c>
    </row>
    <row r="297" spans="1:16" x14ac:dyDescent="0.3">
      <c r="A297" s="2" t="s">
        <v>371</v>
      </c>
      <c r="B297" s="2" t="s">
        <v>14</v>
      </c>
      <c r="C297" s="2" t="s">
        <v>33</v>
      </c>
      <c r="D297" s="2" t="s">
        <v>16</v>
      </c>
      <c r="E297" s="2" t="s">
        <v>51</v>
      </c>
      <c r="F297" s="2" t="s">
        <v>18</v>
      </c>
      <c r="G297" s="4">
        <v>1967</v>
      </c>
      <c r="H297" s="4">
        <v>10696.6</v>
      </c>
      <c r="I297" s="4">
        <v>8379.6</v>
      </c>
      <c r="J297" s="4">
        <v>2317</v>
      </c>
      <c r="K297" s="4">
        <v>8204.5</v>
      </c>
      <c r="L297" s="6">
        <v>76.701942669999994</v>
      </c>
      <c r="M297" s="6">
        <f>Table2[[#This Row],[% of Solo Streams]]/100</f>
        <v>0.7670194266999999</v>
      </c>
      <c r="N297" s="3">
        <v>2492.1</v>
      </c>
      <c r="O297" s="5">
        <v>23.298057329999999</v>
      </c>
      <c r="P297" s="6">
        <f>Table2[[#This Row],[% of Collaborative Streams]]/100</f>
        <v>0.23298057329999999</v>
      </c>
    </row>
    <row r="298" spans="1:16" x14ac:dyDescent="0.3">
      <c r="A298" s="2" t="s">
        <v>372</v>
      </c>
      <c r="B298" s="2" t="s">
        <v>14</v>
      </c>
      <c r="C298" s="2" t="s">
        <v>204</v>
      </c>
      <c r="D298" s="2" t="s">
        <v>16</v>
      </c>
      <c r="E298" s="2" t="s">
        <v>51</v>
      </c>
      <c r="F298" s="2" t="s">
        <v>48</v>
      </c>
      <c r="G298" s="4">
        <v>1979</v>
      </c>
      <c r="H298" s="4">
        <v>10616.1</v>
      </c>
      <c r="I298" s="4">
        <v>10020.5</v>
      </c>
      <c r="J298" s="4">
        <v>599.29999999999995</v>
      </c>
      <c r="K298" s="4">
        <v>9771.2999999999993</v>
      </c>
      <c r="L298" s="6">
        <v>92.042275410000002</v>
      </c>
      <c r="M298" s="6">
        <f>Table2[[#This Row],[% of Solo Streams]]/100</f>
        <v>0.92042275410000007</v>
      </c>
      <c r="N298" s="3">
        <v>844.8</v>
      </c>
      <c r="O298" s="5">
        <v>7.9577245879999996</v>
      </c>
      <c r="P298" s="6">
        <f>Table2[[#This Row],[% of Collaborative Streams]]/100</f>
        <v>7.9577245879999994E-2</v>
      </c>
    </row>
    <row r="299" spans="1:16" x14ac:dyDescent="0.3">
      <c r="A299" s="2" t="s">
        <v>373</v>
      </c>
      <c r="B299" s="2" t="s">
        <v>14</v>
      </c>
      <c r="C299" s="2" t="s">
        <v>21</v>
      </c>
      <c r="D299" s="2" t="s">
        <v>24</v>
      </c>
      <c r="E299" s="2" t="s">
        <v>151</v>
      </c>
      <c r="F299" s="2" t="s">
        <v>48</v>
      </c>
      <c r="G299" s="4">
        <v>1996</v>
      </c>
      <c r="H299" s="4">
        <v>10607</v>
      </c>
      <c r="I299" s="4">
        <v>10520.3</v>
      </c>
      <c r="J299" s="4">
        <v>92.7</v>
      </c>
      <c r="K299" s="4">
        <v>8371.2999999999993</v>
      </c>
      <c r="L299" s="6">
        <v>78.922409729999998</v>
      </c>
      <c r="M299" s="6">
        <f>Table2[[#This Row],[% of Solo Streams]]/100</f>
        <v>0.78922409729999998</v>
      </c>
      <c r="N299" s="3">
        <v>2235.6999999999998</v>
      </c>
      <c r="O299" s="5">
        <v>21.077590270000002</v>
      </c>
      <c r="P299" s="6">
        <f>Table2[[#This Row],[% of Collaborative Streams]]/100</f>
        <v>0.21077590270000002</v>
      </c>
    </row>
    <row r="300" spans="1:16" x14ac:dyDescent="0.3">
      <c r="A300" s="2" t="s">
        <v>374</v>
      </c>
      <c r="B300" s="2" t="s">
        <v>14</v>
      </c>
      <c r="C300" s="2" t="s">
        <v>21</v>
      </c>
      <c r="D300" s="2" t="s">
        <v>16</v>
      </c>
      <c r="E300" s="2" t="s">
        <v>51</v>
      </c>
      <c r="F300" s="2" t="s">
        <v>48</v>
      </c>
      <c r="G300" s="4">
        <v>1994</v>
      </c>
      <c r="H300" s="4">
        <v>10571.1</v>
      </c>
      <c r="I300" s="4">
        <v>10570.2</v>
      </c>
      <c r="J300" s="4">
        <v>4.5</v>
      </c>
      <c r="K300" s="4">
        <v>10555.6</v>
      </c>
      <c r="L300" s="6">
        <v>99.853373820000002</v>
      </c>
      <c r="M300" s="6">
        <f>Table2[[#This Row],[% of Solo Streams]]/100</f>
        <v>0.99853373820000002</v>
      </c>
      <c r="N300" s="3">
        <v>15.5</v>
      </c>
      <c r="O300" s="5">
        <v>0.14662617889999999</v>
      </c>
      <c r="P300" s="6">
        <f>Table2[[#This Row],[% of Collaborative Streams]]/100</f>
        <v>1.4662617889999998E-3</v>
      </c>
    </row>
    <row r="301" spans="1:16" x14ac:dyDescent="0.3">
      <c r="A301" s="2" t="s">
        <v>375</v>
      </c>
      <c r="B301" s="2" t="s">
        <v>14</v>
      </c>
      <c r="C301" s="2" t="s">
        <v>33</v>
      </c>
      <c r="D301" s="2" t="s">
        <v>16</v>
      </c>
      <c r="E301" s="2" t="s">
        <v>51</v>
      </c>
      <c r="F301" s="2" t="s">
        <v>48</v>
      </c>
      <c r="G301" s="4">
        <v>2012</v>
      </c>
      <c r="H301" s="4">
        <v>10489.6</v>
      </c>
      <c r="I301" s="4">
        <v>10191.700000000001</v>
      </c>
      <c r="J301" s="4">
        <v>301.5</v>
      </c>
      <c r="K301" s="4">
        <v>10165.9</v>
      </c>
      <c r="L301" s="6">
        <v>96.914086330000003</v>
      </c>
      <c r="M301" s="6">
        <f>Table2[[#This Row],[% of Solo Streams]]/100</f>
        <v>0.96914086330000004</v>
      </c>
      <c r="N301" s="3">
        <v>323.7</v>
      </c>
      <c r="O301" s="5">
        <v>3.0859136669999998</v>
      </c>
      <c r="P301" s="6">
        <f>Table2[[#This Row],[% of Collaborative Streams]]/100</f>
        <v>3.0859136669999999E-2</v>
      </c>
    </row>
    <row r="302" spans="1:16" x14ac:dyDescent="0.3">
      <c r="A302" s="2" t="s">
        <v>376</v>
      </c>
      <c r="B302" s="2" t="s">
        <v>20</v>
      </c>
      <c r="C302" s="2" t="s">
        <v>222</v>
      </c>
      <c r="D302" s="2" t="s">
        <v>24</v>
      </c>
      <c r="E302" s="2" t="s">
        <v>82</v>
      </c>
      <c r="F302" s="2" t="s">
        <v>18</v>
      </c>
      <c r="G302" s="4">
        <v>2019</v>
      </c>
      <c r="H302" s="4">
        <v>10476.9</v>
      </c>
      <c r="I302" s="4">
        <v>3977.8</v>
      </c>
      <c r="J302" s="4">
        <v>6499.1</v>
      </c>
      <c r="K302" s="4">
        <v>2597.3000000000002</v>
      </c>
      <c r="L302" s="6">
        <v>24.790730079999999</v>
      </c>
      <c r="M302" s="6">
        <f>Table2[[#This Row],[% of Solo Streams]]/100</f>
        <v>0.24790730080000001</v>
      </c>
      <c r="N302" s="3">
        <v>7879.6</v>
      </c>
      <c r="O302" s="5">
        <v>75.209269919999997</v>
      </c>
      <c r="P302" s="6">
        <f>Table2[[#This Row],[% of Collaborative Streams]]/100</f>
        <v>0.75209269919999999</v>
      </c>
    </row>
    <row r="303" spans="1:16" x14ac:dyDescent="0.3">
      <c r="A303" s="2" t="s">
        <v>377</v>
      </c>
      <c r="B303" s="2" t="s">
        <v>14</v>
      </c>
      <c r="C303" s="2" t="s">
        <v>33</v>
      </c>
      <c r="D303" s="2" t="s">
        <v>16</v>
      </c>
      <c r="E303" s="2" t="s">
        <v>17</v>
      </c>
      <c r="F303" s="2" t="s">
        <v>18</v>
      </c>
      <c r="G303" s="4">
        <v>2006</v>
      </c>
      <c r="H303" s="4">
        <v>10449</v>
      </c>
      <c r="I303" s="4">
        <v>7062.7</v>
      </c>
      <c r="J303" s="4">
        <v>3394.7</v>
      </c>
      <c r="K303" s="4">
        <v>6337.8</v>
      </c>
      <c r="L303" s="6">
        <v>60.654608099999997</v>
      </c>
      <c r="M303" s="6">
        <f>Table2[[#This Row],[% of Solo Streams]]/100</f>
        <v>0.60654608099999996</v>
      </c>
      <c r="N303" s="3">
        <v>4111.2</v>
      </c>
      <c r="O303" s="5">
        <v>39.345391900000003</v>
      </c>
      <c r="P303" s="6">
        <f>Table2[[#This Row],[% of Collaborative Streams]]/100</f>
        <v>0.39345391900000004</v>
      </c>
    </row>
    <row r="304" spans="1:16" x14ac:dyDescent="0.3">
      <c r="A304" s="2" t="s">
        <v>378</v>
      </c>
      <c r="B304" s="2" t="s">
        <v>14</v>
      </c>
      <c r="C304" s="2" t="s">
        <v>21</v>
      </c>
      <c r="D304" s="2" t="s">
        <v>16</v>
      </c>
      <c r="E304" s="2" t="s">
        <v>27</v>
      </c>
      <c r="F304" s="2" t="s">
        <v>18</v>
      </c>
      <c r="G304" s="4">
        <v>2015</v>
      </c>
      <c r="H304" s="4">
        <v>10368.700000000001</v>
      </c>
      <c r="I304" s="4">
        <v>9179.2000000000007</v>
      </c>
      <c r="J304" s="4">
        <v>1201.2</v>
      </c>
      <c r="K304" s="4">
        <v>8970.6</v>
      </c>
      <c r="L304" s="6">
        <v>86.516149569999996</v>
      </c>
      <c r="M304" s="6">
        <f>Table2[[#This Row],[% of Solo Streams]]/100</f>
        <v>0.86516149570000001</v>
      </c>
      <c r="N304" s="3">
        <v>1398.1</v>
      </c>
      <c r="O304" s="5">
        <v>13.48385043</v>
      </c>
      <c r="P304" s="6">
        <f>Table2[[#This Row],[% of Collaborative Streams]]/100</f>
        <v>0.13483850429999999</v>
      </c>
    </row>
    <row r="305" spans="1:16" x14ac:dyDescent="0.3">
      <c r="A305" s="2" t="s">
        <v>379</v>
      </c>
      <c r="B305" s="2" t="s">
        <v>14</v>
      </c>
      <c r="C305" s="2" t="s">
        <v>21</v>
      </c>
      <c r="D305" s="2" t="s">
        <v>24</v>
      </c>
      <c r="E305" s="2" t="s">
        <v>25</v>
      </c>
      <c r="F305" s="2" t="s">
        <v>18</v>
      </c>
      <c r="G305" s="4">
        <v>2004</v>
      </c>
      <c r="H305" s="4">
        <v>10352.799999999999</v>
      </c>
      <c r="I305" s="4">
        <v>1937.7</v>
      </c>
      <c r="J305" s="4">
        <v>8415.1</v>
      </c>
      <c r="K305" s="4">
        <v>410.2</v>
      </c>
      <c r="L305" s="6">
        <v>3.962213121</v>
      </c>
      <c r="M305" s="6">
        <f>Table2[[#This Row],[% of Solo Streams]]/100</f>
        <v>3.9622131210000001E-2</v>
      </c>
      <c r="N305" s="3">
        <v>9942.6</v>
      </c>
      <c r="O305" s="5">
        <v>96.037786879999999</v>
      </c>
      <c r="P305" s="6">
        <f>Table2[[#This Row],[% of Collaborative Streams]]/100</f>
        <v>0.96037786879999998</v>
      </c>
    </row>
    <row r="306" spans="1:16" x14ac:dyDescent="0.3">
      <c r="A306" s="2" t="s">
        <v>380</v>
      </c>
      <c r="B306" s="2" t="s">
        <v>14</v>
      </c>
      <c r="C306" s="2" t="s">
        <v>381</v>
      </c>
      <c r="D306" s="2" t="s">
        <v>16</v>
      </c>
      <c r="E306" s="2" t="s">
        <v>22</v>
      </c>
      <c r="F306" s="2" t="s">
        <v>18</v>
      </c>
      <c r="G306" s="4">
        <v>2006</v>
      </c>
      <c r="H306" s="4">
        <v>10332.799999999999</v>
      </c>
      <c r="I306" s="4">
        <v>7323</v>
      </c>
      <c r="J306" s="4">
        <v>3009.8</v>
      </c>
      <c r="K306" s="4">
        <v>6153.5</v>
      </c>
      <c r="L306" s="6">
        <v>59.55307371</v>
      </c>
      <c r="M306" s="6">
        <f>Table2[[#This Row],[% of Solo Streams]]/100</f>
        <v>0.59553073710000004</v>
      </c>
      <c r="N306" s="3">
        <v>4179.3</v>
      </c>
      <c r="O306" s="5">
        <v>40.44692629</v>
      </c>
      <c r="P306" s="6">
        <f>Table2[[#This Row],[% of Collaborative Streams]]/100</f>
        <v>0.40446926290000002</v>
      </c>
    </row>
    <row r="307" spans="1:16" x14ac:dyDescent="0.3">
      <c r="A307" s="2" t="s">
        <v>382</v>
      </c>
      <c r="B307" s="2" t="s">
        <v>14</v>
      </c>
      <c r="C307" s="2" t="s">
        <v>21</v>
      </c>
      <c r="D307" s="2" t="s">
        <v>16</v>
      </c>
      <c r="E307" s="2" t="s">
        <v>22</v>
      </c>
      <c r="F307" s="2" t="s">
        <v>18</v>
      </c>
      <c r="G307" s="4">
        <v>2017</v>
      </c>
      <c r="H307" s="4">
        <v>10313.5</v>
      </c>
      <c r="I307" s="4">
        <v>10145.1</v>
      </c>
      <c r="J307" s="4">
        <v>172</v>
      </c>
      <c r="K307" s="4">
        <v>10141.5</v>
      </c>
      <c r="L307" s="6">
        <v>98.332282930000005</v>
      </c>
      <c r="M307" s="6">
        <f>Table2[[#This Row],[% of Solo Streams]]/100</f>
        <v>0.98332282930000003</v>
      </c>
      <c r="N307" s="3">
        <v>172</v>
      </c>
      <c r="O307" s="5">
        <v>1.6677170699999999</v>
      </c>
      <c r="P307" s="6">
        <f>Table2[[#This Row],[% of Collaborative Streams]]/100</f>
        <v>1.6677170700000001E-2</v>
      </c>
    </row>
    <row r="308" spans="1:16" x14ac:dyDescent="0.3">
      <c r="A308" s="2" t="s">
        <v>383</v>
      </c>
      <c r="B308" s="2" t="s">
        <v>14</v>
      </c>
      <c r="C308" s="2" t="s">
        <v>21</v>
      </c>
      <c r="D308" s="2" t="s">
        <v>16</v>
      </c>
      <c r="E308" s="2" t="s">
        <v>17</v>
      </c>
      <c r="F308" s="2" t="s">
        <v>18</v>
      </c>
      <c r="G308" s="4">
        <v>1999</v>
      </c>
      <c r="H308" s="4">
        <v>10293</v>
      </c>
      <c r="I308" s="4">
        <v>6016.2</v>
      </c>
      <c r="J308" s="4">
        <v>4284.3</v>
      </c>
      <c r="K308" s="4">
        <v>745.9</v>
      </c>
      <c r="L308" s="6">
        <v>7.2466724960000004</v>
      </c>
      <c r="M308" s="6">
        <f>Table2[[#This Row],[% of Solo Streams]]/100</f>
        <v>7.2466724960000006E-2</v>
      </c>
      <c r="N308" s="3">
        <v>9547.1</v>
      </c>
      <c r="O308" s="5">
        <v>92.753327499999997</v>
      </c>
      <c r="P308" s="6">
        <f>Table2[[#This Row],[% of Collaborative Streams]]/100</f>
        <v>0.92753327499999993</v>
      </c>
    </row>
    <row r="309" spans="1:16" x14ac:dyDescent="0.3">
      <c r="A309" s="2" t="s">
        <v>384</v>
      </c>
      <c r="B309" s="2" t="s">
        <v>14</v>
      </c>
      <c r="C309" s="2" t="s">
        <v>348</v>
      </c>
      <c r="D309" s="2" t="s">
        <v>16</v>
      </c>
      <c r="E309" s="2" t="s">
        <v>349</v>
      </c>
      <c r="F309" s="2" t="s">
        <v>18</v>
      </c>
      <c r="G309" s="4">
        <v>2012</v>
      </c>
      <c r="H309" s="4">
        <v>10290.6</v>
      </c>
      <c r="I309" s="4">
        <v>2289.1999999999998</v>
      </c>
      <c r="J309" s="4">
        <v>8003.8</v>
      </c>
      <c r="K309" s="4">
        <v>4395.8</v>
      </c>
      <c r="L309" s="6">
        <v>42.716654030000001</v>
      </c>
      <c r="M309" s="6">
        <f>Table2[[#This Row],[% of Solo Streams]]/100</f>
        <v>0.42716654030000001</v>
      </c>
      <c r="N309" s="3">
        <v>5894.8</v>
      </c>
      <c r="O309" s="5">
        <v>57.283345969999999</v>
      </c>
      <c r="P309" s="6">
        <f>Table2[[#This Row],[% of Collaborative Streams]]/100</f>
        <v>0.57283345969999999</v>
      </c>
    </row>
    <row r="310" spans="1:16" x14ac:dyDescent="0.3">
      <c r="A310" s="2" t="s">
        <v>385</v>
      </c>
      <c r="B310" s="2" t="s">
        <v>14</v>
      </c>
      <c r="C310" s="2" t="s">
        <v>386</v>
      </c>
      <c r="D310" s="2" t="s">
        <v>24</v>
      </c>
      <c r="E310" s="2" t="s">
        <v>82</v>
      </c>
      <c r="F310" s="2" t="s">
        <v>18</v>
      </c>
      <c r="G310" s="4">
        <v>2009</v>
      </c>
      <c r="H310" s="4">
        <v>10234.299999999999</v>
      </c>
      <c r="I310" s="4">
        <v>8102.5</v>
      </c>
      <c r="J310" s="4">
        <v>2138.3000000000002</v>
      </c>
      <c r="K310" s="4">
        <v>6955</v>
      </c>
      <c r="L310" s="6">
        <v>67.957749919999998</v>
      </c>
      <c r="M310" s="6">
        <f>Table2[[#This Row],[% of Solo Streams]]/100</f>
        <v>0.67957749919999999</v>
      </c>
      <c r="N310" s="3">
        <v>3279.3</v>
      </c>
      <c r="O310" s="5">
        <v>32.042250080000002</v>
      </c>
      <c r="P310" s="6">
        <f>Table2[[#This Row],[% of Collaborative Streams]]/100</f>
        <v>0.32042250080000001</v>
      </c>
    </row>
    <row r="311" spans="1:16" x14ac:dyDescent="0.3">
      <c r="A311" s="2" t="s">
        <v>387</v>
      </c>
      <c r="B311" s="2" t="s">
        <v>14</v>
      </c>
      <c r="C311" s="2" t="s">
        <v>21</v>
      </c>
      <c r="D311" s="2" t="s">
        <v>16</v>
      </c>
      <c r="E311" s="2" t="s">
        <v>17</v>
      </c>
      <c r="F311" s="2" t="s">
        <v>18</v>
      </c>
      <c r="G311" s="4">
        <v>2003</v>
      </c>
      <c r="H311" s="4">
        <v>10231.200000000001</v>
      </c>
      <c r="I311" s="4">
        <v>7551.1</v>
      </c>
      <c r="J311" s="4">
        <v>2685</v>
      </c>
      <c r="K311" s="4">
        <v>2118.4</v>
      </c>
      <c r="L311" s="6">
        <v>20.705293609999998</v>
      </c>
      <c r="M311" s="6">
        <f>Table2[[#This Row],[% of Solo Streams]]/100</f>
        <v>0.20705293609999997</v>
      </c>
      <c r="N311" s="3">
        <v>8112.8</v>
      </c>
      <c r="O311" s="5">
        <v>79.294706390000002</v>
      </c>
      <c r="P311" s="6">
        <f>Table2[[#This Row],[% of Collaborative Streams]]/100</f>
        <v>0.79294706390000003</v>
      </c>
    </row>
    <row r="312" spans="1:16" x14ac:dyDescent="0.3">
      <c r="A312" s="2" t="s">
        <v>388</v>
      </c>
      <c r="B312" s="2" t="s">
        <v>14</v>
      </c>
      <c r="C312" s="2" t="s">
        <v>21</v>
      </c>
      <c r="D312" s="2" t="s">
        <v>16</v>
      </c>
      <c r="E312" s="2" t="s">
        <v>51</v>
      </c>
      <c r="F312" s="2" t="s">
        <v>48</v>
      </c>
      <c r="G312" s="4">
        <v>2002</v>
      </c>
      <c r="H312" s="4">
        <v>10180.200000000001</v>
      </c>
      <c r="I312" s="4">
        <v>10185.799999999999</v>
      </c>
      <c r="J312" s="4">
        <v>0</v>
      </c>
      <c r="K312" s="4">
        <v>10132.799999999999</v>
      </c>
      <c r="L312" s="6">
        <v>99.534390290000005</v>
      </c>
      <c r="M312" s="6">
        <f>Table2[[#This Row],[% of Solo Streams]]/100</f>
        <v>0.99534390290000008</v>
      </c>
      <c r="N312" s="3">
        <v>47.4</v>
      </c>
      <c r="O312" s="5">
        <v>0.46560971299999998</v>
      </c>
      <c r="P312" s="6">
        <f>Table2[[#This Row],[% of Collaborative Streams]]/100</f>
        <v>4.65609713E-3</v>
      </c>
    </row>
    <row r="313" spans="1:16" x14ac:dyDescent="0.3">
      <c r="A313" s="2" t="s">
        <v>389</v>
      </c>
      <c r="B313" s="2" t="s">
        <v>20</v>
      </c>
      <c r="C313" s="2" t="s">
        <v>15</v>
      </c>
      <c r="D313" s="2" t="s">
        <v>16</v>
      </c>
      <c r="E313" s="2" t="s">
        <v>22</v>
      </c>
      <c r="F313" s="2" t="s">
        <v>18</v>
      </c>
      <c r="G313" s="4">
        <v>2015</v>
      </c>
      <c r="H313" s="4">
        <v>10179.299999999999</v>
      </c>
      <c r="I313" s="4">
        <v>6431.1</v>
      </c>
      <c r="J313" s="4">
        <v>3750.4</v>
      </c>
      <c r="K313" s="4">
        <v>5420.2</v>
      </c>
      <c r="L313" s="6">
        <v>53.247276339999999</v>
      </c>
      <c r="M313" s="6">
        <f>Table2[[#This Row],[% of Solo Streams]]/100</f>
        <v>0.53247276339999994</v>
      </c>
      <c r="N313" s="3">
        <v>4759.1000000000004</v>
      </c>
      <c r="O313" s="5">
        <v>46.752723660000001</v>
      </c>
      <c r="P313" s="6">
        <f>Table2[[#This Row],[% of Collaborative Streams]]/100</f>
        <v>0.46752723660000001</v>
      </c>
    </row>
    <row r="314" spans="1:16" x14ac:dyDescent="0.3">
      <c r="A314" s="2" t="s">
        <v>390</v>
      </c>
      <c r="B314" s="2" t="s">
        <v>14</v>
      </c>
      <c r="C314" s="2" t="s">
        <v>71</v>
      </c>
      <c r="D314" s="2" t="s">
        <v>72</v>
      </c>
      <c r="E314" s="2" t="s">
        <v>73</v>
      </c>
      <c r="F314" s="2" t="s">
        <v>48</v>
      </c>
      <c r="G314" s="4">
        <v>1999</v>
      </c>
      <c r="H314" s="4">
        <v>10165</v>
      </c>
      <c r="I314" s="4">
        <v>8858.9</v>
      </c>
      <c r="J314" s="4">
        <v>1312.6</v>
      </c>
      <c r="K314" s="4">
        <v>6.7</v>
      </c>
      <c r="L314" s="6">
        <v>6.591244466E-2</v>
      </c>
      <c r="M314" s="6">
        <f>Table2[[#This Row],[% of Solo Streams]]/100</f>
        <v>6.5912444660000001E-4</v>
      </c>
      <c r="N314" s="3">
        <v>10158.299999999999</v>
      </c>
      <c r="O314" s="5">
        <v>99.934087559999995</v>
      </c>
      <c r="P314" s="6">
        <f>Table2[[#This Row],[% of Collaborative Streams]]/100</f>
        <v>0.99934087559999996</v>
      </c>
    </row>
    <row r="315" spans="1:16" x14ac:dyDescent="0.3">
      <c r="A315" s="2" t="s">
        <v>391</v>
      </c>
      <c r="B315" s="2" t="s">
        <v>14</v>
      </c>
      <c r="C315" s="2" t="s">
        <v>222</v>
      </c>
      <c r="D315" s="2" t="s">
        <v>24</v>
      </c>
      <c r="E315" s="2" t="s">
        <v>17</v>
      </c>
      <c r="F315" s="2" t="s">
        <v>18</v>
      </c>
      <c r="G315" s="4">
        <v>2017</v>
      </c>
      <c r="H315" s="4">
        <v>10160.5</v>
      </c>
      <c r="I315" s="4">
        <v>8082</v>
      </c>
      <c r="J315" s="4">
        <v>2081.6999999999998</v>
      </c>
      <c r="K315" s="4">
        <v>6415.1</v>
      </c>
      <c r="L315" s="6">
        <v>63.137640859999998</v>
      </c>
      <c r="M315" s="6">
        <f>Table2[[#This Row],[% of Solo Streams]]/100</f>
        <v>0.63137640859999999</v>
      </c>
      <c r="N315" s="3">
        <v>3745.4</v>
      </c>
      <c r="O315" s="5">
        <v>36.862359140000002</v>
      </c>
      <c r="P315" s="6">
        <f>Table2[[#This Row],[% of Collaborative Streams]]/100</f>
        <v>0.36862359140000001</v>
      </c>
    </row>
    <row r="316" spans="1:16" x14ac:dyDescent="0.3">
      <c r="A316" s="2" t="s">
        <v>392</v>
      </c>
      <c r="B316" s="2" t="s">
        <v>14</v>
      </c>
      <c r="C316" s="2" t="s">
        <v>89</v>
      </c>
      <c r="D316" s="2" t="s">
        <v>24</v>
      </c>
      <c r="E316" s="2" t="s">
        <v>90</v>
      </c>
      <c r="F316" s="2" t="s">
        <v>48</v>
      </c>
      <c r="G316" s="4">
        <v>1997</v>
      </c>
      <c r="H316" s="4">
        <v>10147.9</v>
      </c>
      <c r="I316" s="4">
        <v>10065.9</v>
      </c>
      <c r="J316" s="4">
        <v>89.1</v>
      </c>
      <c r="K316" s="4">
        <v>9956.7999999999993</v>
      </c>
      <c r="L316" s="6">
        <v>98.116851760000003</v>
      </c>
      <c r="M316" s="6">
        <f>Table2[[#This Row],[% of Solo Streams]]/100</f>
        <v>0.98116851760000001</v>
      </c>
      <c r="N316" s="3">
        <v>191.1</v>
      </c>
      <c r="O316" s="5">
        <v>1.883148238</v>
      </c>
      <c r="P316" s="6">
        <f>Table2[[#This Row],[% of Collaborative Streams]]/100</f>
        <v>1.883148238E-2</v>
      </c>
    </row>
    <row r="317" spans="1:16" x14ac:dyDescent="0.3">
      <c r="A317" s="2" t="s">
        <v>393</v>
      </c>
      <c r="B317" s="2" t="s">
        <v>14</v>
      </c>
      <c r="C317" s="2" t="s">
        <v>21</v>
      </c>
      <c r="D317" s="2" t="s">
        <v>16</v>
      </c>
      <c r="E317" s="2" t="s">
        <v>17</v>
      </c>
      <c r="F317" s="2" t="s">
        <v>18</v>
      </c>
      <c r="G317" s="4">
        <v>2015</v>
      </c>
      <c r="H317" s="4">
        <v>10141.700000000001</v>
      </c>
      <c r="I317" s="4">
        <v>9084.2000000000007</v>
      </c>
      <c r="J317" s="4">
        <v>1067.9000000000001</v>
      </c>
      <c r="K317" s="4">
        <v>7696.5</v>
      </c>
      <c r="L317" s="6">
        <v>75.889643750000005</v>
      </c>
      <c r="M317" s="6">
        <f>Table2[[#This Row],[% of Solo Streams]]/100</f>
        <v>0.75889643750000002</v>
      </c>
      <c r="N317" s="3">
        <v>2445.1999999999998</v>
      </c>
      <c r="O317" s="5">
        <v>24.110356249999999</v>
      </c>
      <c r="P317" s="6">
        <f>Table2[[#This Row],[% of Collaborative Streams]]/100</f>
        <v>0.24110356249999998</v>
      </c>
    </row>
    <row r="318" spans="1:16" x14ac:dyDescent="0.3">
      <c r="A318" s="2" t="s">
        <v>394</v>
      </c>
      <c r="B318" s="2" t="s">
        <v>14</v>
      </c>
      <c r="C318" s="2" t="s">
        <v>166</v>
      </c>
      <c r="D318" s="2" t="s">
        <v>167</v>
      </c>
      <c r="E318" s="2" t="s">
        <v>168</v>
      </c>
      <c r="F318" s="2" t="s">
        <v>48</v>
      </c>
      <c r="G318" s="4">
        <v>2010</v>
      </c>
      <c r="H318" s="4">
        <v>10122.5</v>
      </c>
      <c r="I318" s="4">
        <v>8138.6</v>
      </c>
      <c r="J318" s="4">
        <v>1988.4</v>
      </c>
      <c r="K318" s="4">
        <v>5614.2</v>
      </c>
      <c r="L318" s="6">
        <v>55.462583350000003</v>
      </c>
      <c r="M318" s="6">
        <f>Table2[[#This Row],[% of Solo Streams]]/100</f>
        <v>0.55462583350000005</v>
      </c>
      <c r="N318" s="3">
        <v>4508.3</v>
      </c>
      <c r="O318" s="5">
        <v>44.537416649999997</v>
      </c>
      <c r="P318" s="6">
        <f>Table2[[#This Row],[% of Collaborative Streams]]/100</f>
        <v>0.44537416649999995</v>
      </c>
    </row>
    <row r="319" spans="1:16" x14ac:dyDescent="0.3">
      <c r="A319" s="2" t="s">
        <v>395</v>
      </c>
      <c r="B319" s="2" t="s">
        <v>14</v>
      </c>
      <c r="C319" s="2" t="s">
        <v>166</v>
      </c>
      <c r="D319" s="2" t="s">
        <v>167</v>
      </c>
      <c r="E319" s="2" t="s">
        <v>60</v>
      </c>
      <c r="F319" s="2" t="s">
        <v>18</v>
      </c>
      <c r="G319" s="4">
        <v>2004</v>
      </c>
      <c r="H319" s="4">
        <v>10115.700000000001</v>
      </c>
      <c r="I319" s="4">
        <v>9351.5</v>
      </c>
      <c r="J319" s="4">
        <v>766.2</v>
      </c>
      <c r="K319" s="4">
        <v>269.8</v>
      </c>
      <c r="L319" s="6">
        <v>2.667141177</v>
      </c>
      <c r="M319" s="6">
        <f>Table2[[#This Row],[% of Solo Streams]]/100</f>
        <v>2.667141177E-2</v>
      </c>
      <c r="N319" s="3">
        <v>9845.9</v>
      </c>
      <c r="O319" s="5">
        <v>97.332858819999998</v>
      </c>
      <c r="P319" s="6">
        <f>Table2[[#This Row],[% of Collaborative Streams]]/100</f>
        <v>0.97332858820000001</v>
      </c>
    </row>
    <row r="320" spans="1:16" x14ac:dyDescent="0.3">
      <c r="A320" s="2" t="s">
        <v>396</v>
      </c>
      <c r="B320" s="2" t="s">
        <v>14</v>
      </c>
      <c r="C320" s="2" t="s">
        <v>33</v>
      </c>
      <c r="D320" s="2" t="s">
        <v>16</v>
      </c>
      <c r="E320" s="2" t="s">
        <v>51</v>
      </c>
      <c r="F320" s="2" t="s">
        <v>48</v>
      </c>
      <c r="G320" s="4">
        <v>2006</v>
      </c>
      <c r="H320" s="4">
        <v>10108</v>
      </c>
      <c r="I320" s="4">
        <v>8333.7000000000007</v>
      </c>
      <c r="J320" s="4">
        <v>1782</v>
      </c>
      <c r="K320" s="4">
        <v>8006.1</v>
      </c>
      <c r="L320" s="6">
        <v>79.205579740000005</v>
      </c>
      <c r="M320" s="6">
        <f>Table2[[#This Row],[% of Solo Streams]]/100</f>
        <v>0.79205579740000009</v>
      </c>
      <c r="N320" s="3">
        <v>2101.9</v>
      </c>
      <c r="O320" s="5">
        <v>20.794420259999999</v>
      </c>
      <c r="P320" s="6">
        <f>Table2[[#This Row],[% of Collaborative Streams]]/100</f>
        <v>0.20794420259999999</v>
      </c>
    </row>
    <row r="321" spans="1:16" x14ac:dyDescent="0.3">
      <c r="A321" s="2" t="s">
        <v>397</v>
      </c>
      <c r="B321" s="2" t="s">
        <v>14</v>
      </c>
      <c r="C321" s="2" t="s">
        <v>33</v>
      </c>
      <c r="D321" s="2" t="s">
        <v>16</v>
      </c>
      <c r="E321" s="2" t="s">
        <v>17</v>
      </c>
      <c r="F321" s="2" t="s">
        <v>18</v>
      </c>
      <c r="G321" s="4">
        <v>2014</v>
      </c>
      <c r="H321" s="4">
        <v>10095.5</v>
      </c>
      <c r="I321" s="4">
        <v>6587</v>
      </c>
      <c r="J321" s="4">
        <v>3508.5</v>
      </c>
      <c r="K321" s="4">
        <v>5050.8999999999996</v>
      </c>
      <c r="L321" s="6">
        <v>50.031202020000002</v>
      </c>
      <c r="M321" s="6">
        <f>Table2[[#This Row],[% of Solo Streams]]/100</f>
        <v>0.50031202019999998</v>
      </c>
      <c r="N321" s="3">
        <v>5044.6000000000004</v>
      </c>
      <c r="O321" s="5">
        <v>49.968797979999998</v>
      </c>
      <c r="P321" s="6">
        <f>Table2[[#This Row],[% of Collaborative Streams]]/100</f>
        <v>0.49968797979999996</v>
      </c>
    </row>
    <row r="322" spans="1:16" x14ac:dyDescent="0.3">
      <c r="A322" s="2" t="s">
        <v>398</v>
      </c>
      <c r="B322" s="2" t="s">
        <v>78</v>
      </c>
      <c r="C322" s="2" t="s">
        <v>21</v>
      </c>
      <c r="D322" s="2" t="s">
        <v>16</v>
      </c>
      <c r="E322" s="2" t="s">
        <v>139</v>
      </c>
      <c r="F322" s="2" t="s">
        <v>48</v>
      </c>
      <c r="G322" s="4">
        <v>2009</v>
      </c>
      <c r="H322" s="4">
        <v>10048.299999999999</v>
      </c>
      <c r="I322" s="4">
        <v>3456.4</v>
      </c>
      <c r="J322" s="4">
        <v>6591.9</v>
      </c>
      <c r="K322" s="4">
        <v>257</v>
      </c>
      <c r="L322" s="6">
        <v>2.5576465669999999</v>
      </c>
      <c r="M322" s="6">
        <f>Table2[[#This Row],[% of Solo Streams]]/100</f>
        <v>2.557646567E-2</v>
      </c>
      <c r="N322" s="3">
        <v>9791.2999999999993</v>
      </c>
      <c r="O322" s="5">
        <v>97.442353429999997</v>
      </c>
      <c r="P322" s="6">
        <f>Table2[[#This Row],[% of Collaborative Streams]]/100</f>
        <v>0.97442353429999995</v>
      </c>
    </row>
    <row r="323" spans="1:16" x14ac:dyDescent="0.3">
      <c r="A323" s="2" t="s">
        <v>399</v>
      </c>
      <c r="B323" s="2" t="s">
        <v>14</v>
      </c>
      <c r="C323" s="2" t="s">
        <v>15</v>
      </c>
      <c r="D323" s="2" t="s">
        <v>16</v>
      </c>
      <c r="E323" s="2" t="s">
        <v>51</v>
      </c>
      <c r="F323" s="2" t="s">
        <v>18</v>
      </c>
      <c r="G323" s="4">
        <v>2012</v>
      </c>
      <c r="H323" s="4">
        <v>9970.2000000000007</v>
      </c>
      <c r="I323" s="4">
        <v>9813.7000000000007</v>
      </c>
      <c r="J323" s="4">
        <v>161.5</v>
      </c>
      <c r="K323" s="4">
        <v>9795.7999999999993</v>
      </c>
      <c r="L323" s="6">
        <v>98.250787349999996</v>
      </c>
      <c r="M323" s="6">
        <f>Table2[[#This Row],[% of Solo Streams]]/100</f>
        <v>0.98250787349999991</v>
      </c>
      <c r="N323" s="3">
        <v>174.4</v>
      </c>
      <c r="O323" s="5">
        <v>1.7492126539999999</v>
      </c>
      <c r="P323" s="6">
        <f>Table2[[#This Row],[% of Collaborative Streams]]/100</f>
        <v>1.749212654E-2</v>
      </c>
    </row>
    <row r="324" spans="1:16" x14ac:dyDescent="0.3">
      <c r="A324" s="2" t="s">
        <v>400</v>
      </c>
      <c r="B324" s="2" t="s">
        <v>14</v>
      </c>
      <c r="C324" s="2" t="s">
        <v>21</v>
      </c>
      <c r="D324" s="2" t="s">
        <v>16</v>
      </c>
      <c r="E324" s="2" t="s">
        <v>22</v>
      </c>
      <c r="F324" s="2" t="s">
        <v>18</v>
      </c>
      <c r="G324" s="4">
        <v>2021</v>
      </c>
      <c r="H324" s="4">
        <v>9949.6</v>
      </c>
      <c r="I324" s="4">
        <v>9956.4</v>
      </c>
      <c r="J324" s="4">
        <v>0</v>
      </c>
      <c r="K324" s="4">
        <v>9911.9</v>
      </c>
      <c r="L324" s="6">
        <v>99.621090300000006</v>
      </c>
      <c r="M324" s="6">
        <f>Table2[[#This Row],[% of Solo Streams]]/100</f>
        <v>0.99621090300000004</v>
      </c>
      <c r="N324" s="3">
        <v>37.700000000000003</v>
      </c>
      <c r="O324" s="5">
        <v>0.37890970489999998</v>
      </c>
      <c r="P324" s="6">
        <f>Table2[[#This Row],[% of Collaborative Streams]]/100</f>
        <v>3.7890970489999998E-3</v>
      </c>
    </row>
    <row r="325" spans="1:16" x14ac:dyDescent="0.3">
      <c r="A325" s="2" t="s">
        <v>401</v>
      </c>
      <c r="B325" s="2" t="s">
        <v>14</v>
      </c>
      <c r="C325" s="2" t="s">
        <v>21</v>
      </c>
      <c r="D325" s="2" t="s">
        <v>24</v>
      </c>
      <c r="E325" s="2" t="s">
        <v>25</v>
      </c>
      <c r="F325" s="2" t="s">
        <v>18</v>
      </c>
      <c r="G325" s="4">
        <v>2014</v>
      </c>
      <c r="H325" s="4">
        <v>9948.7000000000007</v>
      </c>
      <c r="I325" s="4">
        <v>4105.3</v>
      </c>
      <c r="J325" s="4">
        <v>5843.4</v>
      </c>
      <c r="K325" s="4">
        <v>471.7</v>
      </c>
      <c r="L325" s="6">
        <v>4.7413229870000002</v>
      </c>
      <c r="M325" s="6">
        <f>Table2[[#This Row],[% of Solo Streams]]/100</f>
        <v>4.7413229870000004E-2</v>
      </c>
      <c r="N325" s="3">
        <v>9477</v>
      </c>
      <c r="O325" s="5">
        <v>95.25867701</v>
      </c>
      <c r="P325" s="6">
        <f>Table2[[#This Row],[% of Collaborative Streams]]/100</f>
        <v>0.95258677010000004</v>
      </c>
    </row>
    <row r="326" spans="1:16" x14ac:dyDescent="0.3">
      <c r="A326" s="2" t="s">
        <v>402</v>
      </c>
      <c r="B326" s="2" t="s">
        <v>14</v>
      </c>
      <c r="C326" s="2" t="s">
        <v>15</v>
      </c>
      <c r="D326" s="2" t="s">
        <v>16</v>
      </c>
      <c r="E326" s="2" t="s">
        <v>51</v>
      </c>
      <c r="F326" s="2" t="s">
        <v>48</v>
      </c>
      <c r="G326" s="4">
        <v>1996</v>
      </c>
      <c r="H326" s="4">
        <v>9933.4</v>
      </c>
      <c r="I326" s="4">
        <v>9932.9</v>
      </c>
      <c r="J326" s="4">
        <v>6.1</v>
      </c>
      <c r="K326" s="4">
        <v>9864.7000000000007</v>
      </c>
      <c r="L326" s="6">
        <v>99.308393899999999</v>
      </c>
      <c r="M326" s="6">
        <f>Table2[[#This Row],[% of Solo Streams]]/100</f>
        <v>0.99308393900000003</v>
      </c>
      <c r="N326" s="3">
        <v>68.7</v>
      </c>
      <c r="O326" s="5">
        <v>0.69160609660000005</v>
      </c>
      <c r="P326" s="6">
        <f>Table2[[#This Row],[% of Collaborative Streams]]/100</f>
        <v>6.9160609660000004E-3</v>
      </c>
    </row>
    <row r="327" spans="1:16" x14ac:dyDescent="0.3">
      <c r="A327" s="2" t="s">
        <v>403</v>
      </c>
      <c r="B327" s="2" t="s">
        <v>14</v>
      </c>
      <c r="C327" s="2" t="s">
        <v>21</v>
      </c>
      <c r="D327" s="2" t="s">
        <v>24</v>
      </c>
      <c r="E327" s="2" t="s">
        <v>82</v>
      </c>
      <c r="F327" s="2" t="s">
        <v>18</v>
      </c>
      <c r="G327" s="4">
        <v>1988</v>
      </c>
      <c r="H327" s="4">
        <v>9914.5</v>
      </c>
      <c r="I327" s="4">
        <v>6239</v>
      </c>
      <c r="J327" s="4">
        <v>3689.5</v>
      </c>
      <c r="K327" s="4">
        <v>5931.4</v>
      </c>
      <c r="L327" s="6">
        <v>59.82550809</v>
      </c>
      <c r="M327" s="6">
        <f>Table2[[#This Row],[% of Solo Streams]]/100</f>
        <v>0.59825508090000001</v>
      </c>
      <c r="N327" s="3">
        <v>3983.1</v>
      </c>
      <c r="O327" s="5">
        <v>40.17449191</v>
      </c>
      <c r="P327" s="6">
        <f>Table2[[#This Row],[% of Collaborative Streams]]/100</f>
        <v>0.40174491909999999</v>
      </c>
    </row>
    <row r="328" spans="1:16" x14ac:dyDescent="0.3">
      <c r="A328" s="2" t="s">
        <v>404</v>
      </c>
      <c r="B328" s="2" t="s">
        <v>78</v>
      </c>
      <c r="C328" s="2" t="s">
        <v>89</v>
      </c>
      <c r="D328" s="2" t="s">
        <v>24</v>
      </c>
      <c r="E328" s="2" t="s">
        <v>51</v>
      </c>
      <c r="F328" s="2" t="s">
        <v>48</v>
      </c>
      <c r="G328" s="4">
        <v>1987</v>
      </c>
      <c r="H328" s="4">
        <v>9914.4</v>
      </c>
      <c r="I328" s="4">
        <v>9921.1</v>
      </c>
      <c r="J328" s="4">
        <v>6.1</v>
      </c>
      <c r="K328" s="4">
        <v>7817.7</v>
      </c>
      <c r="L328" s="6">
        <v>78.851972889999999</v>
      </c>
      <c r="M328" s="6">
        <f>Table2[[#This Row],[% of Solo Streams]]/100</f>
        <v>0.78851972889999999</v>
      </c>
      <c r="N328" s="3">
        <v>2096.6999999999998</v>
      </c>
      <c r="O328" s="5">
        <v>21.148027110000001</v>
      </c>
      <c r="P328" s="6">
        <f>Table2[[#This Row],[% of Collaborative Streams]]/100</f>
        <v>0.21148027110000001</v>
      </c>
    </row>
    <row r="329" spans="1:16" x14ac:dyDescent="0.3">
      <c r="A329" s="2" t="s">
        <v>405</v>
      </c>
      <c r="B329" s="2" t="s">
        <v>14</v>
      </c>
      <c r="C329" s="2" t="s">
        <v>33</v>
      </c>
      <c r="D329" s="2" t="s">
        <v>16</v>
      </c>
      <c r="E329" s="2" t="s">
        <v>51</v>
      </c>
      <c r="F329" s="2" t="s">
        <v>48</v>
      </c>
      <c r="G329" s="4">
        <v>1969</v>
      </c>
      <c r="H329" s="4">
        <v>9909.5</v>
      </c>
      <c r="I329" s="4">
        <v>9912.7999999999993</v>
      </c>
      <c r="J329" s="4">
        <v>0</v>
      </c>
      <c r="K329" s="4">
        <v>9909.5</v>
      </c>
      <c r="L329" s="6">
        <v>100</v>
      </c>
      <c r="M329" s="6">
        <f>Table2[[#This Row],[% of Solo Streams]]/100</f>
        <v>1</v>
      </c>
      <c r="N329" s="3">
        <v>0</v>
      </c>
      <c r="O329" s="5">
        <v>0</v>
      </c>
      <c r="P329" s="6">
        <f>Table2[[#This Row],[% of Collaborative Streams]]/100</f>
        <v>0</v>
      </c>
    </row>
    <row r="330" spans="1:16" x14ac:dyDescent="0.3">
      <c r="A330" s="2" t="s">
        <v>406</v>
      </c>
      <c r="B330" s="2" t="s">
        <v>78</v>
      </c>
      <c r="C330" s="2" t="s">
        <v>407</v>
      </c>
      <c r="D330" s="2" t="s">
        <v>408</v>
      </c>
      <c r="E330" s="2" t="s">
        <v>51</v>
      </c>
      <c r="F330" s="2" t="s">
        <v>48</v>
      </c>
      <c r="G330" s="4">
        <v>2017</v>
      </c>
      <c r="H330" s="4">
        <v>9899.4</v>
      </c>
      <c r="I330" s="4">
        <v>9883</v>
      </c>
      <c r="J330" s="4">
        <v>20.100000000000001</v>
      </c>
      <c r="K330" s="4">
        <v>9351.9</v>
      </c>
      <c r="L330" s="6">
        <v>94.46936178</v>
      </c>
      <c r="M330" s="6">
        <f>Table2[[#This Row],[% of Solo Streams]]/100</f>
        <v>0.94469361780000005</v>
      </c>
      <c r="N330" s="3">
        <v>547.5</v>
      </c>
      <c r="O330" s="5">
        <v>5.5306382200000002</v>
      </c>
      <c r="P330" s="6">
        <f>Table2[[#This Row],[% of Collaborative Streams]]/100</f>
        <v>5.5306382200000004E-2</v>
      </c>
    </row>
    <row r="331" spans="1:16" x14ac:dyDescent="0.3">
      <c r="A331" s="2" t="s">
        <v>409</v>
      </c>
      <c r="B331" s="2" t="s">
        <v>14</v>
      </c>
      <c r="C331" s="2" t="s">
        <v>21</v>
      </c>
      <c r="D331" s="2" t="s">
        <v>16</v>
      </c>
      <c r="E331" s="2" t="s">
        <v>98</v>
      </c>
      <c r="F331" s="2" t="s">
        <v>48</v>
      </c>
      <c r="G331" s="4">
        <v>2010</v>
      </c>
      <c r="H331" s="4">
        <v>9869.2999999999993</v>
      </c>
      <c r="I331" s="4">
        <v>6437</v>
      </c>
      <c r="J331" s="4">
        <v>3432.3</v>
      </c>
      <c r="K331" s="4">
        <v>4558.7</v>
      </c>
      <c r="L331" s="6">
        <v>46.190712609999999</v>
      </c>
      <c r="M331" s="6">
        <f>Table2[[#This Row],[% of Solo Streams]]/100</f>
        <v>0.46190712610000001</v>
      </c>
      <c r="N331" s="3">
        <v>5310.6</v>
      </c>
      <c r="O331" s="5">
        <v>53.809287390000001</v>
      </c>
      <c r="P331" s="6">
        <f>Table2[[#This Row],[% of Collaborative Streams]]/100</f>
        <v>0.53809287390000005</v>
      </c>
    </row>
    <row r="332" spans="1:16" x14ac:dyDescent="0.3">
      <c r="A332" s="2" t="s">
        <v>410</v>
      </c>
      <c r="B332" s="2" t="s">
        <v>14</v>
      </c>
      <c r="C332" s="2" t="s">
        <v>21</v>
      </c>
      <c r="D332" s="2" t="s">
        <v>24</v>
      </c>
      <c r="E332" s="2" t="s">
        <v>82</v>
      </c>
      <c r="F332" s="2" t="s">
        <v>18</v>
      </c>
      <c r="G332" s="4">
        <v>1998</v>
      </c>
      <c r="H332" s="4">
        <v>9862.6</v>
      </c>
      <c r="I332" s="4">
        <v>4889.8</v>
      </c>
      <c r="J332" s="4">
        <v>4976.3999999999996</v>
      </c>
      <c r="K332" s="4">
        <v>1538.9</v>
      </c>
      <c r="L332" s="6">
        <v>15.60339059</v>
      </c>
      <c r="M332" s="6">
        <f>Table2[[#This Row],[% of Solo Streams]]/100</f>
        <v>0.15603390589999999</v>
      </c>
      <c r="N332" s="3">
        <v>8323.7000000000007</v>
      </c>
      <c r="O332" s="5">
        <v>84.396609409999996</v>
      </c>
      <c r="P332" s="6">
        <f>Table2[[#This Row],[% of Collaborative Streams]]/100</f>
        <v>0.84396609410000001</v>
      </c>
    </row>
    <row r="333" spans="1:16" x14ac:dyDescent="0.3">
      <c r="A333" s="2" t="s">
        <v>411</v>
      </c>
      <c r="B333" s="2" t="s">
        <v>20</v>
      </c>
      <c r="C333" s="2" t="s">
        <v>33</v>
      </c>
      <c r="D333" s="2" t="s">
        <v>16</v>
      </c>
      <c r="E333" s="2" t="s">
        <v>22</v>
      </c>
      <c r="F333" s="2" t="s">
        <v>18</v>
      </c>
      <c r="G333" s="4">
        <v>2014</v>
      </c>
      <c r="H333" s="4">
        <v>9859.6</v>
      </c>
      <c r="I333" s="4">
        <v>4832.5</v>
      </c>
      <c r="J333" s="4">
        <v>5032.8999999999996</v>
      </c>
      <c r="K333" s="4">
        <v>2441.1</v>
      </c>
      <c r="L333" s="6">
        <v>24.758610900000001</v>
      </c>
      <c r="M333" s="6">
        <f>Table2[[#This Row],[% of Solo Streams]]/100</f>
        <v>0.247586109</v>
      </c>
      <c r="N333" s="3">
        <v>7418.5</v>
      </c>
      <c r="O333" s="5">
        <v>75.241389100000006</v>
      </c>
      <c r="P333" s="6">
        <f>Table2[[#This Row],[% of Collaborative Streams]]/100</f>
        <v>0.75241389100000011</v>
      </c>
    </row>
    <row r="334" spans="1:16" x14ac:dyDescent="0.3">
      <c r="A334" s="2" t="s">
        <v>412</v>
      </c>
      <c r="B334" s="2" t="s">
        <v>14</v>
      </c>
      <c r="C334" s="2" t="s">
        <v>89</v>
      </c>
      <c r="D334" s="2" t="s">
        <v>24</v>
      </c>
      <c r="E334" s="2" t="s">
        <v>82</v>
      </c>
      <c r="F334" s="2" t="s">
        <v>18</v>
      </c>
      <c r="G334" s="4">
        <v>2023</v>
      </c>
      <c r="H334" s="4">
        <v>9854</v>
      </c>
      <c r="I334" s="4">
        <v>8668.1</v>
      </c>
      <c r="J334" s="4">
        <v>1197.3</v>
      </c>
      <c r="K334" s="4">
        <v>2611.1</v>
      </c>
      <c r="L334" s="6">
        <v>26.497868889999999</v>
      </c>
      <c r="M334" s="6">
        <f>Table2[[#This Row],[% of Solo Streams]]/100</f>
        <v>0.26497868889999998</v>
      </c>
      <c r="N334" s="3">
        <v>7242.9</v>
      </c>
      <c r="O334" s="5">
        <v>73.502131109999993</v>
      </c>
      <c r="P334" s="6">
        <f>Table2[[#This Row],[% of Collaborative Streams]]/100</f>
        <v>0.73502131109999991</v>
      </c>
    </row>
    <row r="335" spans="1:16" x14ac:dyDescent="0.3">
      <c r="A335" s="2" t="s">
        <v>413</v>
      </c>
      <c r="B335" s="2" t="s">
        <v>20</v>
      </c>
      <c r="C335" s="2" t="s">
        <v>21</v>
      </c>
      <c r="D335" s="2" t="s">
        <v>16</v>
      </c>
      <c r="E335" s="2" t="s">
        <v>22</v>
      </c>
      <c r="F335" s="2" t="s">
        <v>18</v>
      </c>
      <c r="G335" s="4">
        <v>2019</v>
      </c>
      <c r="H335" s="4">
        <v>9797.7999999999993</v>
      </c>
      <c r="I335" s="4">
        <v>9279.7000000000007</v>
      </c>
      <c r="J335" s="4">
        <v>543.29999999999995</v>
      </c>
      <c r="K335" s="4">
        <v>8953.2000000000007</v>
      </c>
      <c r="L335" s="6">
        <v>91.379697480000004</v>
      </c>
      <c r="M335" s="6">
        <f>Table2[[#This Row],[% of Solo Streams]]/100</f>
        <v>0.91379697479999999</v>
      </c>
      <c r="N335" s="3">
        <v>844.6</v>
      </c>
      <c r="O335" s="5">
        <v>8.6203025170000007</v>
      </c>
      <c r="P335" s="6">
        <f>Table2[[#This Row],[% of Collaborative Streams]]/100</f>
        <v>8.6203025170000003E-2</v>
      </c>
    </row>
    <row r="336" spans="1:16" x14ac:dyDescent="0.3">
      <c r="A336" s="2" t="s">
        <v>414</v>
      </c>
      <c r="B336" s="2" t="s">
        <v>14</v>
      </c>
      <c r="C336" s="2" t="s">
        <v>21</v>
      </c>
      <c r="D336" s="2" t="s">
        <v>16</v>
      </c>
      <c r="E336" s="2" t="s">
        <v>17</v>
      </c>
      <c r="F336" s="2" t="s">
        <v>18</v>
      </c>
      <c r="G336" s="4">
        <v>1997</v>
      </c>
      <c r="H336" s="4">
        <v>9734</v>
      </c>
      <c r="I336" s="4">
        <v>4314.3</v>
      </c>
      <c r="J336" s="4">
        <v>5425.4</v>
      </c>
      <c r="K336" s="4">
        <v>31</v>
      </c>
      <c r="L336" s="6">
        <v>0.31847133760000002</v>
      </c>
      <c r="M336" s="6">
        <f>Table2[[#This Row],[% of Solo Streams]]/100</f>
        <v>3.1847133760000003E-3</v>
      </c>
      <c r="N336" s="3">
        <v>9703</v>
      </c>
      <c r="O336" s="5">
        <v>99.681528659999998</v>
      </c>
      <c r="P336" s="6">
        <f>Table2[[#This Row],[% of Collaborative Streams]]/100</f>
        <v>0.99681528659999996</v>
      </c>
    </row>
    <row r="337" spans="1:16" x14ac:dyDescent="0.3">
      <c r="A337" s="2" t="s">
        <v>415</v>
      </c>
      <c r="B337" s="2" t="s">
        <v>14</v>
      </c>
      <c r="C337" s="2" t="s">
        <v>21</v>
      </c>
      <c r="D337" s="2" t="s">
        <v>16</v>
      </c>
      <c r="E337" s="2" t="s">
        <v>27</v>
      </c>
      <c r="F337" s="2" t="s">
        <v>18</v>
      </c>
      <c r="G337" s="4">
        <v>2009</v>
      </c>
      <c r="H337" s="4">
        <v>9713</v>
      </c>
      <c r="I337" s="4">
        <v>5586.8</v>
      </c>
      <c r="J337" s="4">
        <v>4126.1000000000004</v>
      </c>
      <c r="K337" s="4">
        <v>2334.8000000000002</v>
      </c>
      <c r="L337" s="6">
        <v>24.03788737</v>
      </c>
      <c r="M337" s="6">
        <f>Table2[[#This Row],[% of Solo Streams]]/100</f>
        <v>0.2403788737</v>
      </c>
      <c r="N337" s="3">
        <v>7378.2</v>
      </c>
      <c r="O337" s="5">
        <v>75.962112629999993</v>
      </c>
      <c r="P337" s="6">
        <f>Table2[[#This Row],[% of Collaborative Streams]]/100</f>
        <v>0.75962112629999989</v>
      </c>
    </row>
    <row r="338" spans="1:16" x14ac:dyDescent="0.3">
      <c r="A338" s="2" t="s">
        <v>416</v>
      </c>
      <c r="B338" s="2" t="s">
        <v>14</v>
      </c>
      <c r="C338" s="2" t="s">
        <v>21</v>
      </c>
      <c r="D338" s="2" t="s">
        <v>16</v>
      </c>
      <c r="E338" s="2" t="s">
        <v>272</v>
      </c>
      <c r="F338" s="2" t="s">
        <v>48</v>
      </c>
      <c r="G338" s="4">
        <v>2012</v>
      </c>
      <c r="H338" s="4">
        <v>9666.1</v>
      </c>
      <c r="I338" s="4">
        <v>9207.9</v>
      </c>
      <c r="J338" s="4">
        <v>460.8</v>
      </c>
      <c r="K338" s="4">
        <v>9168.2999999999993</v>
      </c>
      <c r="L338" s="6">
        <v>94.850042930000001</v>
      </c>
      <c r="M338" s="6">
        <f>Table2[[#This Row],[% of Solo Streams]]/100</f>
        <v>0.9485004293</v>
      </c>
      <c r="N338" s="3">
        <v>497.8</v>
      </c>
      <c r="O338" s="5">
        <v>5.1499570659999998</v>
      </c>
      <c r="P338" s="6">
        <f>Table2[[#This Row],[% of Collaborative Streams]]/100</f>
        <v>5.1499570660000001E-2</v>
      </c>
    </row>
    <row r="339" spans="1:16" x14ac:dyDescent="0.3">
      <c r="A339" s="2" t="s">
        <v>417</v>
      </c>
      <c r="B339" s="2" t="s">
        <v>14</v>
      </c>
      <c r="C339" s="2" t="s">
        <v>89</v>
      </c>
      <c r="D339" s="2" t="s">
        <v>24</v>
      </c>
      <c r="E339" s="2" t="s">
        <v>82</v>
      </c>
      <c r="F339" s="2" t="s">
        <v>18</v>
      </c>
      <c r="G339" s="4">
        <v>2020</v>
      </c>
      <c r="H339" s="4">
        <v>9609</v>
      </c>
      <c r="I339" s="4">
        <v>5573.7</v>
      </c>
      <c r="J339" s="4">
        <v>4061</v>
      </c>
      <c r="K339" s="4">
        <v>436.8</v>
      </c>
      <c r="L339" s="6">
        <v>4.5457383699999996</v>
      </c>
      <c r="M339" s="6">
        <f>Table2[[#This Row],[% of Solo Streams]]/100</f>
        <v>4.5457383699999993E-2</v>
      </c>
      <c r="N339" s="3">
        <v>9172.2000000000007</v>
      </c>
      <c r="O339" s="5">
        <v>95.454261630000005</v>
      </c>
      <c r="P339" s="6">
        <f>Table2[[#This Row],[% of Collaborative Streams]]/100</f>
        <v>0.95454261630000004</v>
      </c>
    </row>
    <row r="340" spans="1:16" x14ac:dyDescent="0.3">
      <c r="A340" s="2" t="s">
        <v>418</v>
      </c>
      <c r="B340" s="2" t="s">
        <v>14</v>
      </c>
      <c r="C340" s="2" t="s">
        <v>21</v>
      </c>
      <c r="D340" s="2" t="s">
        <v>16</v>
      </c>
      <c r="E340" s="2" t="s">
        <v>27</v>
      </c>
      <c r="F340" s="2" t="s">
        <v>18</v>
      </c>
      <c r="G340" s="4">
        <v>2014</v>
      </c>
      <c r="H340" s="4">
        <v>9513.7000000000007</v>
      </c>
      <c r="I340" s="4">
        <v>9454.2999999999993</v>
      </c>
      <c r="J340" s="4">
        <v>63.4</v>
      </c>
      <c r="K340" s="4">
        <v>1289.2</v>
      </c>
      <c r="L340" s="6">
        <v>13.55098437</v>
      </c>
      <c r="M340" s="6">
        <f>Table2[[#This Row],[% of Solo Streams]]/100</f>
        <v>0.13550984369999999</v>
      </c>
      <c r="N340" s="3">
        <v>8224.5</v>
      </c>
      <c r="O340" s="5">
        <v>86.449015630000005</v>
      </c>
      <c r="P340" s="6">
        <f>Table2[[#This Row],[% of Collaborative Streams]]/100</f>
        <v>0.86449015630000003</v>
      </c>
    </row>
    <row r="341" spans="1:16" x14ac:dyDescent="0.3">
      <c r="A341" s="2" t="s">
        <v>419</v>
      </c>
      <c r="B341" s="2" t="s">
        <v>14</v>
      </c>
      <c r="C341" s="2" t="s">
        <v>94</v>
      </c>
      <c r="D341" s="2" t="s">
        <v>16</v>
      </c>
      <c r="E341" s="2" t="s">
        <v>27</v>
      </c>
      <c r="F341" s="2" t="s">
        <v>48</v>
      </c>
      <c r="G341" s="4">
        <v>2014</v>
      </c>
      <c r="H341" s="4">
        <v>9513</v>
      </c>
      <c r="I341" s="4">
        <v>9329.2999999999993</v>
      </c>
      <c r="J341" s="4">
        <v>185.8</v>
      </c>
      <c r="K341" s="4">
        <v>8793</v>
      </c>
      <c r="L341" s="6">
        <v>92.431409650000006</v>
      </c>
      <c r="M341" s="6">
        <f>Table2[[#This Row],[% of Solo Streams]]/100</f>
        <v>0.92431409650000007</v>
      </c>
      <c r="N341" s="3">
        <v>720</v>
      </c>
      <c r="O341" s="5">
        <v>7.56859035</v>
      </c>
      <c r="P341" s="6">
        <f>Table2[[#This Row],[% of Collaborative Streams]]/100</f>
        <v>7.5685903499999999E-2</v>
      </c>
    </row>
    <row r="342" spans="1:16" x14ac:dyDescent="0.3">
      <c r="A342" s="2" t="s">
        <v>420</v>
      </c>
      <c r="B342" s="2" t="s">
        <v>14</v>
      </c>
      <c r="C342" s="2" t="s">
        <v>89</v>
      </c>
      <c r="D342" s="2" t="s">
        <v>24</v>
      </c>
      <c r="E342" s="2" t="s">
        <v>90</v>
      </c>
      <c r="F342" s="2" t="s">
        <v>48</v>
      </c>
      <c r="G342" s="4">
        <v>2007</v>
      </c>
      <c r="H342" s="4">
        <v>9503.2999999999993</v>
      </c>
      <c r="I342" s="4">
        <v>2467.8000000000002</v>
      </c>
      <c r="J342" s="4">
        <v>7045.9</v>
      </c>
      <c r="K342" s="4">
        <v>9278.4</v>
      </c>
      <c r="L342" s="6">
        <v>97.633453639999999</v>
      </c>
      <c r="M342" s="6">
        <f>Table2[[#This Row],[% of Solo Streams]]/100</f>
        <v>0.97633453640000001</v>
      </c>
      <c r="N342" s="3">
        <v>224.9</v>
      </c>
      <c r="O342" s="5">
        <v>2.3665463579999999</v>
      </c>
      <c r="P342" s="6">
        <f>Table2[[#This Row],[% of Collaborative Streams]]/100</f>
        <v>2.3665463580000001E-2</v>
      </c>
    </row>
    <row r="343" spans="1:16" x14ac:dyDescent="0.3">
      <c r="A343" s="2" t="s">
        <v>421</v>
      </c>
      <c r="B343" s="2" t="s">
        <v>14</v>
      </c>
      <c r="C343" s="2" t="s">
        <v>21</v>
      </c>
      <c r="D343" s="2" t="s">
        <v>24</v>
      </c>
      <c r="E343" s="2" t="s">
        <v>151</v>
      </c>
      <c r="F343" s="2" t="s">
        <v>18</v>
      </c>
      <c r="G343" s="4">
        <v>2010</v>
      </c>
      <c r="H343" s="4">
        <v>9495.2000000000007</v>
      </c>
      <c r="I343" s="4">
        <v>6483.6</v>
      </c>
      <c r="J343" s="4">
        <v>3011.7</v>
      </c>
      <c r="K343" s="4">
        <v>4320.3999999999996</v>
      </c>
      <c r="L343" s="6">
        <v>45.500884659999997</v>
      </c>
      <c r="M343" s="6">
        <f>Table2[[#This Row],[% of Solo Streams]]/100</f>
        <v>0.45500884659999996</v>
      </c>
      <c r="N343" s="3">
        <v>5174.8</v>
      </c>
      <c r="O343" s="5">
        <v>54.499115340000003</v>
      </c>
      <c r="P343" s="6">
        <f>Table2[[#This Row],[% of Collaborative Streams]]/100</f>
        <v>0.54499115340000004</v>
      </c>
    </row>
    <row r="344" spans="1:16" x14ac:dyDescent="0.3">
      <c r="A344" s="2" t="s">
        <v>422</v>
      </c>
      <c r="B344" s="2" t="s">
        <v>14</v>
      </c>
      <c r="C344" s="2" t="s">
        <v>33</v>
      </c>
      <c r="D344" s="2" t="s">
        <v>16</v>
      </c>
      <c r="E344" s="2" t="s">
        <v>57</v>
      </c>
      <c r="F344" s="2" t="s">
        <v>48</v>
      </c>
      <c r="G344" s="4">
        <v>2010</v>
      </c>
      <c r="H344" s="4">
        <v>9439.9</v>
      </c>
      <c r="I344" s="4">
        <v>4498.2</v>
      </c>
      <c r="J344" s="4">
        <v>4948.6000000000004</v>
      </c>
      <c r="K344" s="4">
        <v>5621.4</v>
      </c>
      <c r="L344" s="6">
        <v>59.549359629999998</v>
      </c>
      <c r="M344" s="6">
        <f>Table2[[#This Row],[% of Solo Streams]]/100</f>
        <v>0.59549359629999998</v>
      </c>
      <c r="N344" s="3">
        <v>3818.5</v>
      </c>
      <c r="O344" s="5">
        <v>40.450640370000002</v>
      </c>
      <c r="P344" s="6">
        <f>Table2[[#This Row],[% of Collaborative Streams]]/100</f>
        <v>0.40450640370000002</v>
      </c>
    </row>
    <row r="345" spans="1:16" x14ac:dyDescent="0.3">
      <c r="A345" s="2" t="s">
        <v>423</v>
      </c>
      <c r="B345" s="2" t="s">
        <v>14</v>
      </c>
      <c r="C345" s="2" t="s">
        <v>407</v>
      </c>
      <c r="D345" s="2" t="s">
        <v>408</v>
      </c>
      <c r="E345" s="2" t="s">
        <v>17</v>
      </c>
      <c r="F345" s="2" t="s">
        <v>18</v>
      </c>
      <c r="G345" s="4">
        <v>2011</v>
      </c>
      <c r="H345" s="4">
        <v>9437.2999999999993</v>
      </c>
      <c r="I345" s="4">
        <v>6110.3</v>
      </c>
      <c r="J345" s="4">
        <v>3331.7</v>
      </c>
      <c r="K345" s="4">
        <v>2399.1999999999998</v>
      </c>
      <c r="L345" s="6">
        <v>25.42252551</v>
      </c>
      <c r="M345" s="6">
        <f>Table2[[#This Row],[% of Solo Streams]]/100</f>
        <v>0.25422525509999999</v>
      </c>
      <c r="N345" s="3">
        <v>7038.1</v>
      </c>
      <c r="O345" s="5">
        <v>74.57747449</v>
      </c>
      <c r="P345" s="6">
        <f>Table2[[#This Row],[% of Collaborative Streams]]/100</f>
        <v>0.74577474489999995</v>
      </c>
    </row>
    <row r="346" spans="1:16" x14ac:dyDescent="0.3">
      <c r="A346" s="2" t="s">
        <v>424</v>
      </c>
      <c r="B346" s="2" t="s">
        <v>20</v>
      </c>
      <c r="C346" s="2" t="s">
        <v>33</v>
      </c>
      <c r="D346" s="2" t="s">
        <v>16</v>
      </c>
      <c r="E346" s="2" t="s">
        <v>51</v>
      </c>
      <c r="F346" s="2" t="s">
        <v>48</v>
      </c>
      <c r="G346" s="4">
        <v>2009</v>
      </c>
      <c r="H346" s="4">
        <v>9401</v>
      </c>
      <c r="I346" s="4">
        <v>8691.5</v>
      </c>
      <c r="J346" s="4">
        <v>712.9</v>
      </c>
      <c r="K346" s="4">
        <v>8081.2</v>
      </c>
      <c r="L346" s="6">
        <v>85.961067970000002</v>
      </c>
      <c r="M346" s="6">
        <f>Table2[[#This Row],[% of Solo Streams]]/100</f>
        <v>0.85961067970000005</v>
      </c>
      <c r="N346" s="3">
        <v>1319.8</v>
      </c>
      <c r="O346" s="5">
        <v>14.03893203</v>
      </c>
      <c r="P346" s="6">
        <f>Table2[[#This Row],[% of Collaborative Streams]]/100</f>
        <v>0.14038932030000001</v>
      </c>
    </row>
    <row r="347" spans="1:16" x14ac:dyDescent="0.3">
      <c r="A347" s="2" t="s">
        <v>425</v>
      </c>
      <c r="B347" s="2" t="s">
        <v>14</v>
      </c>
      <c r="C347" s="2" t="s">
        <v>21</v>
      </c>
      <c r="D347" s="2" t="s">
        <v>16</v>
      </c>
      <c r="E347" s="2" t="s">
        <v>17</v>
      </c>
      <c r="F347" s="2" t="s">
        <v>18</v>
      </c>
      <c r="G347" s="4">
        <v>2008</v>
      </c>
      <c r="H347" s="4">
        <v>9362.2999999999993</v>
      </c>
      <c r="I347" s="4">
        <v>4260.1000000000004</v>
      </c>
      <c r="J347" s="4">
        <v>5102.2</v>
      </c>
      <c r="K347" s="4">
        <v>1075.5999999999999</v>
      </c>
      <c r="L347" s="6">
        <v>11.48862993</v>
      </c>
      <c r="M347" s="6">
        <f>Table2[[#This Row],[% of Solo Streams]]/100</f>
        <v>0.11488629929999999</v>
      </c>
      <c r="N347" s="3">
        <v>8286.7000000000007</v>
      </c>
      <c r="O347" s="5">
        <v>88.511370069999998</v>
      </c>
      <c r="P347" s="6">
        <f>Table2[[#This Row],[% of Collaborative Streams]]/100</f>
        <v>0.88511370069999995</v>
      </c>
    </row>
    <row r="348" spans="1:16" x14ac:dyDescent="0.3">
      <c r="A348" s="2" t="s">
        <v>426</v>
      </c>
      <c r="B348" s="2" t="s">
        <v>14</v>
      </c>
      <c r="C348" s="2" t="s">
        <v>242</v>
      </c>
      <c r="D348" s="2" t="s">
        <v>24</v>
      </c>
      <c r="E348" s="2" t="s">
        <v>82</v>
      </c>
      <c r="F348" s="2" t="s">
        <v>18</v>
      </c>
      <c r="G348" s="4">
        <v>1989</v>
      </c>
      <c r="H348" s="4">
        <v>9340.1</v>
      </c>
      <c r="I348" s="4">
        <v>6691.7</v>
      </c>
      <c r="J348" s="4">
        <v>2658.2</v>
      </c>
      <c r="K348" s="4">
        <v>5230.2</v>
      </c>
      <c r="L348" s="6">
        <v>55.997259130000003</v>
      </c>
      <c r="M348" s="6">
        <f>Table2[[#This Row],[% of Solo Streams]]/100</f>
        <v>0.55997259129999999</v>
      </c>
      <c r="N348" s="3">
        <v>4109.8999999999996</v>
      </c>
      <c r="O348" s="5">
        <v>44.002740869999997</v>
      </c>
      <c r="P348" s="6">
        <f>Table2[[#This Row],[% of Collaborative Streams]]/100</f>
        <v>0.44002740869999996</v>
      </c>
    </row>
    <row r="349" spans="1:16" x14ac:dyDescent="0.3">
      <c r="A349" s="2" t="s">
        <v>427</v>
      </c>
      <c r="B349" s="2" t="s">
        <v>14</v>
      </c>
      <c r="C349" s="2" t="s">
        <v>21</v>
      </c>
      <c r="D349" s="2" t="s">
        <v>16</v>
      </c>
      <c r="E349" s="2" t="s">
        <v>17</v>
      </c>
      <c r="F349" s="2" t="s">
        <v>18</v>
      </c>
      <c r="G349" s="4">
        <v>2017</v>
      </c>
      <c r="H349" s="4">
        <v>9314.7999999999993</v>
      </c>
      <c r="I349" s="4">
        <v>5409.5</v>
      </c>
      <c r="J349" s="4">
        <v>3905.3</v>
      </c>
      <c r="K349" s="4">
        <v>1907.2</v>
      </c>
      <c r="L349" s="6">
        <v>20.474943100000001</v>
      </c>
      <c r="M349" s="6">
        <f>Table2[[#This Row],[% of Solo Streams]]/100</f>
        <v>0.20474943100000001</v>
      </c>
      <c r="N349" s="3">
        <v>7407.6</v>
      </c>
      <c r="O349" s="5">
        <v>79.525056899999996</v>
      </c>
      <c r="P349" s="6">
        <f>Table2[[#This Row],[% of Collaborative Streams]]/100</f>
        <v>0.79525056899999991</v>
      </c>
    </row>
    <row r="350" spans="1:16" x14ac:dyDescent="0.3">
      <c r="A350" s="2" t="s">
        <v>428</v>
      </c>
      <c r="B350" s="2" t="s">
        <v>14</v>
      </c>
      <c r="C350" s="2" t="s">
        <v>21</v>
      </c>
      <c r="D350" s="2" t="s">
        <v>16</v>
      </c>
      <c r="E350" s="2" t="s">
        <v>27</v>
      </c>
      <c r="F350" s="2" t="s">
        <v>18</v>
      </c>
      <c r="G350" s="4">
        <v>2018</v>
      </c>
      <c r="H350" s="4">
        <v>9302.9</v>
      </c>
      <c r="I350" s="4">
        <v>5809.3</v>
      </c>
      <c r="J350" s="4">
        <v>3497.2</v>
      </c>
      <c r="K350" s="4">
        <v>5699</v>
      </c>
      <c r="L350" s="6">
        <v>61.260467169999998</v>
      </c>
      <c r="M350" s="6">
        <f>Table2[[#This Row],[% of Solo Streams]]/100</f>
        <v>0.61260467169999999</v>
      </c>
      <c r="N350" s="3">
        <v>3603.9</v>
      </c>
      <c r="O350" s="5">
        <v>38.739532830000002</v>
      </c>
      <c r="P350" s="6">
        <f>Table2[[#This Row],[% of Collaborative Streams]]/100</f>
        <v>0.38739532830000001</v>
      </c>
    </row>
    <row r="351" spans="1:16" x14ac:dyDescent="0.3">
      <c r="A351" s="2" t="s">
        <v>429</v>
      </c>
      <c r="B351" s="2" t="s">
        <v>14</v>
      </c>
      <c r="C351" s="2" t="s">
        <v>21</v>
      </c>
      <c r="D351" s="2" t="s">
        <v>16</v>
      </c>
      <c r="E351" s="2" t="s">
        <v>51</v>
      </c>
      <c r="F351" s="2" t="s">
        <v>18</v>
      </c>
      <c r="G351" s="4">
        <v>1971</v>
      </c>
      <c r="H351" s="4">
        <v>9290.9</v>
      </c>
      <c r="I351" s="4">
        <v>9255.2000000000007</v>
      </c>
      <c r="J351" s="4">
        <v>40.4</v>
      </c>
      <c r="K351" s="4">
        <v>9207.2000000000007</v>
      </c>
      <c r="L351" s="6">
        <v>99.099118489999995</v>
      </c>
      <c r="M351" s="6">
        <f>Table2[[#This Row],[% of Solo Streams]]/100</f>
        <v>0.99099118489999993</v>
      </c>
      <c r="N351" s="3">
        <v>83.7</v>
      </c>
      <c r="O351" s="5">
        <v>0.90088150769999997</v>
      </c>
      <c r="P351" s="6">
        <f>Table2[[#This Row],[% of Collaborative Streams]]/100</f>
        <v>9.008815077E-3</v>
      </c>
    </row>
    <row r="352" spans="1:16" x14ac:dyDescent="0.3">
      <c r="A352" s="2" t="s">
        <v>430</v>
      </c>
      <c r="B352" s="2" t="s">
        <v>14</v>
      </c>
      <c r="C352" s="2" t="s">
        <v>21</v>
      </c>
      <c r="D352" s="2" t="s">
        <v>16</v>
      </c>
      <c r="E352" s="2" t="s">
        <v>98</v>
      </c>
      <c r="F352" s="2" t="s">
        <v>18</v>
      </c>
      <c r="G352" s="4">
        <v>2007</v>
      </c>
      <c r="H352" s="4">
        <v>9213.5</v>
      </c>
      <c r="I352" s="4">
        <v>9212.7000000000007</v>
      </c>
      <c r="J352" s="4">
        <v>8.3000000000000007</v>
      </c>
      <c r="K352" s="4">
        <v>7646.2</v>
      </c>
      <c r="L352" s="6">
        <v>82.98909209</v>
      </c>
      <c r="M352" s="6">
        <f>Table2[[#This Row],[% of Solo Streams]]/100</f>
        <v>0.82989092090000005</v>
      </c>
      <c r="N352" s="3">
        <v>1567.3</v>
      </c>
      <c r="O352" s="5">
        <v>17.01090791</v>
      </c>
      <c r="P352" s="6">
        <f>Table2[[#This Row],[% of Collaborative Streams]]/100</f>
        <v>0.1701090791</v>
      </c>
    </row>
    <row r="353" spans="1:16" x14ac:dyDescent="0.3">
      <c r="A353" s="2" t="s">
        <v>431</v>
      </c>
      <c r="B353" s="2" t="s">
        <v>14</v>
      </c>
      <c r="C353" s="2" t="s">
        <v>33</v>
      </c>
      <c r="D353" s="2" t="s">
        <v>16</v>
      </c>
      <c r="E353" s="2" t="s">
        <v>51</v>
      </c>
      <c r="F353" s="2" t="s">
        <v>48</v>
      </c>
      <c r="G353" s="4">
        <v>1999</v>
      </c>
      <c r="H353" s="4">
        <v>9212.4</v>
      </c>
      <c r="I353" s="4">
        <v>7752.7</v>
      </c>
      <c r="J353" s="4">
        <v>1460.8</v>
      </c>
      <c r="K353" s="4">
        <v>9165</v>
      </c>
      <c r="L353" s="6">
        <v>99.4854761</v>
      </c>
      <c r="M353" s="6">
        <f>Table2[[#This Row],[% of Solo Streams]]/100</f>
        <v>0.99485476100000003</v>
      </c>
      <c r="N353" s="3">
        <v>47.4</v>
      </c>
      <c r="O353" s="5">
        <v>0.51452390260000003</v>
      </c>
      <c r="P353" s="6">
        <f>Table2[[#This Row],[% of Collaborative Streams]]/100</f>
        <v>5.1452390260000001E-3</v>
      </c>
    </row>
    <row r="354" spans="1:16" x14ac:dyDescent="0.3">
      <c r="A354" s="2" t="s">
        <v>432</v>
      </c>
      <c r="B354" s="2" t="s">
        <v>14</v>
      </c>
      <c r="C354" s="2" t="s">
        <v>33</v>
      </c>
      <c r="D354" s="2" t="s">
        <v>16</v>
      </c>
      <c r="E354" s="2" t="s">
        <v>60</v>
      </c>
      <c r="F354" s="2" t="s">
        <v>18</v>
      </c>
      <c r="G354" s="4">
        <v>2015</v>
      </c>
      <c r="H354" s="4">
        <v>9206.7000000000007</v>
      </c>
      <c r="I354" s="4">
        <v>7645.1</v>
      </c>
      <c r="J354" s="4">
        <v>1564.1</v>
      </c>
      <c r="K354" s="4">
        <v>36.4</v>
      </c>
      <c r="L354" s="6">
        <v>0.3953642456</v>
      </c>
      <c r="M354" s="6">
        <f>Table2[[#This Row],[% of Solo Streams]]/100</f>
        <v>3.9536424560000002E-3</v>
      </c>
      <c r="N354" s="3">
        <v>9170.2999999999993</v>
      </c>
      <c r="O354" s="5">
        <v>99.60463575</v>
      </c>
      <c r="P354" s="6">
        <f>Table2[[#This Row],[% of Collaborative Streams]]/100</f>
        <v>0.99604635750000003</v>
      </c>
    </row>
    <row r="355" spans="1:16" x14ac:dyDescent="0.3">
      <c r="A355" s="2" t="s">
        <v>433</v>
      </c>
      <c r="B355" s="2" t="s">
        <v>14</v>
      </c>
      <c r="C355" s="2" t="s">
        <v>21</v>
      </c>
      <c r="D355" s="2" t="s">
        <v>16</v>
      </c>
      <c r="E355" s="2" t="s">
        <v>22</v>
      </c>
      <c r="F355" s="2" t="s">
        <v>18</v>
      </c>
      <c r="G355" s="4">
        <v>2019</v>
      </c>
      <c r="H355" s="4">
        <v>9177.5</v>
      </c>
      <c r="I355" s="4">
        <v>7949</v>
      </c>
      <c r="J355" s="4">
        <v>1236.7</v>
      </c>
      <c r="K355" s="4">
        <v>7238.3</v>
      </c>
      <c r="L355" s="6">
        <v>78.870062649999994</v>
      </c>
      <c r="M355" s="6">
        <f>Table2[[#This Row],[% of Solo Streams]]/100</f>
        <v>0.78870062649999995</v>
      </c>
      <c r="N355" s="3">
        <v>1939.2</v>
      </c>
      <c r="O355" s="5">
        <v>21.129937349999999</v>
      </c>
      <c r="P355" s="6">
        <f>Table2[[#This Row],[% of Collaborative Streams]]/100</f>
        <v>0.2112993735</v>
      </c>
    </row>
    <row r="356" spans="1:16" x14ac:dyDescent="0.3">
      <c r="A356" s="2" t="s">
        <v>434</v>
      </c>
      <c r="B356" s="2" t="s">
        <v>14</v>
      </c>
      <c r="C356" s="2" t="s">
        <v>42</v>
      </c>
      <c r="D356" s="2" t="s">
        <v>24</v>
      </c>
      <c r="E356" s="2" t="s">
        <v>82</v>
      </c>
      <c r="F356" s="2" t="s">
        <v>18</v>
      </c>
      <c r="G356" s="4">
        <v>1988</v>
      </c>
      <c r="H356" s="4">
        <v>9121.6</v>
      </c>
      <c r="I356" s="4">
        <v>4954.8</v>
      </c>
      <c r="J356" s="4">
        <v>4166.8</v>
      </c>
      <c r="K356" s="4">
        <v>4039.5</v>
      </c>
      <c r="L356" s="6">
        <v>44.28499386</v>
      </c>
      <c r="M356" s="6">
        <f>Table2[[#This Row],[% of Solo Streams]]/100</f>
        <v>0.44284993859999999</v>
      </c>
      <c r="N356" s="3">
        <v>5082.1000000000004</v>
      </c>
      <c r="O356" s="5">
        <v>55.71500614</v>
      </c>
      <c r="P356" s="6">
        <f>Table2[[#This Row],[% of Collaborative Streams]]/100</f>
        <v>0.55715006140000001</v>
      </c>
    </row>
    <row r="357" spans="1:16" x14ac:dyDescent="0.3">
      <c r="A357" s="2" t="s">
        <v>435</v>
      </c>
      <c r="B357" s="2" t="s">
        <v>20</v>
      </c>
      <c r="C357" s="2" t="s">
        <v>21</v>
      </c>
      <c r="D357" s="2" t="s">
        <v>16</v>
      </c>
      <c r="E357" s="2" t="s">
        <v>22</v>
      </c>
      <c r="F357" s="2" t="s">
        <v>18</v>
      </c>
      <c r="G357" s="4">
        <v>1999</v>
      </c>
      <c r="H357" s="4">
        <v>9115.7000000000007</v>
      </c>
      <c r="I357" s="4">
        <v>7543</v>
      </c>
      <c r="J357" s="4">
        <v>1578.6</v>
      </c>
      <c r="K357" s="4">
        <v>2706.2</v>
      </c>
      <c r="L357" s="6">
        <v>29.68724289</v>
      </c>
      <c r="M357" s="6">
        <f>Table2[[#This Row],[% of Solo Streams]]/100</f>
        <v>0.29687242889999998</v>
      </c>
      <c r="N357" s="3">
        <v>6409.5</v>
      </c>
      <c r="O357" s="5">
        <v>70.312757110000007</v>
      </c>
      <c r="P357" s="6">
        <f>Table2[[#This Row],[% of Collaborative Streams]]/100</f>
        <v>0.70312757110000002</v>
      </c>
    </row>
    <row r="358" spans="1:16" x14ac:dyDescent="0.3">
      <c r="A358" s="2" t="s">
        <v>436</v>
      </c>
      <c r="B358" s="2" t="s">
        <v>14</v>
      </c>
      <c r="C358" s="2" t="s">
        <v>89</v>
      </c>
      <c r="D358" s="2" t="s">
        <v>24</v>
      </c>
      <c r="E358" s="2" t="s">
        <v>17</v>
      </c>
      <c r="F358" s="2" t="s">
        <v>48</v>
      </c>
      <c r="G358" s="4">
        <v>2002</v>
      </c>
      <c r="H358" s="4">
        <v>9107.5</v>
      </c>
      <c r="I358" s="4">
        <v>8630.9</v>
      </c>
      <c r="J358" s="4">
        <v>487.3</v>
      </c>
      <c r="K358" s="4">
        <v>5817.4</v>
      </c>
      <c r="L358" s="6">
        <v>63.874828440000002</v>
      </c>
      <c r="M358" s="6">
        <f>Table2[[#This Row],[% of Solo Streams]]/100</f>
        <v>0.63874828439999998</v>
      </c>
      <c r="N358" s="3">
        <v>3290.1</v>
      </c>
      <c r="O358" s="5">
        <v>36.125171559999998</v>
      </c>
      <c r="P358" s="6">
        <f>Table2[[#This Row],[% of Collaborative Streams]]/100</f>
        <v>0.36125171559999997</v>
      </c>
    </row>
    <row r="359" spans="1:16" x14ac:dyDescent="0.3">
      <c r="A359" s="2" t="s">
        <v>437</v>
      </c>
      <c r="B359" s="2" t="s">
        <v>14</v>
      </c>
      <c r="C359" s="2" t="s">
        <v>21</v>
      </c>
      <c r="D359" s="2" t="s">
        <v>16</v>
      </c>
      <c r="E359" s="2" t="s">
        <v>17</v>
      </c>
      <c r="F359" s="2" t="s">
        <v>18</v>
      </c>
      <c r="G359" s="4">
        <v>2001</v>
      </c>
      <c r="H359" s="4">
        <v>9084.9</v>
      </c>
      <c r="I359" s="4">
        <v>4560.6000000000004</v>
      </c>
      <c r="J359" s="4">
        <v>4524.3</v>
      </c>
      <c r="K359" s="4">
        <v>1805.2</v>
      </c>
      <c r="L359" s="6">
        <v>19.870334289999999</v>
      </c>
      <c r="M359" s="6">
        <f>Table2[[#This Row],[% of Solo Streams]]/100</f>
        <v>0.1987033429</v>
      </c>
      <c r="N359" s="3">
        <v>7279.7</v>
      </c>
      <c r="O359" s="5">
        <v>80.129665709999998</v>
      </c>
      <c r="P359" s="6">
        <f>Table2[[#This Row],[% of Collaborative Streams]]/100</f>
        <v>0.80129665709999998</v>
      </c>
    </row>
    <row r="360" spans="1:16" x14ac:dyDescent="0.3">
      <c r="A360" s="2" t="s">
        <v>438</v>
      </c>
      <c r="B360" s="2" t="s">
        <v>14</v>
      </c>
      <c r="C360" s="2" t="s">
        <v>89</v>
      </c>
      <c r="D360" s="2" t="s">
        <v>24</v>
      </c>
      <c r="E360" s="2" t="s">
        <v>90</v>
      </c>
      <c r="F360" s="2" t="s">
        <v>18</v>
      </c>
      <c r="G360" s="4">
        <v>2015</v>
      </c>
      <c r="H360" s="4">
        <v>9076.4</v>
      </c>
      <c r="I360" s="4">
        <v>3472</v>
      </c>
      <c r="J360" s="4">
        <v>5604.3</v>
      </c>
      <c r="K360" s="4">
        <v>752.1</v>
      </c>
      <c r="L360" s="6">
        <v>8.2863249749999994</v>
      </c>
      <c r="M360" s="6">
        <f>Table2[[#This Row],[% of Solo Streams]]/100</f>
        <v>8.2863249749999993E-2</v>
      </c>
      <c r="N360" s="3">
        <v>8324.2999999999993</v>
      </c>
      <c r="O360" s="5">
        <v>91.713675030000005</v>
      </c>
      <c r="P360" s="6">
        <f>Table2[[#This Row],[% of Collaborative Streams]]/100</f>
        <v>0.91713675030000008</v>
      </c>
    </row>
    <row r="361" spans="1:16" x14ac:dyDescent="0.3">
      <c r="A361" s="2" t="s">
        <v>439</v>
      </c>
      <c r="B361" s="2" t="s">
        <v>14</v>
      </c>
      <c r="C361" s="2" t="s">
        <v>440</v>
      </c>
      <c r="D361" s="2" t="s">
        <v>24</v>
      </c>
      <c r="E361" s="2" t="s">
        <v>82</v>
      </c>
      <c r="F361" s="2" t="s">
        <v>18</v>
      </c>
      <c r="G361" s="4">
        <v>2008</v>
      </c>
      <c r="H361" s="4">
        <v>9056.5</v>
      </c>
      <c r="I361" s="4">
        <v>5112.2</v>
      </c>
      <c r="J361" s="4">
        <v>3944.3</v>
      </c>
      <c r="K361" s="4">
        <v>561.5</v>
      </c>
      <c r="L361" s="6">
        <v>6.1999668750000003</v>
      </c>
      <c r="M361" s="6">
        <f>Table2[[#This Row],[% of Solo Streams]]/100</f>
        <v>6.199966875E-2</v>
      </c>
      <c r="N361" s="3">
        <v>8495</v>
      </c>
      <c r="O361" s="5">
        <v>93.800033130000003</v>
      </c>
      <c r="P361" s="6">
        <f>Table2[[#This Row],[% of Collaborative Streams]]/100</f>
        <v>0.93800033130000005</v>
      </c>
    </row>
    <row r="362" spans="1:16" x14ac:dyDescent="0.3">
      <c r="A362" s="2" t="s">
        <v>441</v>
      </c>
      <c r="B362" s="2" t="s">
        <v>20</v>
      </c>
      <c r="C362" s="2" t="s">
        <v>71</v>
      </c>
      <c r="D362" s="2" t="s">
        <v>72</v>
      </c>
      <c r="E362" s="2" t="s">
        <v>73</v>
      </c>
      <c r="F362" s="2" t="s">
        <v>18</v>
      </c>
      <c r="G362" s="4">
        <v>1980</v>
      </c>
      <c r="H362" s="4">
        <v>8988.2000000000007</v>
      </c>
      <c r="I362" s="4">
        <v>2897.2</v>
      </c>
      <c r="J362" s="4">
        <v>6102.8</v>
      </c>
      <c r="K362" s="4">
        <v>551.1</v>
      </c>
      <c r="L362" s="6">
        <v>6.1313722439999996</v>
      </c>
      <c r="M362" s="6">
        <f>Table2[[#This Row],[% of Solo Streams]]/100</f>
        <v>6.1313722439999996E-2</v>
      </c>
      <c r="N362" s="3">
        <v>8437.1</v>
      </c>
      <c r="O362" s="5">
        <v>93.868627759999995</v>
      </c>
      <c r="P362" s="6">
        <f>Table2[[#This Row],[% of Collaborative Streams]]/100</f>
        <v>0.93868627760000001</v>
      </c>
    </row>
    <row r="363" spans="1:16" x14ac:dyDescent="0.3">
      <c r="A363" s="2" t="s">
        <v>442</v>
      </c>
      <c r="B363" s="2" t="s">
        <v>14</v>
      </c>
      <c r="C363" s="2" t="s">
        <v>42</v>
      </c>
      <c r="D363" s="2" t="s">
        <v>24</v>
      </c>
      <c r="E363" s="2" t="s">
        <v>25</v>
      </c>
      <c r="F363" s="2" t="s">
        <v>18</v>
      </c>
      <c r="G363" s="4">
        <v>2018</v>
      </c>
      <c r="H363" s="4">
        <v>8965</v>
      </c>
      <c r="I363" s="4">
        <v>6387.9</v>
      </c>
      <c r="J363" s="4">
        <v>2587.4</v>
      </c>
      <c r="K363" s="4">
        <v>1238.0999999999999</v>
      </c>
      <c r="L363" s="6">
        <v>13.81037368</v>
      </c>
      <c r="M363" s="6">
        <f>Table2[[#This Row],[% of Solo Streams]]/100</f>
        <v>0.13810373679999999</v>
      </c>
      <c r="N363" s="3">
        <v>7726.9</v>
      </c>
      <c r="O363" s="5">
        <v>86.189626320000002</v>
      </c>
      <c r="P363" s="6">
        <f>Table2[[#This Row],[% of Collaborative Streams]]/100</f>
        <v>0.86189626320000001</v>
      </c>
    </row>
    <row r="364" spans="1:16" x14ac:dyDescent="0.3">
      <c r="A364" s="2" t="s">
        <v>443</v>
      </c>
      <c r="B364" s="2" t="s">
        <v>20</v>
      </c>
      <c r="C364" s="2" t="s">
        <v>440</v>
      </c>
      <c r="D364" s="2" t="s">
        <v>24</v>
      </c>
      <c r="E364" s="2" t="s">
        <v>25</v>
      </c>
      <c r="F364" s="2" t="s">
        <v>18</v>
      </c>
      <c r="G364" s="4">
        <v>2010</v>
      </c>
      <c r="H364" s="4">
        <v>8960.1</v>
      </c>
      <c r="I364" s="4">
        <v>3564</v>
      </c>
      <c r="J364" s="4">
        <v>5398.2</v>
      </c>
      <c r="K364" s="4">
        <v>687.9</v>
      </c>
      <c r="L364" s="6">
        <v>7.6773696720000002</v>
      </c>
      <c r="M364" s="6">
        <f>Table2[[#This Row],[% of Solo Streams]]/100</f>
        <v>7.6773696720000006E-2</v>
      </c>
      <c r="N364" s="3">
        <v>8272.2000000000007</v>
      </c>
      <c r="O364" s="5">
        <v>92.322630329999996</v>
      </c>
      <c r="P364" s="6">
        <f>Table2[[#This Row],[% of Collaborative Streams]]/100</f>
        <v>0.9232263033</v>
      </c>
    </row>
    <row r="365" spans="1:16" x14ac:dyDescent="0.3">
      <c r="A365" s="2" t="s">
        <v>444</v>
      </c>
      <c r="B365" s="2" t="s">
        <v>14</v>
      </c>
      <c r="C365" s="2" t="s">
        <v>21</v>
      </c>
      <c r="D365" s="2" t="s">
        <v>16</v>
      </c>
      <c r="E365" s="2" t="s">
        <v>51</v>
      </c>
      <c r="F365" s="2" t="s">
        <v>18</v>
      </c>
      <c r="G365" s="4">
        <v>1973</v>
      </c>
      <c r="H365" s="4">
        <v>8927.6</v>
      </c>
      <c r="I365" s="4">
        <v>8741.2000000000007</v>
      </c>
      <c r="J365" s="4">
        <v>189.7</v>
      </c>
      <c r="K365" s="4">
        <v>8713.2999999999993</v>
      </c>
      <c r="L365" s="6">
        <v>97.599578829999999</v>
      </c>
      <c r="M365" s="6">
        <f>Table2[[#This Row],[% of Solo Streams]]/100</f>
        <v>0.9759957883</v>
      </c>
      <c r="N365" s="3">
        <v>214.3</v>
      </c>
      <c r="O365" s="5">
        <v>2.4004211660000001</v>
      </c>
      <c r="P365" s="6">
        <f>Table2[[#This Row],[% of Collaborative Streams]]/100</f>
        <v>2.400421166E-2</v>
      </c>
    </row>
    <row r="366" spans="1:16" x14ac:dyDescent="0.3">
      <c r="A366" s="2" t="s">
        <v>445</v>
      </c>
      <c r="B366" s="2" t="s">
        <v>14</v>
      </c>
      <c r="C366" s="2" t="s">
        <v>89</v>
      </c>
      <c r="D366" s="2" t="s">
        <v>24</v>
      </c>
      <c r="E366" s="2" t="s">
        <v>90</v>
      </c>
      <c r="F366" s="2" t="s">
        <v>18</v>
      </c>
      <c r="G366" s="4">
        <v>2011</v>
      </c>
      <c r="H366" s="4">
        <v>8916</v>
      </c>
      <c r="I366" s="4">
        <v>8080</v>
      </c>
      <c r="J366" s="4">
        <v>844.9</v>
      </c>
      <c r="K366" s="4">
        <v>7975.8</v>
      </c>
      <c r="L366" s="6">
        <v>89.454912519999993</v>
      </c>
      <c r="M366" s="6">
        <f>Table2[[#This Row],[% of Solo Streams]]/100</f>
        <v>0.89454912519999996</v>
      </c>
      <c r="N366" s="3">
        <v>940.2</v>
      </c>
      <c r="O366" s="5">
        <v>10.545087479999999</v>
      </c>
      <c r="P366" s="6">
        <f>Table2[[#This Row],[% of Collaborative Streams]]/100</f>
        <v>0.1054508748</v>
      </c>
    </row>
    <row r="367" spans="1:16" x14ac:dyDescent="0.3">
      <c r="A367" s="2" t="s">
        <v>446</v>
      </c>
      <c r="B367" s="2" t="s">
        <v>14</v>
      </c>
      <c r="C367" s="2" t="s">
        <v>21</v>
      </c>
      <c r="D367" s="2" t="s">
        <v>16</v>
      </c>
      <c r="E367" s="2" t="s">
        <v>22</v>
      </c>
      <c r="F367" s="2" t="s">
        <v>48</v>
      </c>
      <c r="G367" s="4">
        <v>2006</v>
      </c>
      <c r="H367" s="4">
        <v>8909.9</v>
      </c>
      <c r="I367" s="4">
        <v>6844.4</v>
      </c>
      <c r="J367" s="4">
        <v>2067.6999999999998</v>
      </c>
      <c r="K367" s="4">
        <v>6517.9</v>
      </c>
      <c r="L367" s="6">
        <v>73.153458509999993</v>
      </c>
      <c r="M367" s="6">
        <f>Table2[[#This Row],[% of Solo Streams]]/100</f>
        <v>0.73153458509999991</v>
      </c>
      <c r="N367" s="3">
        <v>2392</v>
      </c>
      <c r="O367" s="5">
        <v>26.84654149</v>
      </c>
      <c r="P367" s="6">
        <f>Table2[[#This Row],[% of Collaborative Streams]]/100</f>
        <v>0.26846541489999998</v>
      </c>
    </row>
    <row r="368" spans="1:16" x14ac:dyDescent="0.3">
      <c r="A368" s="2" t="s">
        <v>447</v>
      </c>
      <c r="B368" s="2" t="s">
        <v>14</v>
      </c>
      <c r="C368" s="2" t="s">
        <v>128</v>
      </c>
      <c r="D368" s="2" t="s">
        <v>129</v>
      </c>
      <c r="E368" s="2" t="s">
        <v>139</v>
      </c>
      <c r="F368" s="2" t="s">
        <v>18</v>
      </c>
      <c r="G368" s="4">
        <v>1977</v>
      </c>
      <c r="H368" s="4">
        <v>8906.9</v>
      </c>
      <c r="I368" s="4">
        <v>8155.5</v>
      </c>
      <c r="J368" s="4">
        <v>751.4</v>
      </c>
      <c r="K368" s="4">
        <v>5041.5</v>
      </c>
      <c r="L368" s="6">
        <v>56.602184819999998</v>
      </c>
      <c r="M368" s="6">
        <f>Table2[[#This Row],[% of Solo Streams]]/100</f>
        <v>0.56602184820000001</v>
      </c>
      <c r="N368" s="3">
        <v>3865.4</v>
      </c>
      <c r="O368" s="5">
        <v>43.397815180000002</v>
      </c>
      <c r="P368" s="6">
        <f>Table2[[#This Row],[% of Collaborative Streams]]/100</f>
        <v>0.43397815180000004</v>
      </c>
    </row>
    <row r="369" spans="1:16" x14ac:dyDescent="0.3">
      <c r="A369" s="2" t="s">
        <v>448</v>
      </c>
      <c r="B369" s="2" t="s">
        <v>20</v>
      </c>
      <c r="C369" s="2" t="s">
        <v>21</v>
      </c>
      <c r="D369" s="2" t="s">
        <v>16</v>
      </c>
      <c r="E369" s="2" t="s">
        <v>22</v>
      </c>
      <c r="F369" s="2" t="s">
        <v>18</v>
      </c>
      <c r="G369" s="4">
        <v>2010</v>
      </c>
      <c r="H369" s="4">
        <v>8899.6</v>
      </c>
      <c r="I369" s="4">
        <v>4219.1000000000004</v>
      </c>
      <c r="J369" s="4">
        <v>4681.7</v>
      </c>
      <c r="K369" s="4">
        <v>2876.3</v>
      </c>
      <c r="L369" s="6">
        <v>32.319430089999997</v>
      </c>
      <c r="M369" s="6">
        <f>Table2[[#This Row],[% of Solo Streams]]/100</f>
        <v>0.32319430089999995</v>
      </c>
      <c r="N369" s="3">
        <v>6023.3</v>
      </c>
      <c r="O369" s="5">
        <v>67.680569910000003</v>
      </c>
      <c r="P369" s="6">
        <f>Table2[[#This Row],[% of Collaborative Streams]]/100</f>
        <v>0.67680569909999999</v>
      </c>
    </row>
    <row r="370" spans="1:16" x14ac:dyDescent="0.3">
      <c r="A370" s="2" t="s">
        <v>449</v>
      </c>
      <c r="B370" s="2" t="s">
        <v>14</v>
      </c>
      <c r="C370" s="2" t="s">
        <v>21</v>
      </c>
      <c r="D370" s="2" t="s">
        <v>16</v>
      </c>
      <c r="E370" s="2" t="s">
        <v>291</v>
      </c>
      <c r="F370" s="2" t="s">
        <v>48</v>
      </c>
      <c r="G370" s="4">
        <v>1995</v>
      </c>
      <c r="H370" s="4">
        <v>8848.2999999999993</v>
      </c>
      <c r="I370" s="4">
        <v>8855.1</v>
      </c>
      <c r="J370" s="4">
        <v>0</v>
      </c>
      <c r="K370" s="4">
        <v>8823.4</v>
      </c>
      <c r="L370" s="6">
        <v>99.71859001</v>
      </c>
      <c r="M370" s="6">
        <f>Table2[[#This Row],[% of Solo Streams]]/100</f>
        <v>0.99718590009999997</v>
      </c>
      <c r="N370" s="3">
        <v>24.9</v>
      </c>
      <c r="O370" s="5">
        <v>0.28140998839999998</v>
      </c>
      <c r="P370" s="6">
        <f>Table2[[#This Row],[% of Collaborative Streams]]/100</f>
        <v>2.814099884E-3</v>
      </c>
    </row>
    <row r="371" spans="1:16" x14ac:dyDescent="0.3">
      <c r="A371" s="2" t="s">
        <v>450</v>
      </c>
      <c r="B371" s="2" t="s">
        <v>20</v>
      </c>
      <c r="C371" s="2" t="s">
        <v>21</v>
      </c>
      <c r="D371" s="2" t="s">
        <v>16</v>
      </c>
      <c r="E371" s="2" t="s">
        <v>22</v>
      </c>
      <c r="F371" s="2" t="s">
        <v>18</v>
      </c>
      <c r="G371" s="4">
        <v>2012</v>
      </c>
      <c r="H371" s="4">
        <v>8831</v>
      </c>
      <c r="I371" s="4">
        <v>6995.1</v>
      </c>
      <c r="J371" s="4">
        <v>1840.3</v>
      </c>
      <c r="K371" s="4">
        <v>6603.2</v>
      </c>
      <c r="L371" s="6">
        <v>74.772958889999998</v>
      </c>
      <c r="M371" s="6">
        <f>Table2[[#This Row],[% of Solo Streams]]/100</f>
        <v>0.74772958889999996</v>
      </c>
      <c r="N371" s="3">
        <v>2227.8000000000002</v>
      </c>
      <c r="O371" s="5">
        <v>25.227041109999998</v>
      </c>
      <c r="P371" s="6">
        <f>Table2[[#This Row],[% of Collaborative Streams]]/100</f>
        <v>0.25227041109999998</v>
      </c>
    </row>
    <row r="372" spans="1:16" x14ac:dyDescent="0.3">
      <c r="A372" s="2" t="s">
        <v>451</v>
      </c>
      <c r="B372" s="2" t="s">
        <v>20</v>
      </c>
      <c r="C372" s="2" t="s">
        <v>21</v>
      </c>
      <c r="D372" s="2" t="s">
        <v>16</v>
      </c>
      <c r="E372" s="2" t="s">
        <v>27</v>
      </c>
      <c r="F372" s="2" t="s">
        <v>18</v>
      </c>
      <c r="G372" s="4">
        <v>1985</v>
      </c>
      <c r="H372" s="4">
        <v>8828.7999999999993</v>
      </c>
      <c r="I372" s="4">
        <v>7564.4</v>
      </c>
      <c r="J372" s="4">
        <v>1267.8</v>
      </c>
      <c r="K372" s="4">
        <v>6762.6</v>
      </c>
      <c r="L372" s="6">
        <v>76.597046030000001</v>
      </c>
      <c r="M372" s="6">
        <f>Table2[[#This Row],[% of Solo Streams]]/100</f>
        <v>0.76597046030000004</v>
      </c>
      <c r="N372" s="3">
        <v>2066.1999999999998</v>
      </c>
      <c r="O372" s="5">
        <v>23.402953969999999</v>
      </c>
      <c r="P372" s="6">
        <f>Table2[[#This Row],[% of Collaborative Streams]]/100</f>
        <v>0.23402953969999998</v>
      </c>
    </row>
    <row r="373" spans="1:16" x14ac:dyDescent="0.3">
      <c r="A373" s="2" t="s">
        <v>452</v>
      </c>
      <c r="B373" s="2" t="s">
        <v>20</v>
      </c>
      <c r="C373" s="2" t="s">
        <v>147</v>
      </c>
      <c r="D373" s="2" t="s">
        <v>16</v>
      </c>
      <c r="E373" s="2" t="s">
        <v>22</v>
      </c>
      <c r="F373" s="2" t="s">
        <v>18</v>
      </c>
      <c r="G373" s="4">
        <v>2006</v>
      </c>
      <c r="H373" s="4">
        <v>8809.4</v>
      </c>
      <c r="I373" s="4">
        <v>5689.4</v>
      </c>
      <c r="J373" s="4">
        <v>3122.8</v>
      </c>
      <c r="K373" s="4">
        <v>4223.1000000000004</v>
      </c>
      <c r="L373" s="6">
        <v>47.938565619999999</v>
      </c>
      <c r="M373" s="6">
        <f>Table2[[#This Row],[% of Solo Streams]]/100</f>
        <v>0.47938565620000001</v>
      </c>
      <c r="N373" s="3">
        <v>4586.3</v>
      </c>
      <c r="O373" s="5">
        <v>52.061434380000001</v>
      </c>
      <c r="P373" s="6">
        <f>Table2[[#This Row],[% of Collaborative Streams]]/100</f>
        <v>0.52061434380000005</v>
      </c>
    </row>
    <row r="374" spans="1:16" x14ac:dyDescent="0.3">
      <c r="A374" s="2" t="s">
        <v>453</v>
      </c>
      <c r="B374" s="2" t="s">
        <v>14</v>
      </c>
      <c r="C374" s="2" t="s">
        <v>21</v>
      </c>
      <c r="D374" s="2" t="s">
        <v>24</v>
      </c>
      <c r="E374" s="2" t="s">
        <v>25</v>
      </c>
      <c r="F374" s="2" t="s">
        <v>18</v>
      </c>
      <c r="G374" s="4">
        <v>2010</v>
      </c>
      <c r="H374" s="4">
        <v>8801.6</v>
      </c>
      <c r="I374" s="4">
        <v>1220.5999999999999</v>
      </c>
      <c r="J374" s="4">
        <v>7581</v>
      </c>
      <c r="K374" s="4">
        <v>0</v>
      </c>
      <c r="L374" s="6">
        <v>0</v>
      </c>
      <c r="M374" s="6">
        <f>Table2[[#This Row],[% of Solo Streams]]/100</f>
        <v>0</v>
      </c>
      <c r="N374" s="3">
        <v>8801.6</v>
      </c>
      <c r="O374" s="5">
        <v>100</v>
      </c>
      <c r="P374" s="6">
        <f>Table2[[#This Row],[% of Collaborative Streams]]/100</f>
        <v>1</v>
      </c>
    </row>
    <row r="375" spans="1:16" x14ac:dyDescent="0.3">
      <c r="A375" s="2" t="s">
        <v>454</v>
      </c>
      <c r="B375" s="2" t="s">
        <v>20</v>
      </c>
      <c r="C375" s="2" t="s">
        <v>33</v>
      </c>
      <c r="D375" s="2" t="s">
        <v>16</v>
      </c>
      <c r="E375" s="2" t="s">
        <v>455</v>
      </c>
      <c r="F375" s="2" t="s">
        <v>18</v>
      </c>
      <c r="G375" s="4">
        <v>2003</v>
      </c>
      <c r="H375" s="4">
        <v>8780.4</v>
      </c>
      <c r="I375" s="4">
        <v>8238.2000000000007</v>
      </c>
      <c r="J375" s="4">
        <v>547.70000000000005</v>
      </c>
      <c r="K375" s="4">
        <v>7557.9</v>
      </c>
      <c r="L375" s="6">
        <v>86.076944100000006</v>
      </c>
      <c r="M375" s="6">
        <f>Table2[[#This Row],[% of Solo Streams]]/100</f>
        <v>0.86076944100000008</v>
      </c>
      <c r="N375" s="3">
        <v>1222.5</v>
      </c>
      <c r="O375" s="5">
        <v>13.9230559</v>
      </c>
      <c r="P375" s="6">
        <f>Table2[[#This Row],[% of Collaborative Streams]]/100</f>
        <v>0.139230559</v>
      </c>
    </row>
    <row r="376" spans="1:16" x14ac:dyDescent="0.3">
      <c r="A376" s="2" t="s">
        <v>456</v>
      </c>
      <c r="B376" s="2" t="s">
        <v>14</v>
      </c>
      <c r="C376" s="2" t="s">
        <v>21</v>
      </c>
      <c r="D376" s="2" t="s">
        <v>16</v>
      </c>
      <c r="E376" s="2" t="s">
        <v>22</v>
      </c>
      <c r="F376" s="2" t="s">
        <v>48</v>
      </c>
      <c r="G376" s="4">
        <v>2010</v>
      </c>
      <c r="H376" s="4">
        <v>8779.9</v>
      </c>
      <c r="I376" s="4">
        <v>7850.9</v>
      </c>
      <c r="J376" s="4">
        <v>932.8</v>
      </c>
      <c r="K376" s="4">
        <v>8155.1</v>
      </c>
      <c r="L376" s="6">
        <v>92.883745829999995</v>
      </c>
      <c r="M376" s="6">
        <f>Table2[[#This Row],[% of Solo Streams]]/100</f>
        <v>0.92883745829999997</v>
      </c>
      <c r="N376" s="3">
        <v>624.79999999999995</v>
      </c>
      <c r="O376" s="5">
        <v>7.1162541709999996</v>
      </c>
      <c r="P376" s="6">
        <f>Table2[[#This Row],[% of Collaborative Streams]]/100</f>
        <v>7.1162541709999999E-2</v>
      </c>
    </row>
    <row r="377" spans="1:16" x14ac:dyDescent="0.3">
      <c r="A377" s="2" t="s">
        <v>457</v>
      </c>
      <c r="B377" s="2" t="s">
        <v>14</v>
      </c>
      <c r="C377" s="2" t="s">
        <v>71</v>
      </c>
      <c r="D377" s="2" t="s">
        <v>72</v>
      </c>
      <c r="E377" s="2" t="s">
        <v>73</v>
      </c>
      <c r="F377" s="2" t="s">
        <v>18</v>
      </c>
      <c r="G377" s="4">
        <v>2015</v>
      </c>
      <c r="H377" s="4">
        <v>8733</v>
      </c>
      <c r="I377" s="4">
        <v>2987.7</v>
      </c>
      <c r="J377" s="4">
        <v>5745.3</v>
      </c>
      <c r="K377" s="4">
        <v>6.8</v>
      </c>
      <c r="L377" s="6">
        <v>7.7865567390000001E-2</v>
      </c>
      <c r="M377" s="6">
        <f>Table2[[#This Row],[% of Solo Streams]]/100</f>
        <v>7.7865567389999999E-4</v>
      </c>
      <c r="N377" s="3">
        <v>8726.2000000000007</v>
      </c>
      <c r="O377" s="5">
        <v>99.92213443</v>
      </c>
      <c r="P377" s="6">
        <f>Table2[[#This Row],[% of Collaborative Streams]]/100</f>
        <v>0.99922134429999998</v>
      </c>
    </row>
    <row r="378" spans="1:16" x14ac:dyDescent="0.3">
      <c r="A378" s="2" t="s">
        <v>458</v>
      </c>
      <c r="B378" s="2" t="s">
        <v>14</v>
      </c>
      <c r="C378" s="2" t="s">
        <v>33</v>
      </c>
      <c r="D378" s="2" t="s">
        <v>16</v>
      </c>
      <c r="E378" s="2" t="s">
        <v>17</v>
      </c>
      <c r="F378" s="2" t="s">
        <v>18</v>
      </c>
      <c r="G378" s="4">
        <v>2015</v>
      </c>
      <c r="H378" s="4">
        <v>8715.2000000000007</v>
      </c>
      <c r="I378" s="4">
        <v>7648.8</v>
      </c>
      <c r="J378" s="4">
        <v>1071.5999999999999</v>
      </c>
      <c r="K378" s="4">
        <v>2526.6999999999998</v>
      </c>
      <c r="L378" s="6">
        <v>28.991876260000002</v>
      </c>
      <c r="M378" s="6">
        <f>Table2[[#This Row],[% of Solo Streams]]/100</f>
        <v>0.28991876259999999</v>
      </c>
      <c r="N378" s="3">
        <v>6188.5</v>
      </c>
      <c r="O378" s="5">
        <v>71.008123740000002</v>
      </c>
      <c r="P378" s="6">
        <f>Table2[[#This Row],[% of Collaborative Streams]]/100</f>
        <v>0.71008123740000006</v>
      </c>
    </row>
    <row r="379" spans="1:16" x14ac:dyDescent="0.3">
      <c r="A379" s="2" t="s">
        <v>459</v>
      </c>
      <c r="B379" s="2" t="s">
        <v>20</v>
      </c>
      <c r="C379" s="2" t="s">
        <v>15</v>
      </c>
      <c r="D379" s="2" t="s">
        <v>16</v>
      </c>
      <c r="E379" s="2" t="s">
        <v>22</v>
      </c>
      <c r="F379" s="2" t="s">
        <v>18</v>
      </c>
      <c r="G379" s="4">
        <v>2002</v>
      </c>
      <c r="H379" s="4">
        <v>8706.4</v>
      </c>
      <c r="I379" s="4">
        <v>8477.2999999999993</v>
      </c>
      <c r="J379" s="4">
        <v>233</v>
      </c>
      <c r="K379" s="4">
        <v>8083.8</v>
      </c>
      <c r="L379" s="6">
        <v>92.848938709999999</v>
      </c>
      <c r="M379" s="6">
        <f>Table2[[#This Row],[% of Solo Streams]]/100</f>
        <v>0.92848938709999995</v>
      </c>
      <c r="N379" s="3">
        <v>622.6</v>
      </c>
      <c r="O379" s="5">
        <v>7.1510612880000002</v>
      </c>
      <c r="P379" s="6">
        <f>Table2[[#This Row],[% of Collaborative Streams]]/100</f>
        <v>7.1510612880000005E-2</v>
      </c>
    </row>
    <row r="380" spans="1:16" x14ac:dyDescent="0.3">
      <c r="A380" s="2" t="s">
        <v>460</v>
      </c>
      <c r="B380" s="2" t="s">
        <v>14</v>
      </c>
      <c r="C380" s="2" t="s">
        <v>461</v>
      </c>
      <c r="D380" s="2" t="s">
        <v>16</v>
      </c>
      <c r="E380" s="2" t="s">
        <v>60</v>
      </c>
      <c r="F380" s="2" t="s">
        <v>18</v>
      </c>
      <c r="G380" s="4">
        <v>2014</v>
      </c>
      <c r="H380" s="4">
        <v>8699.2000000000007</v>
      </c>
      <c r="I380" s="4">
        <v>8316.2000000000007</v>
      </c>
      <c r="J380" s="4">
        <v>386.2</v>
      </c>
      <c r="K380" s="4">
        <v>1923.6</v>
      </c>
      <c r="L380" s="6">
        <v>22.112378150000001</v>
      </c>
      <c r="M380" s="6">
        <f>Table2[[#This Row],[% of Solo Streams]]/100</f>
        <v>0.22112378150000001</v>
      </c>
      <c r="N380" s="3">
        <v>6775.6</v>
      </c>
      <c r="O380" s="5">
        <v>77.887621850000002</v>
      </c>
      <c r="P380" s="6">
        <f>Table2[[#This Row],[% of Collaborative Streams]]/100</f>
        <v>0.77887621849999999</v>
      </c>
    </row>
    <row r="381" spans="1:16" x14ac:dyDescent="0.3">
      <c r="A381" s="2" t="s">
        <v>462</v>
      </c>
      <c r="B381" s="2" t="s">
        <v>14</v>
      </c>
      <c r="C381" s="2" t="s">
        <v>21</v>
      </c>
      <c r="D381" s="2" t="s">
        <v>16</v>
      </c>
      <c r="E381" s="2" t="s">
        <v>51</v>
      </c>
      <c r="F381" s="2" t="s">
        <v>48</v>
      </c>
      <c r="G381" s="4">
        <v>2003</v>
      </c>
      <c r="H381" s="4">
        <v>8647.7999999999993</v>
      </c>
      <c r="I381" s="4">
        <v>8598.1</v>
      </c>
      <c r="J381" s="4">
        <v>54</v>
      </c>
      <c r="K381" s="4">
        <v>8555.2000000000007</v>
      </c>
      <c r="L381" s="6">
        <v>98.929207430000005</v>
      </c>
      <c r="M381" s="6">
        <f>Table2[[#This Row],[% of Solo Streams]]/100</f>
        <v>0.9892920743000001</v>
      </c>
      <c r="N381" s="3">
        <v>92.6</v>
      </c>
      <c r="O381" s="5">
        <v>1.070792572</v>
      </c>
      <c r="P381" s="6">
        <f>Table2[[#This Row],[% of Collaborative Streams]]/100</f>
        <v>1.0707925720000001E-2</v>
      </c>
    </row>
    <row r="382" spans="1:16" x14ac:dyDescent="0.3">
      <c r="A382" s="2" t="s">
        <v>463</v>
      </c>
      <c r="B382" s="2" t="s">
        <v>14</v>
      </c>
      <c r="C382" s="2" t="s">
        <v>89</v>
      </c>
      <c r="D382" s="2" t="s">
        <v>24</v>
      </c>
      <c r="E382" s="2" t="s">
        <v>90</v>
      </c>
      <c r="F382" s="2" t="s">
        <v>18</v>
      </c>
      <c r="G382" s="4">
        <v>1975</v>
      </c>
      <c r="H382" s="4">
        <v>8622.1</v>
      </c>
      <c r="I382" s="4">
        <v>8534</v>
      </c>
      <c r="J382" s="4">
        <v>98.1</v>
      </c>
      <c r="K382" s="4">
        <v>7271</v>
      </c>
      <c r="L382" s="6">
        <v>84.329803639999994</v>
      </c>
      <c r="M382" s="6">
        <f>Table2[[#This Row],[% of Solo Streams]]/100</f>
        <v>0.8432980363999999</v>
      </c>
      <c r="N382" s="3">
        <v>1351.1</v>
      </c>
      <c r="O382" s="5">
        <v>15.67019636</v>
      </c>
      <c r="P382" s="6">
        <f>Table2[[#This Row],[% of Collaborative Streams]]/100</f>
        <v>0.15670196359999999</v>
      </c>
    </row>
    <row r="383" spans="1:16" x14ac:dyDescent="0.3">
      <c r="A383" s="2" t="s">
        <v>464</v>
      </c>
      <c r="B383" s="2" t="s">
        <v>14</v>
      </c>
      <c r="C383" s="2" t="s">
        <v>89</v>
      </c>
      <c r="D383" s="2" t="s">
        <v>24</v>
      </c>
      <c r="E383" s="2" t="s">
        <v>82</v>
      </c>
      <c r="F383" s="2" t="s">
        <v>18</v>
      </c>
      <c r="G383" s="4">
        <v>1992</v>
      </c>
      <c r="H383" s="4">
        <v>8617.1</v>
      </c>
      <c r="I383" s="4">
        <v>7717.5</v>
      </c>
      <c r="J383" s="4">
        <v>899.6</v>
      </c>
      <c r="K383" s="4">
        <v>6368.3</v>
      </c>
      <c r="L383" s="6">
        <v>73.903053229999998</v>
      </c>
      <c r="M383" s="6">
        <f>Table2[[#This Row],[% of Solo Streams]]/100</f>
        <v>0.73903053229999993</v>
      </c>
      <c r="N383" s="3">
        <v>2248.8000000000002</v>
      </c>
      <c r="O383" s="5">
        <v>26.096946769999999</v>
      </c>
      <c r="P383" s="6">
        <f>Table2[[#This Row],[% of Collaborative Streams]]/100</f>
        <v>0.26096946770000001</v>
      </c>
    </row>
    <row r="384" spans="1:16" x14ac:dyDescent="0.3">
      <c r="A384" s="2" t="s">
        <v>465</v>
      </c>
      <c r="B384" s="2" t="s">
        <v>14</v>
      </c>
      <c r="C384" s="2" t="s">
        <v>33</v>
      </c>
      <c r="D384" s="2" t="s">
        <v>16</v>
      </c>
      <c r="E384" s="2" t="s">
        <v>57</v>
      </c>
      <c r="F384" s="2" t="s">
        <v>48</v>
      </c>
      <c r="G384" s="4">
        <v>2012</v>
      </c>
      <c r="H384" s="4">
        <v>8591.1</v>
      </c>
      <c r="I384" s="4">
        <v>8578.7000000000007</v>
      </c>
      <c r="J384" s="4">
        <v>15.4</v>
      </c>
      <c r="K384" s="4">
        <v>7995.8</v>
      </c>
      <c r="L384" s="6">
        <v>93.070735990000003</v>
      </c>
      <c r="M384" s="6">
        <f>Table2[[#This Row],[% of Solo Streams]]/100</f>
        <v>0.93070735989999998</v>
      </c>
      <c r="N384" s="3">
        <v>595.29999999999995</v>
      </c>
      <c r="O384" s="5">
        <v>6.9292640060000004</v>
      </c>
      <c r="P384" s="6">
        <f>Table2[[#This Row],[% of Collaborative Streams]]/100</f>
        <v>6.9292640060000008E-2</v>
      </c>
    </row>
    <row r="385" spans="1:16" x14ac:dyDescent="0.3">
      <c r="A385" s="2" t="s">
        <v>466</v>
      </c>
      <c r="B385" s="2" t="s">
        <v>14</v>
      </c>
      <c r="C385" s="2" t="s">
        <v>71</v>
      </c>
      <c r="D385" s="2" t="s">
        <v>72</v>
      </c>
      <c r="E385" s="2" t="s">
        <v>73</v>
      </c>
      <c r="F385" s="2" t="s">
        <v>48</v>
      </c>
      <c r="G385" s="4">
        <v>2009</v>
      </c>
      <c r="H385" s="4">
        <v>8584.2000000000007</v>
      </c>
      <c r="I385" s="4">
        <v>6741.1</v>
      </c>
      <c r="J385" s="4">
        <v>1843.2</v>
      </c>
      <c r="K385" s="4">
        <v>20</v>
      </c>
      <c r="L385" s="6">
        <v>0.2329861839</v>
      </c>
      <c r="M385" s="6">
        <f>Table2[[#This Row],[% of Solo Streams]]/100</f>
        <v>2.329861839E-3</v>
      </c>
      <c r="N385" s="3">
        <v>8564.2000000000007</v>
      </c>
      <c r="O385" s="5">
        <v>99.767013820000003</v>
      </c>
      <c r="P385" s="6">
        <f>Table2[[#This Row],[% of Collaborative Streams]]/100</f>
        <v>0.99767013820000006</v>
      </c>
    </row>
    <row r="386" spans="1:16" x14ac:dyDescent="0.3">
      <c r="A386" s="2" t="s">
        <v>467</v>
      </c>
      <c r="B386" s="2" t="s">
        <v>14</v>
      </c>
      <c r="C386" s="2" t="s">
        <v>21</v>
      </c>
      <c r="D386" s="2" t="s">
        <v>16</v>
      </c>
      <c r="E386" s="2" t="s">
        <v>17</v>
      </c>
      <c r="F386" s="2" t="s">
        <v>18</v>
      </c>
      <c r="G386" s="4">
        <v>2014</v>
      </c>
      <c r="H386" s="4">
        <v>8564.5</v>
      </c>
      <c r="I386" s="4">
        <v>5566.1</v>
      </c>
      <c r="J386" s="4">
        <v>3001.4</v>
      </c>
      <c r="K386" s="4">
        <v>3239</v>
      </c>
      <c r="L386" s="6">
        <v>37.81890361</v>
      </c>
      <c r="M386" s="6">
        <f>Table2[[#This Row],[% of Solo Streams]]/100</f>
        <v>0.37818903609999999</v>
      </c>
      <c r="N386" s="3">
        <v>5325.5</v>
      </c>
      <c r="O386" s="5">
        <v>62.18109639</v>
      </c>
      <c r="P386" s="6">
        <f>Table2[[#This Row],[% of Collaborative Streams]]/100</f>
        <v>0.62181096390000001</v>
      </c>
    </row>
    <row r="387" spans="1:16" x14ac:dyDescent="0.3">
      <c r="A387" s="2" t="s">
        <v>468</v>
      </c>
      <c r="B387" s="2" t="s">
        <v>14</v>
      </c>
      <c r="C387" s="2" t="s">
        <v>15</v>
      </c>
      <c r="D387" s="2" t="s">
        <v>16</v>
      </c>
      <c r="E387" s="2" t="s">
        <v>17</v>
      </c>
      <c r="F387" s="2" t="s">
        <v>18</v>
      </c>
      <c r="G387" s="4">
        <v>2017</v>
      </c>
      <c r="H387" s="4">
        <v>8564.4</v>
      </c>
      <c r="I387" s="4">
        <v>5619.6</v>
      </c>
      <c r="J387" s="4">
        <v>2944.9</v>
      </c>
      <c r="K387" s="4">
        <v>1852.6</v>
      </c>
      <c r="L387" s="6">
        <v>21.631404419999999</v>
      </c>
      <c r="M387" s="6">
        <f>Table2[[#This Row],[% of Solo Streams]]/100</f>
        <v>0.2163140442</v>
      </c>
      <c r="N387" s="3">
        <v>6711.8</v>
      </c>
      <c r="O387" s="5">
        <v>78.368595580000004</v>
      </c>
      <c r="P387" s="6">
        <f>Table2[[#This Row],[% of Collaborative Streams]]/100</f>
        <v>0.7836859558</v>
      </c>
    </row>
    <row r="388" spans="1:16" x14ac:dyDescent="0.3">
      <c r="A388" s="2" t="s">
        <v>469</v>
      </c>
      <c r="B388" s="2" t="s">
        <v>14</v>
      </c>
      <c r="C388" s="2" t="s">
        <v>21</v>
      </c>
      <c r="D388" s="2" t="s">
        <v>16</v>
      </c>
      <c r="E388" s="2" t="s">
        <v>51</v>
      </c>
      <c r="F388" s="2" t="s">
        <v>18</v>
      </c>
      <c r="G388" s="4">
        <v>2001</v>
      </c>
      <c r="H388" s="4">
        <v>8551.4</v>
      </c>
      <c r="I388" s="4">
        <v>8199.2999999999993</v>
      </c>
      <c r="J388" s="4">
        <v>355</v>
      </c>
      <c r="K388" s="4">
        <v>7907.6</v>
      </c>
      <c r="L388" s="6">
        <v>92.471408190000005</v>
      </c>
      <c r="M388" s="6">
        <f>Table2[[#This Row],[% of Solo Streams]]/100</f>
        <v>0.92471408190000004</v>
      </c>
      <c r="N388" s="3">
        <v>643.79999999999995</v>
      </c>
      <c r="O388" s="5">
        <v>7.52859181</v>
      </c>
      <c r="P388" s="6">
        <f>Table2[[#This Row],[% of Collaborative Streams]]/100</f>
        <v>7.5285918100000002E-2</v>
      </c>
    </row>
    <row r="389" spans="1:16" x14ac:dyDescent="0.3">
      <c r="A389" s="2" t="s">
        <v>470</v>
      </c>
      <c r="B389" s="2" t="s">
        <v>78</v>
      </c>
      <c r="C389" s="2" t="s">
        <v>45</v>
      </c>
      <c r="D389" s="2" t="s">
        <v>46</v>
      </c>
      <c r="E389" s="2" t="s">
        <v>47</v>
      </c>
      <c r="F389" s="2" t="s">
        <v>48</v>
      </c>
      <c r="G389" s="4">
        <v>2015</v>
      </c>
      <c r="H389" s="4">
        <v>8531.2999999999993</v>
      </c>
      <c r="I389" s="4">
        <v>8465.7000000000007</v>
      </c>
      <c r="J389" s="4">
        <v>70</v>
      </c>
      <c r="K389" s="4">
        <v>8284.9</v>
      </c>
      <c r="L389" s="6">
        <v>97.111811799999998</v>
      </c>
      <c r="M389" s="6">
        <f>Table2[[#This Row],[% of Solo Streams]]/100</f>
        <v>0.97111811800000003</v>
      </c>
      <c r="N389" s="3">
        <v>246.4</v>
      </c>
      <c r="O389" s="5">
        <v>2.8881882010000002</v>
      </c>
      <c r="P389" s="6">
        <f>Table2[[#This Row],[% of Collaborative Streams]]/100</f>
        <v>2.8881882010000002E-2</v>
      </c>
    </row>
    <row r="390" spans="1:16" x14ac:dyDescent="0.3">
      <c r="A390" s="2" t="s">
        <v>471</v>
      </c>
      <c r="B390" s="2" t="s">
        <v>14</v>
      </c>
      <c r="C390" s="2" t="s">
        <v>204</v>
      </c>
      <c r="D390" s="2" t="s">
        <v>16</v>
      </c>
      <c r="E390" s="2" t="s">
        <v>51</v>
      </c>
      <c r="F390" s="2" t="s">
        <v>48</v>
      </c>
      <c r="G390" s="4">
        <v>2008</v>
      </c>
      <c r="H390" s="4">
        <v>8509.5</v>
      </c>
      <c r="I390" s="4">
        <v>8483.9</v>
      </c>
      <c r="J390" s="4">
        <v>29.2</v>
      </c>
      <c r="K390" s="4">
        <v>6435.4</v>
      </c>
      <c r="L390" s="6">
        <v>75.626064990000003</v>
      </c>
      <c r="M390" s="6">
        <f>Table2[[#This Row],[% of Solo Streams]]/100</f>
        <v>0.75626064990000008</v>
      </c>
      <c r="N390" s="3">
        <v>2074.1</v>
      </c>
      <c r="O390" s="5">
        <v>24.37393501</v>
      </c>
      <c r="P390" s="6">
        <f>Table2[[#This Row],[% of Collaborative Streams]]/100</f>
        <v>0.2437393501</v>
      </c>
    </row>
    <row r="391" spans="1:16" x14ac:dyDescent="0.3">
      <c r="A391" s="2" t="s">
        <v>472</v>
      </c>
      <c r="B391" s="2" t="s">
        <v>20</v>
      </c>
      <c r="C391" s="2" t="s">
        <v>222</v>
      </c>
      <c r="D391" s="2" t="s">
        <v>24</v>
      </c>
      <c r="E391" s="2" t="s">
        <v>22</v>
      </c>
      <c r="F391" s="2" t="s">
        <v>18</v>
      </c>
      <c r="G391" s="4">
        <v>2016</v>
      </c>
      <c r="H391" s="4">
        <v>8507.9</v>
      </c>
      <c r="I391" s="4">
        <v>5811.9</v>
      </c>
      <c r="J391" s="4">
        <v>2696</v>
      </c>
      <c r="K391" s="4">
        <v>1929.8</v>
      </c>
      <c r="L391" s="6">
        <v>22.68244808</v>
      </c>
      <c r="M391" s="6">
        <f>Table2[[#This Row],[% of Solo Streams]]/100</f>
        <v>0.22682448080000001</v>
      </c>
      <c r="N391" s="3">
        <v>6578.1</v>
      </c>
      <c r="O391" s="5">
        <v>77.31755192</v>
      </c>
      <c r="P391" s="6">
        <f>Table2[[#This Row],[% of Collaborative Streams]]/100</f>
        <v>0.77317551920000005</v>
      </c>
    </row>
    <row r="392" spans="1:16" x14ac:dyDescent="0.3">
      <c r="A392" s="2" t="s">
        <v>473</v>
      </c>
      <c r="B392" s="2" t="s">
        <v>78</v>
      </c>
      <c r="C392" s="2" t="s">
        <v>21</v>
      </c>
      <c r="D392" s="2" t="s">
        <v>16</v>
      </c>
      <c r="E392" s="2" t="s">
        <v>22</v>
      </c>
      <c r="F392" s="2" t="s">
        <v>48</v>
      </c>
      <c r="G392" s="4">
        <v>1996</v>
      </c>
      <c r="H392" s="4">
        <v>8485.9</v>
      </c>
      <c r="I392" s="4">
        <v>8144</v>
      </c>
      <c r="J392" s="4">
        <v>346</v>
      </c>
      <c r="K392" s="4">
        <v>8125.7</v>
      </c>
      <c r="L392" s="6">
        <v>95.755311750000004</v>
      </c>
      <c r="M392" s="6">
        <f>Table2[[#This Row],[% of Solo Streams]]/100</f>
        <v>0.95755311750000005</v>
      </c>
      <c r="N392" s="3">
        <v>360.2</v>
      </c>
      <c r="O392" s="5">
        <v>4.2446882480000001</v>
      </c>
      <c r="P392" s="6">
        <f>Table2[[#This Row],[% of Collaborative Streams]]/100</f>
        <v>4.2446882480000003E-2</v>
      </c>
    </row>
    <row r="393" spans="1:16" x14ac:dyDescent="0.3">
      <c r="A393" s="2" t="s">
        <v>474</v>
      </c>
      <c r="B393" s="2" t="s">
        <v>14</v>
      </c>
      <c r="C393" s="2" t="s">
        <v>45</v>
      </c>
      <c r="D393" s="2" t="s">
        <v>46</v>
      </c>
      <c r="E393" s="2" t="s">
        <v>47</v>
      </c>
      <c r="F393" s="2" t="s">
        <v>18</v>
      </c>
      <c r="G393" s="4">
        <v>2013</v>
      </c>
      <c r="H393" s="4">
        <v>8472.9</v>
      </c>
      <c r="I393" s="4">
        <v>7819.3</v>
      </c>
      <c r="J393" s="4">
        <v>656.6</v>
      </c>
      <c r="K393" s="4">
        <v>6967.6</v>
      </c>
      <c r="L393" s="6">
        <v>82.233945869999999</v>
      </c>
      <c r="M393" s="6">
        <f>Table2[[#This Row],[% of Solo Streams]]/100</f>
        <v>0.82233945870000003</v>
      </c>
      <c r="N393" s="3">
        <v>1505.3</v>
      </c>
      <c r="O393" s="5">
        <v>17.766054130000001</v>
      </c>
      <c r="P393" s="6">
        <f>Table2[[#This Row],[% of Collaborative Streams]]/100</f>
        <v>0.1776605413</v>
      </c>
    </row>
    <row r="394" spans="1:16" x14ac:dyDescent="0.3">
      <c r="A394" s="2" t="s">
        <v>475</v>
      </c>
      <c r="B394" s="2" t="s">
        <v>14</v>
      </c>
      <c r="C394" s="2" t="s">
        <v>21</v>
      </c>
      <c r="D394" s="2" t="s">
        <v>24</v>
      </c>
      <c r="E394" s="2" t="s">
        <v>25</v>
      </c>
      <c r="F394" s="2" t="s">
        <v>48</v>
      </c>
      <c r="G394" s="4">
        <v>2004</v>
      </c>
      <c r="H394" s="4">
        <v>8457.4</v>
      </c>
      <c r="I394" s="4">
        <v>369.6</v>
      </c>
      <c r="J394" s="4">
        <v>8087.7</v>
      </c>
      <c r="K394" s="4">
        <v>1.3</v>
      </c>
      <c r="L394" s="6">
        <v>1.537115426E-2</v>
      </c>
      <c r="M394" s="6">
        <f>Table2[[#This Row],[% of Solo Streams]]/100</f>
        <v>1.5371154260000001E-4</v>
      </c>
      <c r="N394" s="3">
        <v>8456.1</v>
      </c>
      <c r="O394" s="5">
        <v>99.984628850000007</v>
      </c>
      <c r="P394" s="6">
        <f>Table2[[#This Row],[% of Collaborative Streams]]/100</f>
        <v>0.99984628850000012</v>
      </c>
    </row>
    <row r="395" spans="1:16" x14ac:dyDescent="0.3">
      <c r="A395" s="2" t="s">
        <v>476</v>
      </c>
      <c r="B395" s="2" t="s">
        <v>14</v>
      </c>
      <c r="C395" s="2" t="s">
        <v>21</v>
      </c>
      <c r="D395" s="2" t="s">
        <v>16</v>
      </c>
      <c r="E395" s="2" t="s">
        <v>17</v>
      </c>
      <c r="F395" s="2" t="s">
        <v>18</v>
      </c>
      <c r="G395" s="4">
        <v>2018</v>
      </c>
      <c r="H395" s="4">
        <v>8453.7000000000007</v>
      </c>
      <c r="I395" s="4">
        <v>6568.5</v>
      </c>
      <c r="J395" s="4">
        <v>1885.2</v>
      </c>
      <c r="K395" s="4">
        <v>4039.2</v>
      </c>
      <c r="L395" s="6">
        <v>47.780261899999999</v>
      </c>
      <c r="M395" s="6">
        <f>Table2[[#This Row],[% of Solo Streams]]/100</f>
        <v>0.47780261899999998</v>
      </c>
      <c r="N395" s="3">
        <v>4414.5</v>
      </c>
      <c r="O395" s="5">
        <v>52.219738100000001</v>
      </c>
      <c r="P395" s="6">
        <f>Table2[[#This Row],[% of Collaborative Streams]]/100</f>
        <v>0.52219738100000002</v>
      </c>
    </row>
    <row r="396" spans="1:16" x14ac:dyDescent="0.3">
      <c r="A396" s="2" t="s">
        <v>477</v>
      </c>
      <c r="B396" s="2" t="s">
        <v>14</v>
      </c>
      <c r="C396" s="2" t="s">
        <v>478</v>
      </c>
      <c r="D396" s="2" t="s">
        <v>257</v>
      </c>
      <c r="E396" s="2" t="s">
        <v>17</v>
      </c>
      <c r="F396" s="2" t="s">
        <v>18</v>
      </c>
      <c r="G396" s="4">
        <v>2013</v>
      </c>
      <c r="H396" s="4">
        <v>8439.5</v>
      </c>
      <c r="I396" s="4">
        <v>6942.6</v>
      </c>
      <c r="J396" s="4">
        <v>1509.4</v>
      </c>
      <c r="K396" s="4">
        <v>3538.8</v>
      </c>
      <c r="L396" s="6">
        <v>41.931394040000001</v>
      </c>
      <c r="M396" s="6">
        <f>Table2[[#This Row],[% of Solo Streams]]/100</f>
        <v>0.41931394040000003</v>
      </c>
      <c r="N396" s="3">
        <v>4900.7</v>
      </c>
      <c r="O396" s="5">
        <v>58.068605959999999</v>
      </c>
      <c r="P396" s="6">
        <f>Table2[[#This Row],[% of Collaborative Streams]]/100</f>
        <v>0.58068605959999997</v>
      </c>
    </row>
    <row r="397" spans="1:16" x14ac:dyDescent="0.3">
      <c r="A397" s="2" t="s">
        <v>479</v>
      </c>
      <c r="B397" s="2" t="s">
        <v>14</v>
      </c>
      <c r="C397" s="2" t="s">
        <v>89</v>
      </c>
      <c r="D397" s="2" t="s">
        <v>24</v>
      </c>
      <c r="E397" s="2" t="s">
        <v>90</v>
      </c>
      <c r="F397" s="2" t="s">
        <v>48</v>
      </c>
      <c r="G397" s="4">
        <v>2010</v>
      </c>
      <c r="H397" s="4">
        <v>8433.7999999999993</v>
      </c>
      <c r="I397" s="4">
        <v>7838.5</v>
      </c>
      <c r="J397" s="4">
        <v>603.29999999999995</v>
      </c>
      <c r="K397" s="4">
        <v>7244.3</v>
      </c>
      <c r="L397" s="6">
        <v>85.896037370000002</v>
      </c>
      <c r="M397" s="6">
        <f>Table2[[#This Row],[% of Solo Streams]]/100</f>
        <v>0.8589603737</v>
      </c>
      <c r="N397" s="3">
        <v>1189.5</v>
      </c>
      <c r="O397" s="5">
        <v>14.10396263</v>
      </c>
      <c r="P397" s="6">
        <f>Table2[[#This Row],[% of Collaborative Streams]]/100</f>
        <v>0.1410396263</v>
      </c>
    </row>
    <row r="398" spans="1:16" x14ac:dyDescent="0.3">
      <c r="A398" s="2" t="s">
        <v>480</v>
      </c>
      <c r="B398" s="2" t="s">
        <v>20</v>
      </c>
      <c r="C398" s="2" t="s">
        <v>21</v>
      </c>
      <c r="D398" s="2" t="s">
        <v>16</v>
      </c>
      <c r="E398" s="2" t="s">
        <v>22</v>
      </c>
      <c r="F398" s="2" t="s">
        <v>18</v>
      </c>
      <c r="G398" s="4">
        <v>2017</v>
      </c>
      <c r="H398" s="4">
        <v>8382.9</v>
      </c>
      <c r="I398" s="4">
        <v>8387.7999999999993</v>
      </c>
      <c r="J398" s="4">
        <v>0</v>
      </c>
      <c r="K398" s="4">
        <v>8380.2999999999993</v>
      </c>
      <c r="L398" s="6">
        <v>99.968984480000003</v>
      </c>
      <c r="M398" s="6">
        <f>Table2[[#This Row],[% of Solo Streams]]/100</f>
        <v>0.9996898448</v>
      </c>
      <c r="N398" s="3">
        <v>2.6</v>
      </c>
      <c r="O398" s="5">
        <v>3.101551969E-2</v>
      </c>
      <c r="P398" s="6">
        <f>Table2[[#This Row],[% of Collaborative Streams]]/100</f>
        <v>3.1015519689999999E-4</v>
      </c>
    </row>
    <row r="399" spans="1:16" x14ac:dyDescent="0.3">
      <c r="A399" s="2" t="s">
        <v>481</v>
      </c>
      <c r="B399" s="2" t="s">
        <v>14</v>
      </c>
      <c r="C399" s="2" t="s">
        <v>21</v>
      </c>
      <c r="D399" s="2" t="s">
        <v>16</v>
      </c>
      <c r="E399" s="2" t="s">
        <v>455</v>
      </c>
      <c r="F399" s="2" t="s">
        <v>18</v>
      </c>
      <c r="G399" s="4">
        <v>1962</v>
      </c>
      <c r="H399" s="4">
        <v>8371.5</v>
      </c>
      <c r="I399" s="4">
        <v>7723.5</v>
      </c>
      <c r="J399" s="4">
        <v>648</v>
      </c>
      <c r="K399" s="4">
        <v>7485.7</v>
      </c>
      <c r="L399" s="6">
        <v>89.418861609999993</v>
      </c>
      <c r="M399" s="6">
        <f>Table2[[#This Row],[% of Solo Streams]]/100</f>
        <v>0.89418861609999989</v>
      </c>
      <c r="N399" s="3">
        <v>885.8</v>
      </c>
      <c r="O399" s="5">
        <v>10.58113839</v>
      </c>
      <c r="P399" s="6">
        <f>Table2[[#This Row],[% of Collaborative Streams]]/100</f>
        <v>0.1058113839</v>
      </c>
    </row>
    <row r="400" spans="1:16" x14ac:dyDescent="0.3">
      <c r="A400" s="2" t="s">
        <v>482</v>
      </c>
      <c r="B400" s="2" t="s">
        <v>14</v>
      </c>
      <c r="C400" s="2" t="s">
        <v>21</v>
      </c>
      <c r="D400" s="2" t="s">
        <v>16</v>
      </c>
      <c r="E400" s="2" t="s">
        <v>17</v>
      </c>
      <c r="F400" s="2" t="s">
        <v>18</v>
      </c>
      <c r="G400" s="4">
        <v>1991</v>
      </c>
      <c r="H400" s="4">
        <v>8370.9</v>
      </c>
      <c r="I400" s="4">
        <v>1884.2</v>
      </c>
      <c r="J400" s="4">
        <v>6486.7</v>
      </c>
      <c r="K400" s="4">
        <v>175.8</v>
      </c>
      <c r="L400" s="6">
        <v>2.100132602</v>
      </c>
      <c r="M400" s="6">
        <f>Table2[[#This Row],[% of Solo Streams]]/100</f>
        <v>2.1001326019999999E-2</v>
      </c>
      <c r="N400" s="3">
        <v>8195.1</v>
      </c>
      <c r="O400" s="5">
        <v>97.899867400000005</v>
      </c>
      <c r="P400" s="6">
        <f>Table2[[#This Row],[% of Collaborative Streams]]/100</f>
        <v>0.97899867400000007</v>
      </c>
    </row>
    <row r="401" spans="1:16" x14ac:dyDescent="0.3">
      <c r="A401" s="2" t="s">
        <v>483</v>
      </c>
      <c r="B401" s="2" t="s">
        <v>14</v>
      </c>
      <c r="C401" s="2" t="s">
        <v>33</v>
      </c>
      <c r="D401" s="2" t="s">
        <v>16</v>
      </c>
      <c r="E401" s="2" t="s">
        <v>22</v>
      </c>
      <c r="F401" s="2" t="s">
        <v>18</v>
      </c>
      <c r="G401" s="4">
        <v>2003</v>
      </c>
      <c r="H401" s="4">
        <v>8366.2999999999993</v>
      </c>
      <c r="I401" s="4">
        <v>6159.1</v>
      </c>
      <c r="J401" s="4">
        <v>2210.1</v>
      </c>
      <c r="K401" s="4">
        <v>10.3</v>
      </c>
      <c r="L401" s="6">
        <v>0.1231129651</v>
      </c>
      <c r="M401" s="6">
        <f>Table2[[#This Row],[% of Solo Streams]]/100</f>
        <v>1.2311296510000001E-3</v>
      </c>
      <c r="N401" s="3">
        <v>8356</v>
      </c>
      <c r="O401" s="5">
        <v>99.876887030000006</v>
      </c>
      <c r="P401" s="6">
        <f>Table2[[#This Row],[% of Collaborative Streams]]/100</f>
        <v>0.99876887030000006</v>
      </c>
    </row>
    <row r="402" spans="1:16" x14ac:dyDescent="0.3">
      <c r="A402" s="2" t="s">
        <v>484</v>
      </c>
      <c r="B402" s="2" t="s">
        <v>20</v>
      </c>
      <c r="C402" s="2" t="s">
        <v>21</v>
      </c>
      <c r="D402" s="2" t="s">
        <v>16</v>
      </c>
      <c r="E402" s="2" t="s">
        <v>22</v>
      </c>
      <c r="F402" s="2" t="s">
        <v>18</v>
      </c>
      <c r="G402" s="4">
        <v>2002</v>
      </c>
      <c r="H402" s="4">
        <v>8339.2999999999993</v>
      </c>
      <c r="I402" s="4">
        <v>7864.3</v>
      </c>
      <c r="J402" s="4">
        <v>477.4</v>
      </c>
      <c r="K402" s="4">
        <v>7297.4</v>
      </c>
      <c r="L402" s="6">
        <v>87.506145599999996</v>
      </c>
      <c r="M402" s="6">
        <f>Table2[[#This Row],[% of Solo Streams]]/100</f>
        <v>0.87506145599999996</v>
      </c>
      <c r="N402" s="3">
        <v>1041.9000000000001</v>
      </c>
      <c r="O402" s="5">
        <v>12.4938544</v>
      </c>
      <c r="P402" s="6">
        <f>Table2[[#This Row],[% of Collaborative Streams]]/100</f>
        <v>0.124938544</v>
      </c>
    </row>
    <row r="403" spans="1:16" x14ac:dyDescent="0.3">
      <c r="A403" s="2" t="s">
        <v>485</v>
      </c>
      <c r="B403" s="2" t="s">
        <v>14</v>
      </c>
      <c r="C403" s="2" t="s">
        <v>21</v>
      </c>
      <c r="D403" s="2" t="s">
        <v>16</v>
      </c>
      <c r="E403" s="2" t="s">
        <v>51</v>
      </c>
      <c r="F403" s="2" t="s">
        <v>48</v>
      </c>
      <c r="G403" s="4">
        <v>1989</v>
      </c>
      <c r="H403" s="4">
        <v>8330.4</v>
      </c>
      <c r="I403" s="4">
        <v>8328.6</v>
      </c>
      <c r="J403" s="4">
        <v>5.6</v>
      </c>
      <c r="K403" s="4">
        <v>8188.5</v>
      </c>
      <c r="L403" s="6">
        <v>98.296600400000003</v>
      </c>
      <c r="M403" s="6">
        <f>Table2[[#This Row],[% of Solo Streams]]/100</f>
        <v>0.982966004</v>
      </c>
      <c r="N403" s="3">
        <v>141.9</v>
      </c>
      <c r="O403" s="5">
        <v>1.703399597</v>
      </c>
      <c r="P403" s="6">
        <f>Table2[[#This Row],[% of Collaborative Streams]]/100</f>
        <v>1.703399597E-2</v>
      </c>
    </row>
    <row r="404" spans="1:16" x14ac:dyDescent="0.3">
      <c r="A404" s="2" t="s">
        <v>486</v>
      </c>
      <c r="B404" s="2" t="s">
        <v>14</v>
      </c>
      <c r="C404" s="2" t="s">
        <v>128</v>
      </c>
      <c r="D404" s="2" t="s">
        <v>129</v>
      </c>
      <c r="E404" s="2" t="s">
        <v>17</v>
      </c>
      <c r="F404" s="2" t="s">
        <v>18</v>
      </c>
      <c r="G404" s="4">
        <v>2006</v>
      </c>
      <c r="H404" s="4">
        <v>8326.7000000000007</v>
      </c>
      <c r="I404" s="4">
        <v>4696.3999999999996</v>
      </c>
      <c r="J404" s="4">
        <v>3630.4</v>
      </c>
      <c r="K404" s="4">
        <v>1125.8</v>
      </c>
      <c r="L404" s="6">
        <v>13.52036221</v>
      </c>
      <c r="M404" s="6">
        <f>Table2[[#This Row],[% of Solo Streams]]/100</f>
        <v>0.1352036221</v>
      </c>
      <c r="N404" s="3">
        <v>7200.9</v>
      </c>
      <c r="O404" s="5">
        <v>86.479637789999998</v>
      </c>
      <c r="P404" s="6">
        <f>Table2[[#This Row],[% of Collaborative Streams]]/100</f>
        <v>0.86479637789999997</v>
      </c>
    </row>
    <row r="405" spans="1:16" x14ac:dyDescent="0.3">
      <c r="A405" s="2" t="s">
        <v>487</v>
      </c>
      <c r="B405" s="2" t="s">
        <v>20</v>
      </c>
      <c r="C405" s="2" t="s">
        <v>128</v>
      </c>
      <c r="D405" s="2" t="s">
        <v>129</v>
      </c>
      <c r="E405" s="2" t="s">
        <v>488</v>
      </c>
      <c r="F405" s="2" t="s">
        <v>18</v>
      </c>
      <c r="G405" s="4">
        <v>1980</v>
      </c>
      <c r="H405" s="4">
        <v>8316.5</v>
      </c>
      <c r="I405" s="4">
        <v>8317.7999999999993</v>
      </c>
      <c r="J405" s="4">
        <v>0</v>
      </c>
      <c r="K405" s="4">
        <v>8289</v>
      </c>
      <c r="L405" s="6">
        <v>99.669332049999994</v>
      </c>
      <c r="M405" s="6">
        <f>Table2[[#This Row],[% of Solo Streams]]/100</f>
        <v>0.99669332049999992</v>
      </c>
      <c r="N405" s="3">
        <v>27.5</v>
      </c>
      <c r="O405" s="5">
        <v>0.33066794929999999</v>
      </c>
      <c r="P405" s="6">
        <f>Table2[[#This Row],[% of Collaborative Streams]]/100</f>
        <v>3.3066794930000001E-3</v>
      </c>
    </row>
    <row r="406" spans="1:16" x14ac:dyDescent="0.3">
      <c r="A406" s="2" t="s">
        <v>489</v>
      </c>
      <c r="B406" s="2" t="s">
        <v>14</v>
      </c>
      <c r="C406" s="2" t="s">
        <v>222</v>
      </c>
      <c r="D406" s="2" t="s">
        <v>24</v>
      </c>
      <c r="E406" s="2" t="s">
        <v>17</v>
      </c>
      <c r="F406" s="2" t="s">
        <v>18</v>
      </c>
      <c r="G406" s="4">
        <v>2021</v>
      </c>
      <c r="H406" s="4">
        <v>8309.1</v>
      </c>
      <c r="I406" s="4">
        <v>5592</v>
      </c>
      <c r="J406" s="4">
        <v>2724.4</v>
      </c>
      <c r="K406" s="4">
        <v>3545.8</v>
      </c>
      <c r="L406" s="6">
        <v>42.673695109999997</v>
      </c>
      <c r="M406" s="6">
        <f>Table2[[#This Row],[% of Solo Streams]]/100</f>
        <v>0.42673695109999998</v>
      </c>
      <c r="N406" s="3">
        <v>4763.3</v>
      </c>
      <c r="O406" s="5">
        <v>57.326304890000003</v>
      </c>
      <c r="P406" s="6">
        <f>Table2[[#This Row],[% of Collaborative Streams]]/100</f>
        <v>0.57326304890000002</v>
      </c>
    </row>
    <row r="407" spans="1:16" x14ac:dyDescent="0.3">
      <c r="A407" s="2" t="s">
        <v>490</v>
      </c>
      <c r="B407" s="2" t="s">
        <v>14</v>
      </c>
      <c r="C407" s="2" t="s">
        <v>21</v>
      </c>
      <c r="D407" s="2" t="s">
        <v>24</v>
      </c>
      <c r="E407" s="2" t="s">
        <v>25</v>
      </c>
      <c r="F407" s="2" t="s">
        <v>18</v>
      </c>
      <c r="G407" s="4">
        <v>2019</v>
      </c>
      <c r="H407" s="4">
        <v>8282.2999999999993</v>
      </c>
      <c r="I407" s="4">
        <v>6707</v>
      </c>
      <c r="J407" s="4">
        <v>1607.4</v>
      </c>
      <c r="K407" s="4">
        <v>999.5</v>
      </c>
      <c r="L407" s="6">
        <v>12.06790384</v>
      </c>
      <c r="M407" s="6">
        <f>Table2[[#This Row],[% of Solo Streams]]/100</f>
        <v>0.12067903839999999</v>
      </c>
      <c r="N407" s="3">
        <v>7282.8</v>
      </c>
      <c r="O407" s="5">
        <v>87.93209616</v>
      </c>
      <c r="P407" s="6">
        <f>Table2[[#This Row],[% of Collaborative Streams]]/100</f>
        <v>0.87932096159999995</v>
      </c>
    </row>
    <row r="408" spans="1:16" x14ac:dyDescent="0.3">
      <c r="A408" s="2" t="s">
        <v>491</v>
      </c>
      <c r="B408" s="2" t="s">
        <v>14</v>
      </c>
      <c r="C408" s="2" t="s">
        <v>128</v>
      </c>
      <c r="D408" s="2" t="s">
        <v>16</v>
      </c>
      <c r="E408" s="2" t="s">
        <v>60</v>
      </c>
      <c r="F408" s="2" t="s">
        <v>18</v>
      </c>
      <c r="G408" s="4">
        <v>2013</v>
      </c>
      <c r="H408" s="4">
        <v>8278.7000000000007</v>
      </c>
      <c r="I408" s="4">
        <v>4898.7</v>
      </c>
      <c r="J408" s="4">
        <v>3389.6</v>
      </c>
      <c r="K408" s="4">
        <v>53.5</v>
      </c>
      <c r="L408" s="6">
        <v>0.64623672799999998</v>
      </c>
      <c r="M408" s="6">
        <f>Table2[[#This Row],[% of Solo Streams]]/100</f>
        <v>6.4623672799999999E-3</v>
      </c>
      <c r="N408" s="3">
        <v>8225.2000000000007</v>
      </c>
      <c r="O408" s="5">
        <v>99.353763270000002</v>
      </c>
      <c r="P408" s="6">
        <f>Table2[[#This Row],[% of Collaborative Streams]]/100</f>
        <v>0.99353763270000006</v>
      </c>
    </row>
    <row r="409" spans="1:16" x14ac:dyDescent="0.3">
      <c r="A409" s="2" t="s">
        <v>492</v>
      </c>
      <c r="B409" s="2" t="s">
        <v>14</v>
      </c>
      <c r="C409" s="2" t="s">
        <v>204</v>
      </c>
      <c r="D409" s="2" t="s">
        <v>16</v>
      </c>
      <c r="E409" s="2" t="s">
        <v>22</v>
      </c>
      <c r="F409" s="2" t="s">
        <v>18</v>
      </c>
      <c r="G409" s="4">
        <v>2010</v>
      </c>
      <c r="H409" s="4">
        <v>8263</v>
      </c>
      <c r="I409" s="4">
        <v>3585.1</v>
      </c>
      <c r="J409" s="4">
        <v>4693.6000000000004</v>
      </c>
      <c r="K409" s="4">
        <v>6241</v>
      </c>
      <c r="L409" s="6">
        <v>75.529468719999997</v>
      </c>
      <c r="M409" s="6">
        <f>Table2[[#This Row],[% of Solo Streams]]/100</f>
        <v>0.75529468719999993</v>
      </c>
      <c r="N409" s="3">
        <v>2022</v>
      </c>
      <c r="O409" s="5">
        <v>24.470531279999999</v>
      </c>
      <c r="P409" s="6">
        <f>Table2[[#This Row],[% of Collaborative Streams]]/100</f>
        <v>0.24470531279999999</v>
      </c>
    </row>
    <row r="410" spans="1:16" x14ac:dyDescent="0.3">
      <c r="A410" s="2" t="s">
        <v>493</v>
      </c>
      <c r="B410" s="2" t="s">
        <v>14</v>
      </c>
      <c r="C410" s="2" t="s">
        <v>21</v>
      </c>
      <c r="D410" s="2" t="s">
        <v>16</v>
      </c>
      <c r="E410" s="2" t="s">
        <v>17</v>
      </c>
      <c r="F410" s="2" t="s">
        <v>18</v>
      </c>
      <c r="G410" s="4">
        <v>2017</v>
      </c>
      <c r="H410" s="4">
        <v>8240.2000000000007</v>
      </c>
      <c r="I410" s="4">
        <v>6845.4</v>
      </c>
      <c r="J410" s="4">
        <v>1394.8</v>
      </c>
      <c r="K410" s="4">
        <v>2320.6999999999998</v>
      </c>
      <c r="L410" s="6">
        <v>28.163151379999999</v>
      </c>
      <c r="M410" s="6">
        <f>Table2[[#This Row],[% of Solo Streams]]/100</f>
        <v>0.28163151380000001</v>
      </c>
      <c r="N410" s="3">
        <v>5919.5</v>
      </c>
      <c r="O410" s="5">
        <v>71.836848619999998</v>
      </c>
      <c r="P410" s="6">
        <f>Table2[[#This Row],[% of Collaborative Streams]]/100</f>
        <v>0.71836848619999993</v>
      </c>
    </row>
    <row r="411" spans="1:16" x14ac:dyDescent="0.3">
      <c r="A411" s="2" t="s">
        <v>494</v>
      </c>
      <c r="B411" s="2" t="s">
        <v>14</v>
      </c>
      <c r="C411" s="2" t="s">
        <v>21</v>
      </c>
      <c r="D411" s="2" t="s">
        <v>16</v>
      </c>
      <c r="E411" s="2" t="s">
        <v>17</v>
      </c>
      <c r="F411" s="2" t="s">
        <v>18</v>
      </c>
      <c r="G411" s="4">
        <v>1992</v>
      </c>
      <c r="H411" s="4">
        <v>8235.9</v>
      </c>
      <c r="I411" s="4">
        <v>1236.7</v>
      </c>
      <c r="J411" s="4">
        <v>6999.2</v>
      </c>
      <c r="K411" s="4">
        <v>228.2</v>
      </c>
      <c r="L411" s="6">
        <v>2.7707961490000002</v>
      </c>
      <c r="M411" s="6">
        <f>Table2[[#This Row],[% of Solo Streams]]/100</f>
        <v>2.7707961490000002E-2</v>
      </c>
      <c r="N411" s="3">
        <v>8007.7</v>
      </c>
      <c r="O411" s="5">
        <v>97.229203850000005</v>
      </c>
      <c r="P411" s="6">
        <f>Table2[[#This Row],[% of Collaborative Streams]]/100</f>
        <v>0.97229203850000001</v>
      </c>
    </row>
    <row r="412" spans="1:16" x14ac:dyDescent="0.3">
      <c r="A412" s="2" t="s">
        <v>495</v>
      </c>
      <c r="B412" s="2" t="s">
        <v>14</v>
      </c>
      <c r="C412" s="2" t="s">
        <v>21</v>
      </c>
      <c r="D412" s="2" t="s">
        <v>24</v>
      </c>
      <c r="E412" s="2" t="s">
        <v>25</v>
      </c>
      <c r="F412" s="2" t="s">
        <v>18</v>
      </c>
      <c r="G412" s="4">
        <v>2014</v>
      </c>
      <c r="H412" s="4">
        <v>8216.5</v>
      </c>
      <c r="I412" s="4">
        <v>760.9</v>
      </c>
      <c r="J412" s="4">
        <v>7455.6</v>
      </c>
      <c r="K412" s="4">
        <v>196.8</v>
      </c>
      <c r="L412" s="6">
        <v>2.3951804299999999</v>
      </c>
      <c r="M412" s="6">
        <f>Table2[[#This Row],[% of Solo Streams]]/100</f>
        <v>2.3951804300000001E-2</v>
      </c>
      <c r="N412" s="3">
        <v>8019.7</v>
      </c>
      <c r="O412" s="5">
        <v>97.604819570000004</v>
      </c>
      <c r="P412" s="6">
        <f>Table2[[#This Row],[% of Collaborative Streams]]/100</f>
        <v>0.97604819570000001</v>
      </c>
    </row>
    <row r="413" spans="1:16" x14ac:dyDescent="0.3">
      <c r="A413" s="2" t="s">
        <v>496</v>
      </c>
      <c r="B413" s="2" t="s">
        <v>14</v>
      </c>
      <c r="C413" s="2" t="s">
        <v>89</v>
      </c>
      <c r="D413" s="2" t="s">
        <v>24</v>
      </c>
      <c r="E413" s="2" t="s">
        <v>90</v>
      </c>
      <c r="F413" s="2" t="s">
        <v>18</v>
      </c>
      <c r="G413" s="4">
        <v>1966</v>
      </c>
      <c r="H413" s="4">
        <v>8205.4</v>
      </c>
      <c r="I413" s="4">
        <v>8009</v>
      </c>
      <c r="J413" s="4">
        <v>204.5</v>
      </c>
      <c r="K413" s="4">
        <v>7878.1</v>
      </c>
      <c r="L413" s="6">
        <v>96.011163379999999</v>
      </c>
      <c r="M413" s="6">
        <f>Table2[[#This Row],[% of Solo Streams]]/100</f>
        <v>0.96011163379999998</v>
      </c>
      <c r="N413" s="3">
        <v>327.3</v>
      </c>
      <c r="O413" s="5">
        <v>3.9888366199999998</v>
      </c>
      <c r="P413" s="6">
        <f>Table2[[#This Row],[% of Collaborative Streams]]/100</f>
        <v>3.9888366199999997E-2</v>
      </c>
    </row>
    <row r="414" spans="1:16" x14ac:dyDescent="0.3">
      <c r="A414" s="2" t="s">
        <v>497</v>
      </c>
      <c r="B414" s="2" t="s">
        <v>14</v>
      </c>
      <c r="C414" s="2" t="s">
        <v>15</v>
      </c>
      <c r="D414" s="2" t="s">
        <v>16</v>
      </c>
      <c r="E414" s="2" t="s">
        <v>51</v>
      </c>
      <c r="F414" s="2" t="s">
        <v>48</v>
      </c>
      <c r="G414" s="4">
        <v>2003</v>
      </c>
      <c r="H414" s="4">
        <v>8203</v>
      </c>
      <c r="I414" s="4">
        <v>7983.1</v>
      </c>
      <c r="J414" s="4">
        <v>224.9</v>
      </c>
      <c r="K414" s="4">
        <v>7947.8</v>
      </c>
      <c r="L414" s="6">
        <v>96.888943069999996</v>
      </c>
      <c r="M414" s="6">
        <f>Table2[[#This Row],[% of Solo Streams]]/100</f>
        <v>0.9688894307</v>
      </c>
      <c r="N414" s="3">
        <v>255.2</v>
      </c>
      <c r="O414" s="5">
        <v>3.1110569300000002</v>
      </c>
      <c r="P414" s="6">
        <f>Table2[[#This Row],[% of Collaborative Streams]]/100</f>
        <v>3.1110569300000002E-2</v>
      </c>
    </row>
    <row r="415" spans="1:16" x14ac:dyDescent="0.3">
      <c r="A415" s="2" t="s">
        <v>498</v>
      </c>
      <c r="B415" s="2" t="s">
        <v>78</v>
      </c>
      <c r="C415" s="2" t="s">
        <v>21</v>
      </c>
      <c r="D415" s="2" t="s">
        <v>16</v>
      </c>
      <c r="E415" s="2" t="s">
        <v>51</v>
      </c>
      <c r="F415" s="2" t="s">
        <v>48</v>
      </c>
      <c r="G415" s="4">
        <v>1973</v>
      </c>
      <c r="H415" s="4">
        <v>8200.1</v>
      </c>
      <c r="I415" s="4">
        <v>7224.1</v>
      </c>
      <c r="J415" s="4">
        <v>979.3</v>
      </c>
      <c r="K415" s="4">
        <v>7171.3</v>
      </c>
      <c r="L415" s="6">
        <v>87.453811540000004</v>
      </c>
      <c r="M415" s="6">
        <f>Table2[[#This Row],[% of Solo Streams]]/100</f>
        <v>0.87453811540000004</v>
      </c>
      <c r="N415" s="3">
        <v>1028.8</v>
      </c>
      <c r="O415" s="5">
        <v>12.54618846</v>
      </c>
      <c r="P415" s="6">
        <f>Table2[[#This Row],[% of Collaborative Streams]]/100</f>
        <v>0.12546188459999999</v>
      </c>
    </row>
    <row r="416" spans="1:16" x14ac:dyDescent="0.3">
      <c r="A416" s="2" t="s">
        <v>499</v>
      </c>
      <c r="B416" s="2" t="s">
        <v>14</v>
      </c>
      <c r="C416" s="2" t="s">
        <v>33</v>
      </c>
      <c r="D416" s="2" t="s">
        <v>16</v>
      </c>
      <c r="E416" s="2" t="s">
        <v>22</v>
      </c>
      <c r="F416" s="2" t="s">
        <v>48</v>
      </c>
      <c r="G416" s="4">
        <v>1963</v>
      </c>
      <c r="H416" s="4">
        <v>8197.2000000000007</v>
      </c>
      <c r="I416" s="4">
        <v>8080.4</v>
      </c>
      <c r="J416" s="4">
        <v>120.7</v>
      </c>
      <c r="K416" s="4">
        <v>7892.6</v>
      </c>
      <c r="L416" s="6">
        <v>96.284097009999996</v>
      </c>
      <c r="M416" s="6">
        <f>Table2[[#This Row],[% of Solo Streams]]/100</f>
        <v>0.96284097009999992</v>
      </c>
      <c r="N416" s="3">
        <v>304.60000000000002</v>
      </c>
      <c r="O416" s="5">
        <v>3.7159029910000001</v>
      </c>
      <c r="P416" s="6">
        <f>Table2[[#This Row],[% of Collaborative Streams]]/100</f>
        <v>3.7159029910000002E-2</v>
      </c>
    </row>
    <row r="417" spans="1:16" x14ac:dyDescent="0.3">
      <c r="A417" s="2" t="s">
        <v>500</v>
      </c>
      <c r="B417" s="2" t="s">
        <v>14</v>
      </c>
      <c r="C417" s="2" t="s">
        <v>501</v>
      </c>
      <c r="D417" s="2" t="s">
        <v>72</v>
      </c>
      <c r="E417" s="2" t="s">
        <v>73</v>
      </c>
      <c r="F417" s="2" t="s">
        <v>18</v>
      </c>
      <c r="G417" s="4">
        <v>1980</v>
      </c>
      <c r="H417" s="4">
        <v>8186.9</v>
      </c>
      <c r="I417" s="4">
        <v>3408.5</v>
      </c>
      <c r="J417" s="4">
        <v>4789.5</v>
      </c>
      <c r="K417" s="4">
        <v>515.9</v>
      </c>
      <c r="L417" s="6">
        <v>6.3015304939999996</v>
      </c>
      <c r="M417" s="6">
        <f>Table2[[#This Row],[% of Solo Streams]]/100</f>
        <v>6.3015304940000003E-2</v>
      </c>
      <c r="N417" s="3">
        <v>7671</v>
      </c>
      <c r="O417" s="5">
        <v>93.698469509999995</v>
      </c>
      <c r="P417" s="6">
        <f>Table2[[#This Row],[% of Collaborative Streams]]/100</f>
        <v>0.93698469509999993</v>
      </c>
    </row>
    <row r="418" spans="1:16" x14ac:dyDescent="0.3">
      <c r="A418" s="2" t="s">
        <v>502</v>
      </c>
      <c r="B418" s="2" t="s">
        <v>14</v>
      </c>
      <c r="C418" s="2" t="s">
        <v>42</v>
      </c>
      <c r="D418" s="2" t="s">
        <v>24</v>
      </c>
      <c r="E418" s="2" t="s">
        <v>82</v>
      </c>
      <c r="F418" s="2" t="s">
        <v>48</v>
      </c>
      <c r="G418" s="4">
        <v>2012</v>
      </c>
      <c r="H418" s="4">
        <v>8164.9</v>
      </c>
      <c r="I418" s="4">
        <v>7391.5</v>
      </c>
      <c r="J418" s="4">
        <v>775.8</v>
      </c>
      <c r="K418" s="4">
        <v>1621.1</v>
      </c>
      <c r="L418" s="6">
        <v>19.854499140000001</v>
      </c>
      <c r="M418" s="6">
        <f>Table2[[#This Row],[% of Solo Streams]]/100</f>
        <v>0.19854499140000001</v>
      </c>
      <c r="N418" s="3">
        <v>6543.8</v>
      </c>
      <c r="O418" s="5">
        <v>80.145500859999999</v>
      </c>
      <c r="P418" s="6">
        <f>Table2[[#This Row],[% of Collaborative Streams]]/100</f>
        <v>0.80145500859999996</v>
      </c>
    </row>
    <row r="419" spans="1:16" x14ac:dyDescent="0.3">
      <c r="A419" s="2" t="s">
        <v>503</v>
      </c>
      <c r="B419" s="2" t="s">
        <v>14</v>
      </c>
      <c r="C419" s="2" t="s">
        <v>21</v>
      </c>
      <c r="D419" s="2" t="s">
        <v>16</v>
      </c>
      <c r="E419" s="2" t="s">
        <v>17</v>
      </c>
      <c r="F419" s="2" t="s">
        <v>18</v>
      </c>
      <c r="G419" s="4">
        <v>2015</v>
      </c>
      <c r="H419" s="4">
        <v>8148</v>
      </c>
      <c r="I419" s="4">
        <v>7808</v>
      </c>
      <c r="J419" s="4">
        <v>340</v>
      </c>
      <c r="K419" s="4">
        <v>6616.8</v>
      </c>
      <c r="L419" s="6">
        <v>81.207658319999993</v>
      </c>
      <c r="M419" s="6">
        <f>Table2[[#This Row],[% of Solo Streams]]/100</f>
        <v>0.81207658319999998</v>
      </c>
      <c r="N419" s="3">
        <v>1531.2</v>
      </c>
      <c r="O419" s="5">
        <v>18.79234168</v>
      </c>
      <c r="P419" s="6">
        <f>Table2[[#This Row],[% of Collaborative Streams]]/100</f>
        <v>0.18792341679999999</v>
      </c>
    </row>
    <row r="420" spans="1:16" x14ac:dyDescent="0.3">
      <c r="A420" s="2" t="s">
        <v>504</v>
      </c>
      <c r="B420" s="2" t="s">
        <v>14</v>
      </c>
      <c r="C420" s="2" t="s">
        <v>94</v>
      </c>
      <c r="D420" s="2" t="s">
        <v>16</v>
      </c>
      <c r="E420" s="2" t="s">
        <v>272</v>
      </c>
      <c r="F420" s="2" t="s">
        <v>18</v>
      </c>
      <c r="G420" s="4">
        <v>2013</v>
      </c>
      <c r="H420" s="4">
        <v>8092.2</v>
      </c>
      <c r="I420" s="4">
        <v>7918.7</v>
      </c>
      <c r="J420" s="4">
        <v>176.9</v>
      </c>
      <c r="K420" s="4">
        <v>7804.3</v>
      </c>
      <c r="L420" s="6">
        <v>96.442253030000003</v>
      </c>
      <c r="M420" s="6">
        <f>Table2[[#This Row],[% of Solo Streams]]/100</f>
        <v>0.96442253030000002</v>
      </c>
      <c r="N420" s="3">
        <v>287.89999999999998</v>
      </c>
      <c r="O420" s="5">
        <v>3.5577469659999998</v>
      </c>
      <c r="P420" s="6">
        <f>Table2[[#This Row],[% of Collaborative Streams]]/100</f>
        <v>3.557746966E-2</v>
      </c>
    </row>
    <row r="421" spans="1:16" x14ac:dyDescent="0.3">
      <c r="A421" s="2" t="s">
        <v>505</v>
      </c>
      <c r="B421" s="2" t="s">
        <v>14</v>
      </c>
      <c r="C421" s="2" t="s">
        <v>21</v>
      </c>
      <c r="D421" s="2" t="s">
        <v>16</v>
      </c>
      <c r="E421" s="2" t="s">
        <v>272</v>
      </c>
      <c r="F421" s="2" t="s">
        <v>18</v>
      </c>
      <c r="G421" s="4">
        <v>2007</v>
      </c>
      <c r="H421" s="4">
        <v>8065.4</v>
      </c>
      <c r="I421" s="4">
        <v>7161.8</v>
      </c>
      <c r="J421" s="4">
        <v>905.7</v>
      </c>
      <c r="K421" s="4">
        <v>4817</v>
      </c>
      <c r="L421" s="6">
        <v>59.724254219999999</v>
      </c>
      <c r="M421" s="6">
        <f>Table2[[#This Row],[% of Solo Streams]]/100</f>
        <v>0.59724254219999995</v>
      </c>
      <c r="N421" s="3">
        <v>3248.4</v>
      </c>
      <c r="O421" s="5">
        <v>40.275745780000001</v>
      </c>
      <c r="P421" s="6">
        <f>Table2[[#This Row],[% of Collaborative Streams]]/100</f>
        <v>0.4027574578</v>
      </c>
    </row>
    <row r="422" spans="1:16" x14ac:dyDescent="0.3">
      <c r="A422" s="2" t="s">
        <v>506</v>
      </c>
      <c r="B422" s="2" t="s">
        <v>14</v>
      </c>
      <c r="C422" s="2" t="s">
        <v>21</v>
      </c>
      <c r="D422" s="2" t="s">
        <v>24</v>
      </c>
      <c r="E422" s="2" t="s">
        <v>90</v>
      </c>
      <c r="F422" s="2" t="s">
        <v>48</v>
      </c>
      <c r="G422" s="4">
        <v>2020</v>
      </c>
      <c r="H422" s="4">
        <v>8063.4</v>
      </c>
      <c r="I422" s="4">
        <v>5540.4</v>
      </c>
      <c r="J422" s="4">
        <v>2525</v>
      </c>
      <c r="K422" s="4">
        <v>3610.3</v>
      </c>
      <c r="L422" s="6">
        <v>44.773916710000002</v>
      </c>
      <c r="M422" s="6">
        <f>Table2[[#This Row],[% of Solo Streams]]/100</f>
        <v>0.4477391671</v>
      </c>
      <c r="N422" s="3">
        <v>4453.1000000000004</v>
      </c>
      <c r="O422" s="5">
        <v>55.226083289999998</v>
      </c>
      <c r="P422" s="6">
        <f>Table2[[#This Row],[% of Collaborative Streams]]/100</f>
        <v>0.55226083289999994</v>
      </c>
    </row>
    <row r="423" spans="1:16" x14ac:dyDescent="0.3">
      <c r="A423" s="2" t="s">
        <v>507</v>
      </c>
      <c r="B423" s="2" t="s">
        <v>20</v>
      </c>
      <c r="C423" s="2" t="s">
        <v>45</v>
      </c>
      <c r="D423" s="2" t="s">
        <v>46</v>
      </c>
      <c r="E423" s="2" t="s">
        <v>47</v>
      </c>
      <c r="F423" s="2" t="s">
        <v>18</v>
      </c>
      <c r="G423" s="4">
        <v>2016</v>
      </c>
      <c r="H423" s="4">
        <v>8056.8</v>
      </c>
      <c r="I423" s="4">
        <v>4415.6000000000004</v>
      </c>
      <c r="J423" s="4">
        <v>3648.3</v>
      </c>
      <c r="K423" s="4">
        <v>3447</v>
      </c>
      <c r="L423" s="6">
        <v>42.783735479999997</v>
      </c>
      <c r="M423" s="6">
        <f>Table2[[#This Row],[% of Solo Streams]]/100</f>
        <v>0.42783735479999996</v>
      </c>
      <c r="N423" s="3">
        <v>4609.8</v>
      </c>
      <c r="O423" s="5">
        <v>57.216264520000003</v>
      </c>
      <c r="P423" s="6">
        <f>Table2[[#This Row],[% of Collaborative Streams]]/100</f>
        <v>0.57216264520000004</v>
      </c>
    </row>
    <row r="424" spans="1:16" x14ac:dyDescent="0.3">
      <c r="A424" s="2" t="s">
        <v>508</v>
      </c>
      <c r="B424" s="2" t="s">
        <v>14</v>
      </c>
      <c r="C424" s="2" t="s">
        <v>21</v>
      </c>
      <c r="D424" s="2" t="s">
        <v>16</v>
      </c>
      <c r="E424" s="2" t="s">
        <v>17</v>
      </c>
      <c r="F424" s="2" t="s">
        <v>18</v>
      </c>
      <c r="G424" s="4">
        <v>2011</v>
      </c>
      <c r="H424" s="4">
        <v>8043.6</v>
      </c>
      <c r="I424" s="4">
        <v>7678.7</v>
      </c>
      <c r="J424" s="4">
        <v>364.9</v>
      </c>
      <c r="K424" s="4">
        <v>6527.6</v>
      </c>
      <c r="L424" s="6">
        <v>81.152717690000003</v>
      </c>
      <c r="M424" s="6">
        <f>Table2[[#This Row],[% of Solo Streams]]/100</f>
        <v>0.81152717689999998</v>
      </c>
      <c r="N424" s="3">
        <v>1516</v>
      </c>
      <c r="O424" s="5">
        <v>18.847282310000001</v>
      </c>
      <c r="P424" s="6">
        <f>Table2[[#This Row],[% of Collaborative Streams]]/100</f>
        <v>0.18847282310000002</v>
      </c>
    </row>
    <row r="425" spans="1:16" x14ac:dyDescent="0.3">
      <c r="A425" s="2" t="s">
        <v>509</v>
      </c>
      <c r="B425" s="2" t="s">
        <v>14</v>
      </c>
      <c r="C425" s="2" t="s">
        <v>21</v>
      </c>
      <c r="D425" s="2" t="s">
        <v>16</v>
      </c>
      <c r="E425" s="2" t="s">
        <v>17</v>
      </c>
      <c r="F425" s="2" t="s">
        <v>48</v>
      </c>
      <c r="G425" s="4">
        <v>2013</v>
      </c>
      <c r="H425" s="4">
        <v>8030.3</v>
      </c>
      <c r="I425" s="4">
        <v>7270.4</v>
      </c>
      <c r="J425" s="4">
        <v>754.2</v>
      </c>
      <c r="K425" s="4">
        <v>4098.3999999999996</v>
      </c>
      <c r="L425" s="6">
        <v>51.0366985</v>
      </c>
      <c r="M425" s="6">
        <f>Table2[[#This Row],[% of Solo Streams]]/100</f>
        <v>0.510366985</v>
      </c>
      <c r="N425" s="3">
        <v>3931.9</v>
      </c>
      <c r="O425" s="5">
        <v>48.9633015</v>
      </c>
      <c r="P425" s="6">
        <f>Table2[[#This Row],[% of Collaborative Streams]]/100</f>
        <v>0.489633015</v>
      </c>
    </row>
    <row r="426" spans="1:16" x14ac:dyDescent="0.3">
      <c r="A426" s="2" t="s">
        <v>510</v>
      </c>
      <c r="B426" s="2" t="s">
        <v>20</v>
      </c>
      <c r="C426" s="2" t="s">
        <v>33</v>
      </c>
      <c r="D426" s="2" t="s">
        <v>16</v>
      </c>
      <c r="E426" s="2" t="s">
        <v>22</v>
      </c>
      <c r="F426" s="2" t="s">
        <v>18</v>
      </c>
      <c r="G426" s="4">
        <v>2014</v>
      </c>
      <c r="H426" s="4">
        <v>8019.9</v>
      </c>
      <c r="I426" s="4">
        <v>3097.3</v>
      </c>
      <c r="J426" s="4">
        <v>4922.6000000000004</v>
      </c>
      <c r="K426" s="4">
        <v>2755.3</v>
      </c>
      <c r="L426" s="6">
        <v>34.355789969999996</v>
      </c>
      <c r="M426" s="6">
        <f>Table2[[#This Row],[% of Solo Streams]]/100</f>
        <v>0.34355789969999995</v>
      </c>
      <c r="N426" s="3">
        <v>5264.6</v>
      </c>
      <c r="O426" s="5">
        <v>65.644210029999996</v>
      </c>
      <c r="P426" s="6">
        <f>Table2[[#This Row],[% of Collaborative Streams]]/100</f>
        <v>0.65644210029999994</v>
      </c>
    </row>
    <row r="427" spans="1:16" x14ac:dyDescent="0.3">
      <c r="A427" s="2" t="s">
        <v>511</v>
      </c>
      <c r="B427" s="2" t="s">
        <v>14</v>
      </c>
      <c r="C427" s="2" t="s">
        <v>33</v>
      </c>
      <c r="D427" s="2" t="s">
        <v>16</v>
      </c>
      <c r="E427" s="2" t="s">
        <v>51</v>
      </c>
      <c r="F427" s="2" t="s">
        <v>48</v>
      </c>
      <c r="G427" s="4">
        <v>1983</v>
      </c>
      <c r="H427" s="4">
        <v>8014.7</v>
      </c>
      <c r="I427" s="4">
        <v>8019.1</v>
      </c>
      <c r="J427" s="4">
        <v>0</v>
      </c>
      <c r="K427" s="4">
        <v>8014.7</v>
      </c>
      <c r="L427" s="6">
        <v>100</v>
      </c>
      <c r="M427" s="6">
        <f>Table2[[#This Row],[% of Solo Streams]]/100</f>
        <v>1</v>
      </c>
      <c r="N427" s="3">
        <v>0</v>
      </c>
      <c r="O427" s="5">
        <v>0</v>
      </c>
      <c r="P427" s="6">
        <f>Table2[[#This Row],[% of Collaborative Streams]]/100</f>
        <v>0</v>
      </c>
    </row>
    <row r="428" spans="1:16" x14ac:dyDescent="0.3">
      <c r="A428" s="2" t="s">
        <v>512</v>
      </c>
      <c r="B428" s="2" t="s">
        <v>14</v>
      </c>
      <c r="C428" s="2" t="s">
        <v>21</v>
      </c>
      <c r="D428" s="2" t="s">
        <v>16</v>
      </c>
      <c r="E428" s="2" t="s">
        <v>51</v>
      </c>
      <c r="F428" s="2" t="s">
        <v>48</v>
      </c>
      <c r="G428" s="4">
        <v>1972</v>
      </c>
      <c r="H428" s="4">
        <v>7987.3</v>
      </c>
      <c r="I428" s="4">
        <v>7990.9</v>
      </c>
      <c r="J428" s="4">
        <v>0</v>
      </c>
      <c r="K428" s="4">
        <v>7987.3</v>
      </c>
      <c r="L428" s="6">
        <v>100</v>
      </c>
      <c r="M428" s="6">
        <f>Table2[[#This Row],[% of Solo Streams]]/100</f>
        <v>1</v>
      </c>
      <c r="N428" s="3">
        <v>0</v>
      </c>
      <c r="O428" s="5">
        <v>0</v>
      </c>
      <c r="P428" s="6">
        <f>Table2[[#This Row],[% of Collaborative Streams]]/100</f>
        <v>0</v>
      </c>
    </row>
    <row r="429" spans="1:16" x14ac:dyDescent="0.3">
      <c r="A429" s="2" t="s">
        <v>513</v>
      </c>
      <c r="B429" s="2" t="s">
        <v>14</v>
      </c>
      <c r="C429" s="2" t="s">
        <v>33</v>
      </c>
      <c r="D429" s="2" t="s">
        <v>16</v>
      </c>
      <c r="E429" s="2" t="s">
        <v>51</v>
      </c>
      <c r="F429" s="2" t="s">
        <v>48</v>
      </c>
      <c r="G429" s="4">
        <v>1977</v>
      </c>
      <c r="H429" s="4">
        <v>7976.6</v>
      </c>
      <c r="I429" s="4">
        <v>7980.4</v>
      </c>
      <c r="J429" s="4">
        <v>0.6</v>
      </c>
      <c r="K429" s="4">
        <v>7960.2</v>
      </c>
      <c r="L429" s="6">
        <v>99.794398619999996</v>
      </c>
      <c r="M429" s="6">
        <f>Table2[[#This Row],[% of Solo Streams]]/100</f>
        <v>0.99794398619999991</v>
      </c>
      <c r="N429" s="3">
        <v>16.399999999999999</v>
      </c>
      <c r="O429" s="5">
        <v>0.205601384</v>
      </c>
      <c r="P429" s="6">
        <f>Table2[[#This Row],[% of Collaborative Streams]]/100</f>
        <v>2.0560138399999999E-3</v>
      </c>
    </row>
    <row r="430" spans="1:16" x14ac:dyDescent="0.3">
      <c r="A430" s="2" t="s">
        <v>514</v>
      </c>
      <c r="B430" s="2" t="s">
        <v>14</v>
      </c>
      <c r="C430" s="2" t="s">
        <v>33</v>
      </c>
      <c r="D430" s="2" t="s">
        <v>16</v>
      </c>
      <c r="E430" s="2" t="s">
        <v>22</v>
      </c>
      <c r="F430" s="2" t="s">
        <v>18</v>
      </c>
      <c r="G430" s="4">
        <v>1981</v>
      </c>
      <c r="H430" s="4">
        <v>7940.4</v>
      </c>
      <c r="I430" s="4">
        <v>7942.6</v>
      </c>
      <c r="J430" s="4">
        <v>0</v>
      </c>
      <c r="K430" s="4">
        <v>7116.9</v>
      </c>
      <c r="L430" s="6">
        <v>89.628985950000001</v>
      </c>
      <c r="M430" s="6">
        <f>Table2[[#This Row],[% of Solo Streams]]/100</f>
        <v>0.89628985949999995</v>
      </c>
      <c r="N430" s="3">
        <v>823.5</v>
      </c>
      <c r="O430" s="5">
        <v>10.371014049999999</v>
      </c>
      <c r="P430" s="6">
        <f>Table2[[#This Row],[% of Collaborative Streams]]/100</f>
        <v>0.10371014049999999</v>
      </c>
    </row>
    <row r="431" spans="1:16" x14ac:dyDescent="0.3">
      <c r="A431" s="2" t="s">
        <v>515</v>
      </c>
      <c r="B431" s="2" t="s">
        <v>14</v>
      </c>
      <c r="C431" s="2" t="s">
        <v>21</v>
      </c>
      <c r="D431" s="2" t="s">
        <v>16</v>
      </c>
      <c r="E431" s="2" t="s">
        <v>51</v>
      </c>
      <c r="F431" s="2" t="s">
        <v>48</v>
      </c>
      <c r="G431" s="4">
        <v>2001</v>
      </c>
      <c r="H431" s="4">
        <v>7934.8</v>
      </c>
      <c r="I431" s="4">
        <v>4641.5</v>
      </c>
      <c r="J431" s="4">
        <v>3299.4</v>
      </c>
      <c r="K431" s="4">
        <v>7901.6</v>
      </c>
      <c r="L431" s="6">
        <v>99.581589960000002</v>
      </c>
      <c r="M431" s="6">
        <f>Table2[[#This Row],[% of Solo Streams]]/100</f>
        <v>0.99581589960000005</v>
      </c>
      <c r="N431" s="3">
        <v>33.200000000000003</v>
      </c>
      <c r="O431" s="5">
        <v>0.41841004180000002</v>
      </c>
      <c r="P431" s="6">
        <f>Table2[[#This Row],[% of Collaborative Streams]]/100</f>
        <v>4.1841004180000006E-3</v>
      </c>
    </row>
    <row r="432" spans="1:16" x14ac:dyDescent="0.3">
      <c r="A432" s="2" t="s">
        <v>516</v>
      </c>
      <c r="B432" s="2" t="s">
        <v>14</v>
      </c>
      <c r="C432" s="2" t="s">
        <v>517</v>
      </c>
      <c r="D432" s="2" t="s">
        <v>518</v>
      </c>
      <c r="E432" s="2" t="s">
        <v>22</v>
      </c>
      <c r="F432" s="2" t="s">
        <v>18</v>
      </c>
      <c r="G432" s="4">
        <v>2002</v>
      </c>
      <c r="H432" s="4">
        <v>7934.5</v>
      </c>
      <c r="I432" s="4">
        <v>2022.8</v>
      </c>
      <c r="J432" s="4">
        <v>5906</v>
      </c>
      <c r="K432" s="4">
        <v>723</v>
      </c>
      <c r="L432" s="6">
        <v>9.1121053629999995</v>
      </c>
      <c r="M432" s="6">
        <f>Table2[[#This Row],[% of Solo Streams]]/100</f>
        <v>9.112105362999999E-2</v>
      </c>
      <c r="N432" s="3">
        <v>7211.5</v>
      </c>
      <c r="O432" s="5">
        <v>90.887894639999999</v>
      </c>
      <c r="P432" s="6">
        <f>Table2[[#This Row],[% of Collaborative Streams]]/100</f>
        <v>0.9088789464</v>
      </c>
    </row>
    <row r="433" spans="1:16" x14ac:dyDescent="0.3">
      <c r="A433" s="2" t="s">
        <v>519</v>
      </c>
      <c r="B433" s="2" t="s">
        <v>14</v>
      </c>
      <c r="C433" s="2" t="s">
        <v>42</v>
      </c>
      <c r="D433" s="2" t="s">
        <v>24</v>
      </c>
      <c r="E433" s="2" t="s">
        <v>25</v>
      </c>
      <c r="F433" s="2" t="s">
        <v>18</v>
      </c>
      <c r="G433" s="4">
        <v>2016</v>
      </c>
      <c r="H433" s="4">
        <v>7921.6</v>
      </c>
      <c r="I433" s="4">
        <v>7400.3</v>
      </c>
      <c r="J433" s="4">
        <v>508.4</v>
      </c>
      <c r="K433" s="4">
        <v>7.5</v>
      </c>
      <c r="L433" s="6">
        <v>9.467784286E-2</v>
      </c>
      <c r="M433" s="6">
        <f>Table2[[#This Row],[% of Solo Streams]]/100</f>
        <v>9.4677842860000001E-4</v>
      </c>
      <c r="N433" s="3">
        <v>7914.1</v>
      </c>
      <c r="O433" s="5">
        <v>99.905322159999997</v>
      </c>
      <c r="P433" s="6">
        <f>Table2[[#This Row],[% of Collaborative Streams]]/100</f>
        <v>0.99905322159999999</v>
      </c>
    </row>
    <row r="434" spans="1:16" x14ac:dyDescent="0.3">
      <c r="A434" s="2" t="s">
        <v>520</v>
      </c>
      <c r="B434" s="2" t="s">
        <v>20</v>
      </c>
      <c r="C434" s="2" t="s">
        <v>33</v>
      </c>
      <c r="D434" s="2" t="s">
        <v>16</v>
      </c>
      <c r="E434" s="2" t="s">
        <v>455</v>
      </c>
      <c r="F434" s="2" t="s">
        <v>18</v>
      </c>
      <c r="G434" s="4">
        <v>2018</v>
      </c>
      <c r="H434" s="4">
        <v>7892.9</v>
      </c>
      <c r="I434" s="4">
        <v>7895.6</v>
      </c>
      <c r="J434" s="4">
        <v>0</v>
      </c>
      <c r="K434" s="4">
        <v>7164.5</v>
      </c>
      <c r="L434" s="6">
        <v>90.771452819999993</v>
      </c>
      <c r="M434" s="6">
        <f>Table2[[#This Row],[% of Solo Streams]]/100</f>
        <v>0.90771452819999998</v>
      </c>
      <c r="N434" s="3">
        <v>728.4</v>
      </c>
      <c r="O434" s="5">
        <v>9.2285471749999992</v>
      </c>
      <c r="P434" s="6">
        <f>Table2[[#This Row],[% of Collaborative Streams]]/100</f>
        <v>9.2285471749999987E-2</v>
      </c>
    </row>
    <row r="435" spans="1:16" x14ac:dyDescent="0.3">
      <c r="A435" s="2" t="s">
        <v>521</v>
      </c>
      <c r="B435" s="2" t="s">
        <v>14</v>
      </c>
      <c r="C435" s="2" t="s">
        <v>33</v>
      </c>
      <c r="D435" s="2" t="s">
        <v>16</v>
      </c>
      <c r="E435" s="2" t="s">
        <v>51</v>
      </c>
      <c r="F435" s="2" t="s">
        <v>48</v>
      </c>
      <c r="G435" s="4">
        <v>1978</v>
      </c>
      <c r="H435" s="4">
        <v>7891.3</v>
      </c>
      <c r="I435" s="4">
        <v>7595.8</v>
      </c>
      <c r="J435" s="4">
        <v>298.7</v>
      </c>
      <c r="K435" s="4">
        <v>7890.8</v>
      </c>
      <c r="L435" s="6">
        <v>99.993663909999995</v>
      </c>
      <c r="M435" s="6">
        <f>Table2[[#This Row],[% of Solo Streams]]/100</f>
        <v>0.99993663909999997</v>
      </c>
      <c r="N435" s="3">
        <v>0.5</v>
      </c>
      <c r="O435" s="5">
        <v>6.3360916449999999E-3</v>
      </c>
      <c r="P435" s="6">
        <f>Table2[[#This Row],[% of Collaborative Streams]]/100</f>
        <v>6.3360916449999998E-5</v>
      </c>
    </row>
    <row r="436" spans="1:16" x14ac:dyDescent="0.3">
      <c r="A436" s="2" t="s">
        <v>522</v>
      </c>
      <c r="B436" s="2" t="s">
        <v>20</v>
      </c>
      <c r="C436" s="2" t="s">
        <v>45</v>
      </c>
      <c r="D436" s="2" t="s">
        <v>46</v>
      </c>
      <c r="E436" s="2" t="s">
        <v>47</v>
      </c>
      <c r="F436" s="2" t="s">
        <v>48</v>
      </c>
      <c r="G436" s="4">
        <v>2022</v>
      </c>
      <c r="H436" s="4">
        <v>7886.9</v>
      </c>
      <c r="I436" s="4">
        <v>7880.6</v>
      </c>
      <c r="J436" s="4">
        <v>5.3</v>
      </c>
      <c r="K436" s="4">
        <v>7566</v>
      </c>
      <c r="L436" s="6">
        <v>95.931227730000003</v>
      </c>
      <c r="M436" s="6">
        <f>Table2[[#This Row],[% of Solo Streams]]/100</f>
        <v>0.95931227730000002</v>
      </c>
      <c r="N436" s="3">
        <v>320.89999999999998</v>
      </c>
      <c r="O436" s="5">
        <v>4.068772268</v>
      </c>
      <c r="P436" s="6">
        <f>Table2[[#This Row],[% of Collaborative Streams]]/100</f>
        <v>4.0687722680000003E-2</v>
      </c>
    </row>
    <row r="437" spans="1:16" x14ac:dyDescent="0.3">
      <c r="A437" s="2" t="s">
        <v>523</v>
      </c>
      <c r="B437" s="2" t="s">
        <v>14</v>
      </c>
      <c r="C437" s="2" t="s">
        <v>21</v>
      </c>
      <c r="D437" s="2" t="s">
        <v>16</v>
      </c>
      <c r="E437" s="2" t="s">
        <v>291</v>
      </c>
      <c r="F437" s="2" t="s">
        <v>48</v>
      </c>
      <c r="G437" s="4">
        <v>2001</v>
      </c>
      <c r="H437" s="4">
        <v>7871.9</v>
      </c>
      <c r="I437" s="4">
        <v>7152</v>
      </c>
      <c r="J437" s="4">
        <v>706.6</v>
      </c>
      <c r="K437" s="4">
        <v>7858.1</v>
      </c>
      <c r="L437" s="6">
        <v>99.824692889999994</v>
      </c>
      <c r="M437" s="6">
        <f>Table2[[#This Row],[% of Solo Streams]]/100</f>
        <v>0.9982469289</v>
      </c>
      <c r="N437" s="3">
        <v>13.8</v>
      </c>
      <c r="O437" s="5">
        <v>0.17530710499999999</v>
      </c>
      <c r="P437" s="6">
        <f>Table2[[#This Row],[% of Collaborative Streams]]/100</f>
        <v>1.7530710499999999E-3</v>
      </c>
    </row>
    <row r="438" spans="1:16" x14ac:dyDescent="0.3">
      <c r="A438" s="2" t="s">
        <v>524</v>
      </c>
      <c r="B438" s="2" t="s">
        <v>14</v>
      </c>
      <c r="C438" s="2" t="s">
        <v>525</v>
      </c>
      <c r="D438" s="2" t="s">
        <v>24</v>
      </c>
      <c r="E438" s="2" t="s">
        <v>82</v>
      </c>
      <c r="F438" s="2" t="s">
        <v>18</v>
      </c>
      <c r="G438" s="4">
        <v>1985</v>
      </c>
      <c r="H438" s="4">
        <v>7852.2</v>
      </c>
      <c r="I438" s="4">
        <v>7854.4</v>
      </c>
      <c r="J438" s="4">
        <v>4</v>
      </c>
      <c r="K438" s="4">
        <v>7062</v>
      </c>
      <c r="L438" s="6">
        <v>89.936578280000006</v>
      </c>
      <c r="M438" s="6">
        <f>Table2[[#This Row],[% of Solo Streams]]/100</f>
        <v>0.89936578280000001</v>
      </c>
      <c r="N438" s="3">
        <v>790.2</v>
      </c>
      <c r="O438" s="5">
        <v>10.063421719999999</v>
      </c>
      <c r="P438" s="6">
        <f>Table2[[#This Row],[% of Collaborative Streams]]/100</f>
        <v>0.10063421719999999</v>
      </c>
    </row>
    <row r="439" spans="1:16" x14ac:dyDescent="0.3">
      <c r="A439" s="2" t="s">
        <v>526</v>
      </c>
      <c r="B439" s="2" t="s">
        <v>78</v>
      </c>
      <c r="C439" s="2" t="s">
        <v>89</v>
      </c>
      <c r="D439" s="2" t="s">
        <v>24</v>
      </c>
      <c r="E439" s="2" t="s">
        <v>82</v>
      </c>
      <c r="F439" s="2" t="s">
        <v>48</v>
      </c>
      <c r="G439" s="4">
        <v>1982</v>
      </c>
      <c r="H439" s="4">
        <v>7838.9</v>
      </c>
      <c r="I439" s="4">
        <v>7528</v>
      </c>
      <c r="J439" s="4">
        <v>310.89999999999998</v>
      </c>
      <c r="K439" s="4">
        <v>2829.8</v>
      </c>
      <c r="L439" s="6">
        <v>36.099452730000003</v>
      </c>
      <c r="M439" s="6">
        <f>Table2[[#This Row],[% of Solo Streams]]/100</f>
        <v>0.36099452730000003</v>
      </c>
      <c r="N439" s="3">
        <v>5009.1000000000004</v>
      </c>
      <c r="O439" s="5">
        <v>63.900547269999997</v>
      </c>
      <c r="P439" s="6">
        <f>Table2[[#This Row],[% of Collaborative Streams]]/100</f>
        <v>0.63900547269999997</v>
      </c>
    </row>
    <row r="440" spans="1:16" x14ac:dyDescent="0.3">
      <c r="A440" s="2" t="s">
        <v>527</v>
      </c>
      <c r="B440" s="2" t="s">
        <v>14</v>
      </c>
      <c r="C440" s="2" t="s">
        <v>33</v>
      </c>
      <c r="D440" s="2" t="s">
        <v>16</v>
      </c>
      <c r="E440" s="2" t="s">
        <v>22</v>
      </c>
      <c r="F440" s="2" t="s">
        <v>18</v>
      </c>
      <c r="G440" s="4">
        <v>2015</v>
      </c>
      <c r="H440" s="4">
        <v>7824.1</v>
      </c>
      <c r="I440" s="4">
        <v>6895.6</v>
      </c>
      <c r="J440" s="4">
        <v>928.5</v>
      </c>
      <c r="K440" s="4">
        <v>6188.5</v>
      </c>
      <c r="L440" s="6">
        <v>79.095359209999998</v>
      </c>
      <c r="M440" s="6">
        <f>Table2[[#This Row],[% of Solo Streams]]/100</f>
        <v>0.79095359209999994</v>
      </c>
      <c r="N440" s="3">
        <v>1635.6</v>
      </c>
      <c r="O440" s="5">
        <v>20.904640789999998</v>
      </c>
      <c r="P440" s="6">
        <f>Table2[[#This Row],[% of Collaborative Streams]]/100</f>
        <v>0.20904640789999998</v>
      </c>
    </row>
    <row r="441" spans="1:16" x14ac:dyDescent="0.3">
      <c r="A441" s="2" t="s">
        <v>528</v>
      </c>
      <c r="B441" s="2" t="s">
        <v>14</v>
      </c>
      <c r="C441" s="2" t="s">
        <v>21</v>
      </c>
      <c r="D441" s="2" t="s">
        <v>16</v>
      </c>
      <c r="E441" s="2" t="s">
        <v>17</v>
      </c>
      <c r="F441" s="2" t="s">
        <v>18</v>
      </c>
      <c r="G441" s="4">
        <v>2008</v>
      </c>
      <c r="H441" s="4">
        <v>7817.3</v>
      </c>
      <c r="I441" s="4">
        <v>4590.3999999999996</v>
      </c>
      <c r="J441" s="4">
        <v>3227</v>
      </c>
      <c r="K441" s="4">
        <v>1655.2</v>
      </c>
      <c r="L441" s="6">
        <v>21.173550970000001</v>
      </c>
      <c r="M441" s="6">
        <f>Table2[[#This Row],[% of Solo Streams]]/100</f>
        <v>0.21173550970000002</v>
      </c>
      <c r="N441" s="3">
        <v>6162.1</v>
      </c>
      <c r="O441" s="5">
        <v>78.826449030000006</v>
      </c>
      <c r="P441" s="6">
        <f>Table2[[#This Row],[% of Collaborative Streams]]/100</f>
        <v>0.78826449030000001</v>
      </c>
    </row>
    <row r="442" spans="1:16" x14ac:dyDescent="0.3">
      <c r="A442" s="2" t="s">
        <v>529</v>
      </c>
      <c r="B442" s="2" t="s">
        <v>14</v>
      </c>
      <c r="C442" s="2" t="s">
        <v>21</v>
      </c>
      <c r="D442" s="2" t="s">
        <v>16</v>
      </c>
      <c r="E442" s="2" t="s">
        <v>27</v>
      </c>
      <c r="F442" s="2" t="s">
        <v>18</v>
      </c>
      <c r="G442" s="4">
        <v>2016</v>
      </c>
      <c r="H442" s="4">
        <v>7810.5</v>
      </c>
      <c r="I442" s="4">
        <v>3575.2</v>
      </c>
      <c r="J442" s="4">
        <v>4235.2</v>
      </c>
      <c r="K442" s="4">
        <v>2342.1</v>
      </c>
      <c r="L442" s="6">
        <v>29.98655656</v>
      </c>
      <c r="M442" s="6">
        <f>Table2[[#This Row],[% of Solo Streams]]/100</f>
        <v>0.29986556559999999</v>
      </c>
      <c r="N442" s="3">
        <v>5468.4</v>
      </c>
      <c r="O442" s="5">
        <v>70.013443440000003</v>
      </c>
      <c r="P442" s="6">
        <f>Table2[[#This Row],[% of Collaborative Streams]]/100</f>
        <v>0.70013443440000001</v>
      </c>
    </row>
    <row r="443" spans="1:16" x14ac:dyDescent="0.3">
      <c r="A443" s="2" t="s">
        <v>530</v>
      </c>
      <c r="B443" s="2" t="s">
        <v>14</v>
      </c>
      <c r="C443" s="2" t="s">
        <v>33</v>
      </c>
      <c r="D443" s="2" t="s">
        <v>16</v>
      </c>
      <c r="E443" s="2" t="s">
        <v>60</v>
      </c>
      <c r="F443" s="2" t="s">
        <v>48</v>
      </c>
      <c r="G443" s="4">
        <v>2010</v>
      </c>
      <c r="H443" s="4">
        <v>7787.8</v>
      </c>
      <c r="I443" s="4">
        <v>5988.8</v>
      </c>
      <c r="J443" s="4">
        <v>1801.6</v>
      </c>
      <c r="K443" s="4">
        <v>801</v>
      </c>
      <c r="L443" s="6">
        <v>10.28531806</v>
      </c>
      <c r="M443" s="6">
        <f>Table2[[#This Row],[% of Solo Streams]]/100</f>
        <v>0.1028531806</v>
      </c>
      <c r="N443" s="3">
        <v>6986.8</v>
      </c>
      <c r="O443" s="5">
        <v>89.714681940000006</v>
      </c>
      <c r="P443" s="6">
        <f>Table2[[#This Row],[% of Collaborative Streams]]/100</f>
        <v>0.89714681940000007</v>
      </c>
    </row>
    <row r="444" spans="1:16" x14ac:dyDescent="0.3">
      <c r="A444" s="2" t="s">
        <v>531</v>
      </c>
      <c r="B444" s="2" t="s">
        <v>14</v>
      </c>
      <c r="C444" s="2" t="s">
        <v>21</v>
      </c>
      <c r="D444" s="2" t="s">
        <v>24</v>
      </c>
      <c r="E444" s="2" t="s">
        <v>25</v>
      </c>
      <c r="F444" s="2" t="s">
        <v>18</v>
      </c>
      <c r="G444" s="4">
        <v>2014</v>
      </c>
      <c r="H444" s="4">
        <v>7785.3</v>
      </c>
      <c r="I444" s="4">
        <v>2720.2</v>
      </c>
      <c r="J444" s="4">
        <v>5065.1000000000004</v>
      </c>
      <c r="K444" s="4">
        <v>69.3</v>
      </c>
      <c r="L444" s="6">
        <v>0.89013910829999998</v>
      </c>
      <c r="M444" s="6">
        <f>Table2[[#This Row],[% of Solo Streams]]/100</f>
        <v>8.9013910829999991E-3</v>
      </c>
      <c r="N444" s="3">
        <v>7716</v>
      </c>
      <c r="O444" s="5">
        <v>99.109860889999993</v>
      </c>
      <c r="P444" s="6">
        <f>Table2[[#This Row],[% of Collaborative Streams]]/100</f>
        <v>0.9910986088999999</v>
      </c>
    </row>
    <row r="445" spans="1:16" x14ac:dyDescent="0.3">
      <c r="A445" s="2" t="s">
        <v>532</v>
      </c>
      <c r="B445" s="2" t="s">
        <v>14</v>
      </c>
      <c r="C445" s="2" t="s">
        <v>147</v>
      </c>
      <c r="D445" s="2" t="s">
        <v>16</v>
      </c>
      <c r="E445" s="2" t="s">
        <v>60</v>
      </c>
      <c r="F445" s="2" t="s">
        <v>18</v>
      </c>
      <c r="G445" s="4">
        <v>2010</v>
      </c>
      <c r="H445" s="4">
        <v>7765.7</v>
      </c>
      <c r="I445" s="4">
        <v>4434.2</v>
      </c>
      <c r="J445" s="4">
        <v>3331.5</v>
      </c>
      <c r="K445" s="4">
        <v>781.1</v>
      </c>
      <c r="L445" s="6">
        <v>10.05833344</v>
      </c>
      <c r="M445" s="6">
        <f>Table2[[#This Row],[% of Solo Streams]]/100</f>
        <v>0.1005833344</v>
      </c>
      <c r="N445" s="3">
        <v>6984.6</v>
      </c>
      <c r="O445" s="5">
        <v>89.941666560000002</v>
      </c>
      <c r="P445" s="6">
        <f>Table2[[#This Row],[% of Collaborative Streams]]/100</f>
        <v>0.8994166656</v>
      </c>
    </row>
    <row r="446" spans="1:16" x14ac:dyDescent="0.3">
      <c r="A446" s="2" t="s">
        <v>533</v>
      </c>
      <c r="B446" s="2" t="s">
        <v>14</v>
      </c>
      <c r="C446" s="2" t="s">
        <v>534</v>
      </c>
      <c r="D446" s="2" t="s">
        <v>129</v>
      </c>
      <c r="E446" s="2" t="s">
        <v>17</v>
      </c>
      <c r="F446" s="2" t="s">
        <v>18</v>
      </c>
      <c r="G446" s="4">
        <v>2006</v>
      </c>
      <c r="H446" s="4">
        <v>7738.2</v>
      </c>
      <c r="I446" s="4">
        <v>3470.6</v>
      </c>
      <c r="J446" s="4">
        <v>4267.7</v>
      </c>
      <c r="K446" s="4">
        <v>1580.4</v>
      </c>
      <c r="L446" s="6">
        <v>20.423354270000001</v>
      </c>
      <c r="M446" s="6">
        <f>Table2[[#This Row],[% of Solo Streams]]/100</f>
        <v>0.20423354270000002</v>
      </c>
      <c r="N446" s="3">
        <v>6157.8</v>
      </c>
      <c r="O446" s="5">
        <v>79.576645729999996</v>
      </c>
      <c r="P446" s="6">
        <f>Table2[[#This Row],[% of Collaborative Streams]]/100</f>
        <v>0.79576645729999995</v>
      </c>
    </row>
    <row r="447" spans="1:16" x14ac:dyDescent="0.3">
      <c r="A447" s="2" t="s">
        <v>535</v>
      </c>
      <c r="B447" s="2" t="s">
        <v>14</v>
      </c>
      <c r="C447" s="2" t="s">
        <v>21</v>
      </c>
      <c r="D447" s="2" t="s">
        <v>16</v>
      </c>
      <c r="E447" s="2" t="s">
        <v>17</v>
      </c>
      <c r="F447" s="2" t="s">
        <v>18</v>
      </c>
      <c r="G447" s="4">
        <v>2000</v>
      </c>
      <c r="H447" s="4">
        <v>7729.6</v>
      </c>
      <c r="I447" s="4">
        <v>6445.6</v>
      </c>
      <c r="J447" s="4">
        <v>1287.7</v>
      </c>
      <c r="K447" s="4">
        <v>2355.3000000000002</v>
      </c>
      <c r="L447" s="6">
        <v>30.47117574</v>
      </c>
      <c r="M447" s="6">
        <f>Table2[[#This Row],[% of Solo Streams]]/100</f>
        <v>0.30471175740000001</v>
      </c>
      <c r="N447" s="3">
        <v>5374.3</v>
      </c>
      <c r="O447" s="5">
        <v>69.528824259999993</v>
      </c>
      <c r="P447" s="6">
        <f>Table2[[#This Row],[% of Collaborative Streams]]/100</f>
        <v>0.69528824259999988</v>
      </c>
    </row>
    <row r="448" spans="1:16" x14ac:dyDescent="0.3">
      <c r="A448" s="2" t="s">
        <v>536</v>
      </c>
      <c r="B448" s="2" t="s">
        <v>14</v>
      </c>
      <c r="C448" s="2" t="s">
        <v>33</v>
      </c>
      <c r="D448" s="2" t="s">
        <v>16</v>
      </c>
      <c r="E448" s="2" t="s">
        <v>51</v>
      </c>
      <c r="F448" s="2" t="s">
        <v>48</v>
      </c>
      <c r="G448" s="4">
        <v>2009</v>
      </c>
      <c r="H448" s="4">
        <v>7713.9</v>
      </c>
      <c r="I448" s="4">
        <v>7713.9</v>
      </c>
      <c r="J448" s="4">
        <v>0</v>
      </c>
      <c r="K448" s="4">
        <v>7200.6</v>
      </c>
      <c r="L448" s="6">
        <v>93.3457784</v>
      </c>
      <c r="M448" s="6">
        <f>Table2[[#This Row],[% of Solo Streams]]/100</f>
        <v>0.93345778400000001</v>
      </c>
      <c r="N448" s="3">
        <v>513.29999999999995</v>
      </c>
      <c r="O448" s="5">
        <v>6.6542215999999996</v>
      </c>
      <c r="P448" s="6">
        <f>Table2[[#This Row],[% of Collaborative Streams]]/100</f>
        <v>6.6542216000000001E-2</v>
      </c>
    </row>
    <row r="449" spans="1:16" x14ac:dyDescent="0.3">
      <c r="A449" s="2" t="s">
        <v>537</v>
      </c>
      <c r="B449" s="2" t="s">
        <v>14</v>
      </c>
      <c r="C449" s="2" t="s">
        <v>71</v>
      </c>
      <c r="D449" s="2" t="s">
        <v>72</v>
      </c>
      <c r="E449" s="2" t="s">
        <v>22</v>
      </c>
      <c r="F449" s="2" t="s">
        <v>18</v>
      </c>
      <c r="G449" s="4">
        <v>1999</v>
      </c>
      <c r="H449" s="4">
        <v>7689.5</v>
      </c>
      <c r="I449" s="4">
        <v>107.1</v>
      </c>
      <c r="J449" s="4">
        <v>7598.6</v>
      </c>
      <c r="K449" s="4">
        <v>0</v>
      </c>
      <c r="L449" s="6">
        <v>0</v>
      </c>
      <c r="M449" s="6">
        <f>Table2[[#This Row],[% of Solo Streams]]/100</f>
        <v>0</v>
      </c>
      <c r="N449" s="3">
        <v>7689.5</v>
      </c>
      <c r="O449" s="5">
        <v>100</v>
      </c>
      <c r="P449" s="6">
        <f>Table2[[#This Row],[% of Collaborative Streams]]/100</f>
        <v>1</v>
      </c>
    </row>
    <row r="450" spans="1:16" x14ac:dyDescent="0.3">
      <c r="A450" s="2" t="s">
        <v>538</v>
      </c>
      <c r="B450" s="2" t="s">
        <v>14</v>
      </c>
      <c r="C450" s="2" t="s">
        <v>21</v>
      </c>
      <c r="D450" s="2" t="s">
        <v>16</v>
      </c>
      <c r="E450" s="2" t="s">
        <v>51</v>
      </c>
      <c r="F450" s="2" t="s">
        <v>48</v>
      </c>
      <c r="G450" s="4">
        <v>1991</v>
      </c>
      <c r="H450" s="4">
        <v>7673.1</v>
      </c>
      <c r="I450" s="4">
        <v>7673.1</v>
      </c>
      <c r="J450" s="4">
        <v>0</v>
      </c>
      <c r="K450" s="4">
        <v>7659.2</v>
      </c>
      <c r="L450" s="6">
        <v>99.818847660000003</v>
      </c>
      <c r="M450" s="6">
        <f>Table2[[#This Row],[% of Solo Streams]]/100</f>
        <v>0.99818847659999999</v>
      </c>
      <c r="N450" s="3">
        <v>13.9</v>
      </c>
      <c r="O450" s="5">
        <v>0.1811523374</v>
      </c>
      <c r="P450" s="6">
        <f>Table2[[#This Row],[% of Collaborative Streams]]/100</f>
        <v>1.811523374E-3</v>
      </c>
    </row>
    <row r="451" spans="1:16" x14ac:dyDescent="0.3">
      <c r="A451" s="2" t="s">
        <v>539</v>
      </c>
      <c r="B451" s="2" t="s">
        <v>14</v>
      </c>
      <c r="C451" s="2" t="s">
        <v>21</v>
      </c>
      <c r="D451" s="2" t="s">
        <v>24</v>
      </c>
      <c r="E451" s="2" t="s">
        <v>25</v>
      </c>
      <c r="F451" s="2" t="s">
        <v>18</v>
      </c>
      <c r="G451" s="4">
        <v>2004</v>
      </c>
      <c r="H451" s="4">
        <v>7661.6</v>
      </c>
      <c r="I451" s="4">
        <v>1713.9</v>
      </c>
      <c r="J451" s="4">
        <v>5947.7</v>
      </c>
      <c r="K451" s="4">
        <v>560.9</v>
      </c>
      <c r="L451" s="6">
        <v>7.3209251330000003</v>
      </c>
      <c r="M451" s="6">
        <f>Table2[[#This Row],[% of Solo Streams]]/100</f>
        <v>7.3209251330000003E-2</v>
      </c>
      <c r="N451" s="3">
        <v>7100.7</v>
      </c>
      <c r="O451" s="5">
        <v>92.679074869999994</v>
      </c>
      <c r="P451" s="6">
        <f>Table2[[#This Row],[% of Collaborative Streams]]/100</f>
        <v>0.92679074869999989</v>
      </c>
    </row>
    <row r="452" spans="1:16" x14ac:dyDescent="0.3">
      <c r="A452" s="2" t="s">
        <v>540</v>
      </c>
      <c r="B452" s="2" t="s">
        <v>14</v>
      </c>
      <c r="C452" s="2" t="s">
        <v>42</v>
      </c>
      <c r="D452" s="2" t="s">
        <v>24</v>
      </c>
      <c r="E452" s="2" t="s">
        <v>25</v>
      </c>
      <c r="F452" s="2" t="s">
        <v>18</v>
      </c>
      <c r="G452" s="4">
        <v>2017</v>
      </c>
      <c r="H452" s="4">
        <v>7645.2</v>
      </c>
      <c r="I452" s="4">
        <v>4203.6000000000004</v>
      </c>
      <c r="J452" s="4">
        <v>3448.5</v>
      </c>
      <c r="K452" s="4">
        <v>1809.6</v>
      </c>
      <c r="L452" s="6">
        <v>23.669753570000001</v>
      </c>
      <c r="M452" s="6">
        <f>Table2[[#This Row],[% of Solo Streams]]/100</f>
        <v>0.23669753570000002</v>
      </c>
      <c r="N452" s="3">
        <v>5835.6</v>
      </c>
      <c r="O452" s="5">
        <v>76.330246430000003</v>
      </c>
      <c r="P452" s="6">
        <f>Table2[[#This Row],[% of Collaborative Streams]]/100</f>
        <v>0.76330246430000004</v>
      </c>
    </row>
    <row r="453" spans="1:16" x14ac:dyDescent="0.3">
      <c r="A453" s="2" t="s">
        <v>541</v>
      </c>
      <c r="B453" s="2" t="s">
        <v>20</v>
      </c>
      <c r="C453" s="2" t="s">
        <v>15</v>
      </c>
      <c r="D453" s="2" t="s">
        <v>16</v>
      </c>
      <c r="E453" s="2" t="s">
        <v>22</v>
      </c>
      <c r="F453" s="2" t="s">
        <v>18</v>
      </c>
      <c r="G453" s="4">
        <v>2000</v>
      </c>
      <c r="H453" s="4">
        <v>7628.1</v>
      </c>
      <c r="I453" s="4">
        <v>6657.6</v>
      </c>
      <c r="J453" s="4">
        <v>974.8</v>
      </c>
      <c r="K453" s="4">
        <v>3569</v>
      </c>
      <c r="L453" s="6">
        <v>46.787535560000002</v>
      </c>
      <c r="M453" s="6">
        <f>Table2[[#This Row],[% of Solo Streams]]/100</f>
        <v>0.46787535560000004</v>
      </c>
      <c r="N453" s="3">
        <v>4059.1</v>
      </c>
      <c r="O453" s="5">
        <v>53.212464439999998</v>
      </c>
      <c r="P453" s="6">
        <f>Table2[[#This Row],[% of Collaborative Streams]]/100</f>
        <v>0.53212464439999996</v>
      </c>
    </row>
    <row r="454" spans="1:16" x14ac:dyDescent="0.3">
      <c r="A454" s="2" t="s">
        <v>542</v>
      </c>
      <c r="B454" s="2" t="s">
        <v>14</v>
      </c>
      <c r="C454" s="2" t="s">
        <v>166</v>
      </c>
      <c r="D454" s="2" t="s">
        <v>167</v>
      </c>
      <c r="E454" s="2" t="s">
        <v>82</v>
      </c>
      <c r="F454" s="2" t="s">
        <v>18</v>
      </c>
      <c r="G454" s="4">
        <v>2003</v>
      </c>
      <c r="H454" s="4">
        <v>7618.8</v>
      </c>
      <c r="I454" s="4">
        <v>5257.8</v>
      </c>
      <c r="J454" s="4">
        <v>2361</v>
      </c>
      <c r="K454" s="4">
        <v>2908.3</v>
      </c>
      <c r="L454" s="6">
        <v>38.17267811</v>
      </c>
      <c r="M454" s="6">
        <f>Table2[[#This Row],[% of Solo Streams]]/100</f>
        <v>0.38172678110000002</v>
      </c>
      <c r="N454" s="3">
        <v>4710.5</v>
      </c>
      <c r="O454" s="5">
        <v>61.82732189</v>
      </c>
      <c r="P454" s="6">
        <f>Table2[[#This Row],[% of Collaborative Streams]]/100</f>
        <v>0.61827321889999998</v>
      </c>
    </row>
    <row r="455" spans="1:16" x14ac:dyDescent="0.3">
      <c r="A455" s="2" t="s">
        <v>543</v>
      </c>
      <c r="B455" s="2" t="s">
        <v>14</v>
      </c>
      <c r="C455" s="2" t="s">
        <v>21</v>
      </c>
      <c r="D455" s="2" t="s">
        <v>16</v>
      </c>
      <c r="E455" s="2" t="s">
        <v>291</v>
      </c>
      <c r="F455" s="2" t="s">
        <v>48</v>
      </c>
      <c r="G455" s="4">
        <v>2000</v>
      </c>
      <c r="H455" s="4">
        <v>7612.3</v>
      </c>
      <c r="I455" s="4">
        <v>7614.9</v>
      </c>
      <c r="J455" s="4">
        <v>0</v>
      </c>
      <c r="K455" s="4">
        <v>6849.1</v>
      </c>
      <c r="L455" s="6">
        <v>89.974120830000004</v>
      </c>
      <c r="M455" s="6">
        <f>Table2[[#This Row],[% of Solo Streams]]/100</f>
        <v>0.89974120830000004</v>
      </c>
      <c r="N455" s="3">
        <v>763.2</v>
      </c>
      <c r="O455" s="5">
        <v>10.02587917</v>
      </c>
      <c r="P455" s="6">
        <f>Table2[[#This Row],[% of Collaborative Streams]]/100</f>
        <v>0.1002587917</v>
      </c>
    </row>
    <row r="456" spans="1:16" x14ac:dyDescent="0.3">
      <c r="A456" s="2" t="s">
        <v>544</v>
      </c>
      <c r="B456" s="2" t="s">
        <v>20</v>
      </c>
      <c r="C456" s="2" t="s">
        <v>21</v>
      </c>
      <c r="D456" s="2" t="s">
        <v>16</v>
      </c>
      <c r="E456" s="2" t="s">
        <v>27</v>
      </c>
      <c r="F456" s="2" t="s">
        <v>18</v>
      </c>
      <c r="G456" s="4">
        <v>2016</v>
      </c>
      <c r="H456" s="4">
        <v>7608.2</v>
      </c>
      <c r="I456" s="4">
        <v>3801.5</v>
      </c>
      <c r="J456" s="4">
        <v>3806.7</v>
      </c>
      <c r="K456" s="4">
        <v>2191.8000000000002</v>
      </c>
      <c r="L456" s="6">
        <v>28.80839095</v>
      </c>
      <c r="M456" s="6">
        <f>Table2[[#This Row],[% of Solo Streams]]/100</f>
        <v>0.28808390950000001</v>
      </c>
      <c r="N456" s="3">
        <v>5416.4</v>
      </c>
      <c r="O456" s="5">
        <v>71.191609049999997</v>
      </c>
      <c r="P456" s="6">
        <f>Table2[[#This Row],[% of Collaborative Streams]]/100</f>
        <v>0.71191609049999993</v>
      </c>
    </row>
    <row r="457" spans="1:16" x14ac:dyDescent="0.3">
      <c r="A457" s="2" t="s">
        <v>545</v>
      </c>
      <c r="B457" s="2" t="s">
        <v>20</v>
      </c>
      <c r="C457" s="2" t="s">
        <v>33</v>
      </c>
      <c r="D457" s="2" t="s">
        <v>16</v>
      </c>
      <c r="E457" s="2" t="s">
        <v>22</v>
      </c>
      <c r="F457" s="2" t="s">
        <v>18</v>
      </c>
      <c r="G457" s="4">
        <v>2012</v>
      </c>
      <c r="H457" s="4">
        <v>7596.7</v>
      </c>
      <c r="I457" s="4">
        <v>3575.7</v>
      </c>
      <c r="J457" s="4">
        <v>4021</v>
      </c>
      <c r="K457" s="4">
        <v>2786.1</v>
      </c>
      <c r="L457" s="6">
        <v>36.675135259999998</v>
      </c>
      <c r="M457" s="6">
        <f>Table2[[#This Row],[% of Solo Streams]]/100</f>
        <v>0.36675135259999997</v>
      </c>
      <c r="N457" s="3">
        <v>4810.6000000000004</v>
      </c>
      <c r="O457" s="5">
        <v>63.324864740000002</v>
      </c>
      <c r="P457" s="6">
        <f>Table2[[#This Row],[% of Collaborative Streams]]/100</f>
        <v>0.63324864739999998</v>
      </c>
    </row>
    <row r="458" spans="1:16" x14ac:dyDescent="0.3">
      <c r="A458" s="2" t="s">
        <v>546</v>
      </c>
      <c r="B458" s="2" t="s">
        <v>14</v>
      </c>
      <c r="C458" s="2" t="s">
        <v>21</v>
      </c>
      <c r="D458" s="2" t="s">
        <v>16</v>
      </c>
      <c r="E458" s="2" t="s">
        <v>17</v>
      </c>
      <c r="F458" s="2" t="s">
        <v>18</v>
      </c>
      <c r="G458" s="4">
        <v>2007</v>
      </c>
      <c r="H458" s="4">
        <v>7589.1</v>
      </c>
      <c r="I458" s="4">
        <v>6273.4</v>
      </c>
      <c r="J458" s="4">
        <v>1315.7</v>
      </c>
      <c r="K458" s="4">
        <v>5418.2</v>
      </c>
      <c r="L458" s="6">
        <v>71.394500010000002</v>
      </c>
      <c r="M458" s="6">
        <f>Table2[[#This Row],[% of Solo Streams]]/100</f>
        <v>0.71394500010000006</v>
      </c>
      <c r="N458" s="3">
        <v>2170.9</v>
      </c>
      <c r="O458" s="5">
        <v>28.605499989999998</v>
      </c>
      <c r="P458" s="6">
        <f>Table2[[#This Row],[% of Collaborative Streams]]/100</f>
        <v>0.2860549999</v>
      </c>
    </row>
    <row r="459" spans="1:16" x14ac:dyDescent="0.3">
      <c r="A459" s="2" t="s">
        <v>547</v>
      </c>
      <c r="B459" s="2" t="s">
        <v>20</v>
      </c>
      <c r="C459" s="2" t="s">
        <v>548</v>
      </c>
      <c r="D459" s="2" t="s">
        <v>16</v>
      </c>
      <c r="E459" s="2" t="s">
        <v>51</v>
      </c>
      <c r="F459" s="2" t="s">
        <v>18</v>
      </c>
      <c r="G459" s="4">
        <v>2017</v>
      </c>
      <c r="H459" s="4">
        <v>7552.8</v>
      </c>
      <c r="I459" s="4">
        <v>5418.1</v>
      </c>
      <c r="J459" s="4">
        <v>2144.1</v>
      </c>
      <c r="K459" s="4">
        <v>4710</v>
      </c>
      <c r="L459" s="6">
        <v>62.360978709999998</v>
      </c>
      <c r="M459" s="6">
        <f>Table2[[#This Row],[% of Solo Streams]]/100</f>
        <v>0.62360978709999992</v>
      </c>
      <c r="N459" s="3">
        <v>2842.8</v>
      </c>
      <c r="O459" s="5">
        <v>37.639021290000002</v>
      </c>
      <c r="P459" s="6">
        <f>Table2[[#This Row],[% of Collaborative Streams]]/100</f>
        <v>0.37639021290000002</v>
      </c>
    </row>
    <row r="460" spans="1:16" x14ac:dyDescent="0.3">
      <c r="A460" s="2" t="s">
        <v>549</v>
      </c>
      <c r="B460" s="2" t="s">
        <v>14</v>
      </c>
      <c r="C460" s="2" t="s">
        <v>71</v>
      </c>
      <c r="D460" s="2" t="s">
        <v>550</v>
      </c>
      <c r="E460" s="2" t="s">
        <v>17</v>
      </c>
      <c r="F460" s="2" t="s">
        <v>18</v>
      </c>
      <c r="G460" s="4">
        <v>2014</v>
      </c>
      <c r="H460" s="4">
        <v>7550.3</v>
      </c>
      <c r="I460" s="4">
        <v>6212.4</v>
      </c>
      <c r="J460" s="4">
        <v>1334.7</v>
      </c>
      <c r="K460" s="4">
        <v>1537.2</v>
      </c>
      <c r="L460" s="6">
        <v>20.359455919999998</v>
      </c>
      <c r="M460" s="6">
        <f>Table2[[#This Row],[% of Solo Streams]]/100</f>
        <v>0.2035945592</v>
      </c>
      <c r="N460" s="3">
        <v>6013.1</v>
      </c>
      <c r="O460" s="5">
        <v>79.640544079999998</v>
      </c>
      <c r="P460" s="6">
        <f>Table2[[#This Row],[% of Collaborative Streams]]/100</f>
        <v>0.79640544079999998</v>
      </c>
    </row>
    <row r="461" spans="1:16" x14ac:dyDescent="0.3">
      <c r="A461" s="2" t="s">
        <v>551</v>
      </c>
      <c r="B461" s="2" t="s">
        <v>20</v>
      </c>
      <c r="C461" s="2" t="s">
        <v>15</v>
      </c>
      <c r="D461" s="2" t="s">
        <v>257</v>
      </c>
      <c r="E461" s="2" t="s">
        <v>22</v>
      </c>
      <c r="F461" s="2" t="s">
        <v>18</v>
      </c>
      <c r="G461" s="4">
        <v>1981</v>
      </c>
      <c r="H461" s="4">
        <v>7543.1</v>
      </c>
      <c r="I461" s="4">
        <v>7093.1</v>
      </c>
      <c r="J461" s="4">
        <v>450</v>
      </c>
      <c r="K461" s="4">
        <v>6268.7</v>
      </c>
      <c r="L461" s="6">
        <v>83.105089419999999</v>
      </c>
      <c r="M461" s="6">
        <f>Table2[[#This Row],[% of Solo Streams]]/100</f>
        <v>0.8310508942</v>
      </c>
      <c r="N461" s="3">
        <v>1274.4000000000001</v>
      </c>
      <c r="O461" s="5">
        <v>16.894910580000001</v>
      </c>
      <c r="P461" s="6">
        <f>Table2[[#This Row],[% of Collaborative Streams]]/100</f>
        <v>0.1689491058</v>
      </c>
    </row>
    <row r="462" spans="1:16" x14ac:dyDescent="0.3">
      <c r="A462" s="2" t="s">
        <v>552</v>
      </c>
      <c r="B462" s="2" t="s">
        <v>14</v>
      </c>
      <c r="C462" s="2" t="s">
        <v>15</v>
      </c>
      <c r="D462" s="2" t="s">
        <v>16</v>
      </c>
      <c r="E462" s="2" t="s">
        <v>51</v>
      </c>
      <c r="F462" s="2" t="s">
        <v>18</v>
      </c>
      <c r="G462" s="4">
        <v>1980</v>
      </c>
      <c r="H462" s="4">
        <v>7503.2</v>
      </c>
      <c r="I462" s="4">
        <v>5958.2</v>
      </c>
      <c r="J462" s="4">
        <v>1568.1</v>
      </c>
      <c r="K462" s="4">
        <v>6592.7</v>
      </c>
      <c r="L462" s="6">
        <v>87.865177520000003</v>
      </c>
      <c r="M462" s="6">
        <f>Table2[[#This Row],[% of Solo Streams]]/100</f>
        <v>0.87865177520000004</v>
      </c>
      <c r="N462" s="3">
        <v>910.5</v>
      </c>
      <c r="O462" s="5">
        <v>12.13482248</v>
      </c>
      <c r="P462" s="6">
        <f>Table2[[#This Row],[% of Collaborative Streams]]/100</f>
        <v>0.1213482248</v>
      </c>
    </row>
    <row r="463" spans="1:16" x14ac:dyDescent="0.3">
      <c r="A463" s="2" t="s">
        <v>553</v>
      </c>
      <c r="B463" s="2" t="s">
        <v>14</v>
      </c>
      <c r="C463" s="2" t="s">
        <v>45</v>
      </c>
      <c r="D463" s="2" t="s">
        <v>46</v>
      </c>
      <c r="E463" s="2" t="s">
        <v>47</v>
      </c>
      <c r="F463" s="2" t="s">
        <v>48</v>
      </c>
      <c r="G463" s="4">
        <v>2020</v>
      </c>
      <c r="H463" s="4">
        <v>7486.2</v>
      </c>
      <c r="I463" s="4">
        <v>7178.8</v>
      </c>
      <c r="J463" s="4">
        <v>328.1</v>
      </c>
      <c r="K463" s="4">
        <v>7290.2</v>
      </c>
      <c r="L463" s="6">
        <v>97.381849270000004</v>
      </c>
      <c r="M463" s="6">
        <f>Table2[[#This Row],[% of Solo Streams]]/100</f>
        <v>0.97381849269999998</v>
      </c>
      <c r="N463" s="3">
        <v>196</v>
      </c>
      <c r="O463" s="5">
        <v>2.6181507310000001</v>
      </c>
      <c r="P463" s="6">
        <f>Table2[[#This Row],[% of Collaborative Streams]]/100</f>
        <v>2.6181507310000001E-2</v>
      </c>
    </row>
    <row r="464" spans="1:16" x14ac:dyDescent="0.3">
      <c r="A464" s="2" t="s">
        <v>554</v>
      </c>
      <c r="B464" s="2" t="s">
        <v>14</v>
      </c>
      <c r="C464" s="2" t="s">
        <v>21</v>
      </c>
      <c r="D464" s="2" t="s">
        <v>16</v>
      </c>
      <c r="E464" s="2" t="s">
        <v>57</v>
      </c>
      <c r="F464" s="2" t="s">
        <v>18</v>
      </c>
      <c r="G464" s="4">
        <v>2017</v>
      </c>
      <c r="H464" s="4">
        <v>7485.1</v>
      </c>
      <c r="I464" s="4">
        <v>6757.7</v>
      </c>
      <c r="J464" s="4">
        <v>735.7</v>
      </c>
      <c r="K464" s="4">
        <v>6205.8</v>
      </c>
      <c r="L464" s="6">
        <v>82.908711969999999</v>
      </c>
      <c r="M464" s="6">
        <f>Table2[[#This Row],[% of Solo Streams]]/100</f>
        <v>0.82908711970000004</v>
      </c>
      <c r="N464" s="3">
        <v>1279.3</v>
      </c>
      <c r="O464" s="5">
        <v>17.091288030000001</v>
      </c>
      <c r="P464" s="6">
        <f>Table2[[#This Row],[% of Collaborative Streams]]/100</f>
        <v>0.17091288030000001</v>
      </c>
    </row>
    <row r="465" spans="1:16" x14ac:dyDescent="0.3">
      <c r="A465" s="2" t="s">
        <v>555</v>
      </c>
      <c r="B465" s="2" t="s">
        <v>20</v>
      </c>
      <c r="C465" s="2" t="s">
        <v>166</v>
      </c>
      <c r="D465" s="2" t="s">
        <v>167</v>
      </c>
      <c r="E465" s="2" t="s">
        <v>168</v>
      </c>
      <c r="F465" s="2" t="s">
        <v>18</v>
      </c>
      <c r="G465" s="4">
        <v>2021</v>
      </c>
      <c r="H465" s="4">
        <v>7467.3</v>
      </c>
      <c r="I465" s="4">
        <v>7464.6</v>
      </c>
      <c r="J465" s="4">
        <v>26</v>
      </c>
      <c r="K465" s="4">
        <v>1330.8</v>
      </c>
      <c r="L465" s="6">
        <v>17.82170262</v>
      </c>
      <c r="M465" s="6">
        <f>Table2[[#This Row],[% of Solo Streams]]/100</f>
        <v>0.17821702619999999</v>
      </c>
      <c r="N465" s="3">
        <v>6136.5</v>
      </c>
      <c r="O465" s="5">
        <v>82.178297380000004</v>
      </c>
      <c r="P465" s="6">
        <f>Table2[[#This Row],[% of Collaborative Streams]]/100</f>
        <v>0.82178297379999998</v>
      </c>
    </row>
    <row r="466" spans="1:16" x14ac:dyDescent="0.3">
      <c r="A466" s="2" t="s">
        <v>556</v>
      </c>
      <c r="B466" s="2" t="s">
        <v>14</v>
      </c>
      <c r="C466" s="2" t="s">
        <v>21</v>
      </c>
      <c r="D466" s="2" t="s">
        <v>16</v>
      </c>
      <c r="E466" s="2" t="s">
        <v>22</v>
      </c>
      <c r="F466" s="2" t="s">
        <v>48</v>
      </c>
      <c r="G466" s="4">
        <v>2014</v>
      </c>
      <c r="H466" s="4">
        <v>7453.2</v>
      </c>
      <c r="I466" s="4">
        <v>2524.9</v>
      </c>
      <c r="J466" s="4">
        <v>4942.3999999999996</v>
      </c>
      <c r="K466" s="4">
        <v>6424.3</v>
      </c>
      <c r="L466" s="6">
        <v>86.19519133</v>
      </c>
      <c r="M466" s="6">
        <f>Table2[[#This Row],[% of Solo Streams]]/100</f>
        <v>0.86195191329999998</v>
      </c>
      <c r="N466" s="3">
        <v>1028.9000000000001</v>
      </c>
      <c r="O466" s="5">
        <v>13.80480867</v>
      </c>
      <c r="P466" s="6">
        <f>Table2[[#This Row],[% of Collaborative Streams]]/100</f>
        <v>0.13804808669999999</v>
      </c>
    </row>
    <row r="467" spans="1:16" x14ac:dyDescent="0.3">
      <c r="A467" s="2" t="s">
        <v>557</v>
      </c>
      <c r="B467" s="2" t="s">
        <v>14</v>
      </c>
      <c r="C467" s="2" t="s">
        <v>21</v>
      </c>
      <c r="D467" s="2" t="s">
        <v>16</v>
      </c>
      <c r="E467" s="2" t="s">
        <v>98</v>
      </c>
      <c r="F467" s="2" t="s">
        <v>18</v>
      </c>
      <c r="G467" s="4">
        <v>1955</v>
      </c>
      <c r="H467" s="4">
        <v>7450.6</v>
      </c>
      <c r="I467" s="4">
        <v>6491.8</v>
      </c>
      <c r="J467" s="4">
        <v>961.4</v>
      </c>
      <c r="K467" s="4">
        <v>5866.4</v>
      </c>
      <c r="L467" s="6">
        <v>78.737282899999997</v>
      </c>
      <c r="M467" s="6">
        <f>Table2[[#This Row],[% of Solo Streams]]/100</f>
        <v>0.78737282899999994</v>
      </c>
      <c r="N467" s="3">
        <v>1584.2</v>
      </c>
      <c r="O467" s="5">
        <v>21.2627171</v>
      </c>
      <c r="P467" s="6">
        <f>Table2[[#This Row],[% of Collaborative Streams]]/100</f>
        <v>0.212627171</v>
      </c>
    </row>
    <row r="468" spans="1:16" x14ac:dyDescent="0.3">
      <c r="A468" s="2" t="s">
        <v>558</v>
      </c>
      <c r="B468" s="2" t="s">
        <v>14</v>
      </c>
      <c r="C468" s="2" t="s">
        <v>21</v>
      </c>
      <c r="D468" s="2" t="s">
        <v>16</v>
      </c>
      <c r="E468" s="2" t="s">
        <v>17</v>
      </c>
      <c r="F468" s="2" t="s">
        <v>18</v>
      </c>
      <c r="G468" s="4">
        <v>2007</v>
      </c>
      <c r="H468" s="4">
        <v>7431.9</v>
      </c>
      <c r="I468" s="4">
        <v>6391.9</v>
      </c>
      <c r="J468" s="4">
        <v>1058.7</v>
      </c>
      <c r="K468" s="4">
        <v>528.20000000000005</v>
      </c>
      <c r="L468" s="6">
        <v>7.1072000429999997</v>
      </c>
      <c r="M468" s="6">
        <f>Table2[[#This Row],[% of Solo Streams]]/100</f>
        <v>7.1072000430000004E-2</v>
      </c>
      <c r="N468" s="3">
        <v>6903.7</v>
      </c>
      <c r="O468" s="5">
        <v>92.892799960000005</v>
      </c>
      <c r="P468" s="6">
        <f>Table2[[#This Row],[% of Collaborative Streams]]/100</f>
        <v>0.92892799960000005</v>
      </c>
    </row>
    <row r="469" spans="1:16" x14ac:dyDescent="0.3">
      <c r="A469" s="2" t="s">
        <v>559</v>
      </c>
      <c r="B469" s="2" t="s">
        <v>14</v>
      </c>
      <c r="C469" s="2" t="s">
        <v>21</v>
      </c>
      <c r="D469" s="2" t="s">
        <v>16</v>
      </c>
      <c r="E469" s="2" t="s">
        <v>98</v>
      </c>
      <c r="F469" s="2" t="s">
        <v>18</v>
      </c>
      <c r="G469" s="4">
        <v>2005</v>
      </c>
      <c r="H469" s="4">
        <v>7423.5</v>
      </c>
      <c r="I469" s="4">
        <v>7117.2</v>
      </c>
      <c r="J469" s="4">
        <v>319.89999999999998</v>
      </c>
      <c r="K469" s="4">
        <v>6510.5</v>
      </c>
      <c r="L469" s="6">
        <v>87.701219100000003</v>
      </c>
      <c r="M469" s="6">
        <f>Table2[[#This Row],[% of Solo Streams]]/100</f>
        <v>0.87701219100000005</v>
      </c>
      <c r="N469" s="3">
        <v>913</v>
      </c>
      <c r="O469" s="5">
        <v>12.298780900000001</v>
      </c>
      <c r="P469" s="6">
        <f>Table2[[#This Row],[% of Collaborative Streams]]/100</f>
        <v>0.122987809</v>
      </c>
    </row>
    <row r="470" spans="1:16" x14ac:dyDescent="0.3">
      <c r="A470" s="2" t="s">
        <v>560</v>
      </c>
      <c r="B470" s="2" t="s">
        <v>14</v>
      </c>
      <c r="C470" s="2" t="s">
        <v>166</v>
      </c>
      <c r="D470" s="2" t="s">
        <v>167</v>
      </c>
      <c r="E470" s="2" t="s">
        <v>168</v>
      </c>
      <c r="F470" s="2" t="s">
        <v>18</v>
      </c>
      <c r="G470" s="4">
        <v>2009</v>
      </c>
      <c r="H470" s="4">
        <v>7416.8</v>
      </c>
      <c r="I470" s="4">
        <v>4668.1000000000004</v>
      </c>
      <c r="J470" s="4">
        <v>2767</v>
      </c>
      <c r="K470" s="4">
        <v>4913.6000000000004</v>
      </c>
      <c r="L470" s="6">
        <v>66.249595510000006</v>
      </c>
      <c r="M470" s="6">
        <f>Table2[[#This Row],[% of Solo Streams]]/100</f>
        <v>0.66249595510000003</v>
      </c>
      <c r="N470" s="3">
        <v>2503.1999999999998</v>
      </c>
      <c r="O470" s="5">
        <v>33.750404490000001</v>
      </c>
      <c r="P470" s="6">
        <f>Table2[[#This Row],[% of Collaborative Streams]]/100</f>
        <v>0.33750404490000002</v>
      </c>
    </row>
    <row r="471" spans="1:16" x14ac:dyDescent="0.3">
      <c r="A471" s="2" t="s">
        <v>561</v>
      </c>
      <c r="B471" s="2" t="s">
        <v>14</v>
      </c>
      <c r="C471" s="2" t="s">
        <v>222</v>
      </c>
      <c r="D471" s="2" t="s">
        <v>24</v>
      </c>
      <c r="E471" s="2" t="s">
        <v>17</v>
      </c>
      <c r="F471" s="2" t="s">
        <v>18</v>
      </c>
      <c r="G471" s="4">
        <v>2017</v>
      </c>
      <c r="H471" s="4">
        <v>7405.6</v>
      </c>
      <c r="I471" s="4">
        <v>6405.3</v>
      </c>
      <c r="J471" s="4">
        <v>1014.5</v>
      </c>
      <c r="K471" s="4">
        <v>639.20000000000005</v>
      </c>
      <c r="L471" s="6">
        <v>8.631306039</v>
      </c>
      <c r="M471" s="6">
        <f>Table2[[#This Row],[% of Solo Streams]]/100</f>
        <v>8.6313060390000002E-2</v>
      </c>
      <c r="N471" s="3">
        <v>6766.4</v>
      </c>
      <c r="O471" s="5">
        <v>91.368693960000002</v>
      </c>
      <c r="P471" s="6">
        <f>Table2[[#This Row],[% of Collaborative Streams]]/100</f>
        <v>0.91368693960000003</v>
      </c>
    </row>
    <row r="472" spans="1:16" x14ac:dyDescent="0.3">
      <c r="A472" s="2" t="s">
        <v>562</v>
      </c>
      <c r="B472" s="2" t="s">
        <v>20</v>
      </c>
      <c r="C472" s="2" t="s">
        <v>166</v>
      </c>
      <c r="D472" s="2" t="s">
        <v>167</v>
      </c>
      <c r="E472" s="2" t="s">
        <v>168</v>
      </c>
      <c r="F472" s="2" t="s">
        <v>48</v>
      </c>
      <c r="G472" s="4">
        <v>2013</v>
      </c>
      <c r="H472" s="4">
        <v>7388.4</v>
      </c>
      <c r="I472" s="4">
        <v>3471.7</v>
      </c>
      <c r="J472" s="4">
        <v>3933.9</v>
      </c>
      <c r="K472" s="4">
        <v>2317.8000000000002</v>
      </c>
      <c r="L472" s="6">
        <v>31.370797469999999</v>
      </c>
      <c r="M472" s="6">
        <f>Table2[[#This Row],[% of Solo Streams]]/100</f>
        <v>0.3137079747</v>
      </c>
      <c r="N472" s="3">
        <v>5070.6000000000004</v>
      </c>
      <c r="O472" s="5">
        <v>68.629202530000001</v>
      </c>
      <c r="P472" s="6">
        <f>Table2[[#This Row],[% of Collaborative Streams]]/100</f>
        <v>0.6862920253</v>
      </c>
    </row>
    <row r="473" spans="1:16" x14ac:dyDescent="0.3">
      <c r="A473" s="2" t="s">
        <v>563</v>
      </c>
      <c r="B473" s="2" t="s">
        <v>14</v>
      </c>
      <c r="C473" s="2" t="s">
        <v>166</v>
      </c>
      <c r="D473" s="2" t="s">
        <v>167</v>
      </c>
      <c r="E473" s="2" t="s">
        <v>82</v>
      </c>
      <c r="F473" s="2" t="s">
        <v>18</v>
      </c>
      <c r="G473" s="4">
        <v>2015</v>
      </c>
      <c r="H473" s="4">
        <v>7387.8</v>
      </c>
      <c r="I473" s="4">
        <v>2807.5</v>
      </c>
      <c r="J473" s="4">
        <v>4581</v>
      </c>
      <c r="K473" s="4">
        <v>359.7</v>
      </c>
      <c r="L473" s="6">
        <v>4.8688378139999999</v>
      </c>
      <c r="M473" s="6">
        <f>Table2[[#This Row],[% of Solo Streams]]/100</f>
        <v>4.8688378140000002E-2</v>
      </c>
      <c r="N473" s="3">
        <v>7028.1</v>
      </c>
      <c r="O473" s="5">
        <v>95.131162189999998</v>
      </c>
      <c r="P473" s="6">
        <f>Table2[[#This Row],[% of Collaborative Streams]]/100</f>
        <v>0.95131162189999996</v>
      </c>
    </row>
    <row r="474" spans="1:16" x14ac:dyDescent="0.3">
      <c r="A474" s="2" t="s">
        <v>564</v>
      </c>
      <c r="B474" s="2" t="s">
        <v>14</v>
      </c>
      <c r="C474" s="2" t="s">
        <v>222</v>
      </c>
      <c r="D474" s="2" t="s">
        <v>24</v>
      </c>
      <c r="E474" s="2" t="s">
        <v>17</v>
      </c>
      <c r="F474" s="2" t="s">
        <v>18</v>
      </c>
      <c r="G474" s="4">
        <v>2018</v>
      </c>
      <c r="H474" s="4">
        <v>7377.9</v>
      </c>
      <c r="I474" s="4">
        <v>4274.5</v>
      </c>
      <c r="J474" s="4">
        <v>3113.3</v>
      </c>
      <c r="K474" s="4">
        <v>716.5</v>
      </c>
      <c r="L474" s="6">
        <v>9.7114355030000006</v>
      </c>
      <c r="M474" s="6">
        <f>Table2[[#This Row],[% of Solo Streams]]/100</f>
        <v>9.7114355030000002E-2</v>
      </c>
      <c r="N474" s="3">
        <v>6661.4</v>
      </c>
      <c r="O474" s="5">
        <v>90.288564500000007</v>
      </c>
      <c r="P474" s="6">
        <f>Table2[[#This Row],[% of Collaborative Streams]]/100</f>
        <v>0.90288564500000001</v>
      </c>
    </row>
    <row r="475" spans="1:16" x14ac:dyDescent="0.3">
      <c r="A475" s="2" t="s">
        <v>565</v>
      </c>
      <c r="B475" s="2" t="s">
        <v>14</v>
      </c>
      <c r="C475" s="2" t="s">
        <v>33</v>
      </c>
      <c r="D475" s="2" t="s">
        <v>16</v>
      </c>
      <c r="E475" s="2" t="s">
        <v>22</v>
      </c>
      <c r="F475" s="2" t="s">
        <v>18</v>
      </c>
      <c r="G475" s="4">
        <v>2012</v>
      </c>
      <c r="H475" s="4">
        <v>7352.6</v>
      </c>
      <c r="I475" s="4">
        <v>3894</v>
      </c>
      <c r="J475" s="4">
        <v>3483.8</v>
      </c>
      <c r="K475" s="4">
        <v>6069.3</v>
      </c>
      <c r="L475" s="6">
        <v>82.546310149999996</v>
      </c>
      <c r="M475" s="6">
        <f>Table2[[#This Row],[% of Solo Streams]]/100</f>
        <v>0.82546310150000002</v>
      </c>
      <c r="N475" s="3">
        <v>1283.3</v>
      </c>
      <c r="O475" s="5">
        <v>17.45368985</v>
      </c>
      <c r="P475" s="6">
        <f>Table2[[#This Row],[% of Collaborative Streams]]/100</f>
        <v>0.17453689850000001</v>
      </c>
    </row>
    <row r="476" spans="1:16" x14ac:dyDescent="0.3">
      <c r="A476" s="2" t="s">
        <v>566</v>
      </c>
      <c r="B476" s="2" t="s">
        <v>78</v>
      </c>
      <c r="C476" s="2" t="s">
        <v>21</v>
      </c>
      <c r="D476" s="2" t="s">
        <v>16</v>
      </c>
      <c r="E476" s="2" t="s">
        <v>17</v>
      </c>
      <c r="F476" s="2" t="s">
        <v>48</v>
      </c>
      <c r="G476" s="4">
        <v>2009</v>
      </c>
      <c r="H476" s="4">
        <v>7347.9</v>
      </c>
      <c r="I476" s="4">
        <v>6711.8</v>
      </c>
      <c r="J476" s="4">
        <v>643.70000000000005</v>
      </c>
      <c r="K476" s="4">
        <v>114.9</v>
      </c>
      <c r="L476" s="6">
        <v>1.563712081</v>
      </c>
      <c r="M476" s="6">
        <f>Table2[[#This Row],[% of Solo Streams]]/100</f>
        <v>1.5637120810000002E-2</v>
      </c>
      <c r="N476" s="3">
        <v>7233</v>
      </c>
      <c r="O476" s="5">
        <v>98.436287919999998</v>
      </c>
      <c r="P476" s="6">
        <f>Table2[[#This Row],[% of Collaborative Streams]]/100</f>
        <v>0.98436287919999998</v>
      </c>
    </row>
    <row r="477" spans="1:16" x14ac:dyDescent="0.3">
      <c r="A477" s="2" t="s">
        <v>567</v>
      </c>
      <c r="B477" s="2" t="s">
        <v>14</v>
      </c>
      <c r="C477" s="2" t="s">
        <v>21</v>
      </c>
      <c r="D477" s="2" t="s">
        <v>16</v>
      </c>
      <c r="E477" s="2" t="s">
        <v>98</v>
      </c>
      <c r="F477" s="2" t="s">
        <v>18</v>
      </c>
      <c r="G477" s="4">
        <v>2012</v>
      </c>
      <c r="H477" s="4">
        <v>7337.5</v>
      </c>
      <c r="I477" s="4">
        <v>3928</v>
      </c>
      <c r="J477" s="4">
        <v>3422.3</v>
      </c>
      <c r="K477" s="4">
        <v>5340.9</v>
      </c>
      <c r="L477" s="6">
        <v>72.789097100000006</v>
      </c>
      <c r="M477" s="6">
        <f>Table2[[#This Row],[% of Solo Streams]]/100</f>
        <v>0.72789097100000011</v>
      </c>
      <c r="N477" s="3">
        <v>1996.6</v>
      </c>
      <c r="O477" s="5">
        <v>27.210902900000001</v>
      </c>
      <c r="P477" s="6">
        <f>Table2[[#This Row],[% of Collaborative Streams]]/100</f>
        <v>0.272109029</v>
      </c>
    </row>
    <row r="478" spans="1:16" x14ac:dyDescent="0.3">
      <c r="A478" s="2" t="s">
        <v>568</v>
      </c>
      <c r="B478" s="2" t="s">
        <v>20</v>
      </c>
      <c r="C478" s="2" t="s">
        <v>569</v>
      </c>
      <c r="D478" s="2" t="s">
        <v>16</v>
      </c>
      <c r="E478" s="2" t="s">
        <v>22</v>
      </c>
      <c r="F478" s="2" t="s">
        <v>18</v>
      </c>
      <c r="G478" s="4">
        <v>2006</v>
      </c>
      <c r="H478" s="4">
        <v>7335.2</v>
      </c>
      <c r="I478" s="4">
        <v>6735.6</v>
      </c>
      <c r="J478" s="4">
        <v>602</v>
      </c>
      <c r="K478" s="4">
        <v>1341.8</v>
      </c>
      <c r="L478" s="6">
        <v>18.292616420000002</v>
      </c>
      <c r="M478" s="6">
        <f>Table2[[#This Row],[% of Solo Streams]]/100</f>
        <v>0.18292616420000002</v>
      </c>
      <c r="N478" s="3">
        <v>5993.4</v>
      </c>
      <c r="O478" s="5">
        <v>81.707383579999998</v>
      </c>
      <c r="P478" s="6">
        <f>Table2[[#This Row],[% of Collaborative Streams]]/100</f>
        <v>0.81707383580000004</v>
      </c>
    </row>
    <row r="479" spans="1:16" x14ac:dyDescent="0.3">
      <c r="A479" s="2" t="s">
        <v>570</v>
      </c>
      <c r="B479" s="2" t="s">
        <v>14</v>
      </c>
      <c r="C479" s="2" t="s">
        <v>21</v>
      </c>
      <c r="D479" s="2" t="s">
        <v>16</v>
      </c>
      <c r="E479" s="2" t="s">
        <v>291</v>
      </c>
      <c r="F479" s="2" t="s">
        <v>48</v>
      </c>
      <c r="G479" s="4">
        <v>2007</v>
      </c>
      <c r="H479" s="4">
        <v>7326.6</v>
      </c>
      <c r="I479" s="4">
        <v>1671.1</v>
      </c>
      <c r="J479" s="4">
        <v>5664.1</v>
      </c>
      <c r="K479" s="4">
        <v>6816.6</v>
      </c>
      <c r="L479" s="6">
        <v>93.039063139999996</v>
      </c>
      <c r="M479" s="6">
        <f>Table2[[#This Row],[% of Solo Streams]]/100</f>
        <v>0.9303906314</v>
      </c>
      <c r="N479" s="3">
        <v>510</v>
      </c>
      <c r="O479" s="5">
        <v>6.9609368600000003</v>
      </c>
      <c r="P479" s="6">
        <f>Table2[[#This Row],[% of Collaborative Streams]]/100</f>
        <v>6.9609368599999999E-2</v>
      </c>
    </row>
    <row r="480" spans="1:16" x14ac:dyDescent="0.3">
      <c r="A480" s="2" t="s">
        <v>571</v>
      </c>
      <c r="B480" s="2" t="s">
        <v>14</v>
      </c>
      <c r="C480" s="2" t="s">
        <v>21</v>
      </c>
      <c r="D480" s="2" t="s">
        <v>16</v>
      </c>
      <c r="E480" s="2" t="s">
        <v>98</v>
      </c>
      <c r="F480" s="2" t="s">
        <v>18</v>
      </c>
      <c r="G480" s="4">
        <v>2014</v>
      </c>
      <c r="H480" s="4">
        <v>7313.2</v>
      </c>
      <c r="I480" s="4">
        <v>7318.3</v>
      </c>
      <c r="J480" s="4">
        <v>8.3000000000000007</v>
      </c>
      <c r="K480" s="4">
        <v>2901.6</v>
      </c>
      <c r="L480" s="6">
        <v>39.676201939999999</v>
      </c>
      <c r="M480" s="6">
        <f>Table2[[#This Row],[% of Solo Streams]]/100</f>
        <v>0.3967620194</v>
      </c>
      <c r="N480" s="3">
        <v>4411.6000000000004</v>
      </c>
      <c r="O480" s="5">
        <v>60.323798060000001</v>
      </c>
      <c r="P480" s="6">
        <f>Table2[[#This Row],[% of Collaborative Streams]]/100</f>
        <v>0.6032379806</v>
      </c>
    </row>
    <row r="481" spans="1:16" x14ac:dyDescent="0.3">
      <c r="A481" s="2" t="s">
        <v>572</v>
      </c>
      <c r="B481" s="2" t="s">
        <v>20</v>
      </c>
      <c r="C481" s="2" t="s">
        <v>573</v>
      </c>
      <c r="D481" s="2" t="s">
        <v>16</v>
      </c>
      <c r="E481" s="2" t="s">
        <v>22</v>
      </c>
      <c r="F481" s="2" t="s">
        <v>18</v>
      </c>
      <c r="G481" s="4">
        <v>2020</v>
      </c>
      <c r="H481" s="4">
        <v>7286.8</v>
      </c>
      <c r="I481" s="4">
        <v>4703.7</v>
      </c>
      <c r="J481" s="4">
        <v>2609.5</v>
      </c>
      <c r="K481" s="4">
        <v>6083.2</v>
      </c>
      <c r="L481" s="6">
        <v>83.482461439999994</v>
      </c>
      <c r="M481" s="6">
        <f>Table2[[#This Row],[% of Solo Streams]]/100</f>
        <v>0.8348246144</v>
      </c>
      <c r="N481" s="3">
        <v>1203.5999999999999</v>
      </c>
      <c r="O481" s="5">
        <v>16.517538559999998</v>
      </c>
      <c r="P481" s="6">
        <f>Table2[[#This Row],[% of Collaborative Streams]]/100</f>
        <v>0.16517538559999997</v>
      </c>
    </row>
    <row r="482" spans="1:16" x14ac:dyDescent="0.3">
      <c r="A482" s="2" t="s">
        <v>574</v>
      </c>
      <c r="B482" s="2" t="s">
        <v>14</v>
      </c>
      <c r="C482" s="2" t="s">
        <v>166</v>
      </c>
      <c r="D482" s="2" t="s">
        <v>167</v>
      </c>
      <c r="E482" s="2" t="s">
        <v>82</v>
      </c>
      <c r="F482" s="2" t="s">
        <v>48</v>
      </c>
      <c r="G482" s="4">
        <v>2016</v>
      </c>
      <c r="H482" s="4">
        <v>7277.6</v>
      </c>
      <c r="I482" s="4">
        <v>6836.9</v>
      </c>
      <c r="J482" s="4">
        <v>455.9</v>
      </c>
      <c r="K482" s="4">
        <v>3003</v>
      </c>
      <c r="L482" s="6">
        <v>41.26360339</v>
      </c>
      <c r="M482" s="6">
        <f>Table2[[#This Row],[% of Solo Streams]]/100</f>
        <v>0.41263603389999998</v>
      </c>
      <c r="N482" s="3">
        <v>4274.6000000000004</v>
      </c>
      <c r="O482" s="5">
        <v>58.73639661</v>
      </c>
      <c r="P482" s="6">
        <f>Table2[[#This Row],[% of Collaborative Streams]]/100</f>
        <v>0.58736396609999997</v>
      </c>
    </row>
    <row r="483" spans="1:16" x14ac:dyDescent="0.3">
      <c r="A483" s="2" t="s">
        <v>575</v>
      </c>
      <c r="B483" s="2" t="s">
        <v>20</v>
      </c>
      <c r="C483" s="2" t="s">
        <v>222</v>
      </c>
      <c r="D483" s="2" t="s">
        <v>24</v>
      </c>
      <c r="E483" s="2" t="s">
        <v>82</v>
      </c>
      <c r="F483" s="2" t="s">
        <v>18</v>
      </c>
      <c r="G483" s="4">
        <v>2019</v>
      </c>
      <c r="H483" s="4">
        <v>7256.2</v>
      </c>
      <c r="I483" s="4">
        <v>2470.4</v>
      </c>
      <c r="J483" s="4">
        <v>4785.8</v>
      </c>
      <c r="K483" s="4">
        <v>976.1</v>
      </c>
      <c r="L483" s="6">
        <v>13.45194454</v>
      </c>
      <c r="M483" s="6">
        <f>Table2[[#This Row],[% of Solo Streams]]/100</f>
        <v>0.13451944539999999</v>
      </c>
      <c r="N483" s="3">
        <v>6280.1</v>
      </c>
      <c r="O483" s="5">
        <v>86.54805546</v>
      </c>
      <c r="P483" s="6">
        <f>Table2[[#This Row],[% of Collaborative Streams]]/100</f>
        <v>0.86548055459999995</v>
      </c>
    </row>
    <row r="484" spans="1:16" x14ac:dyDescent="0.3">
      <c r="A484" s="2" t="s">
        <v>576</v>
      </c>
      <c r="B484" s="2" t="s">
        <v>14</v>
      </c>
      <c r="C484" s="2" t="s">
        <v>21</v>
      </c>
      <c r="D484" s="2" t="s">
        <v>16</v>
      </c>
      <c r="E484" s="2" t="s">
        <v>17</v>
      </c>
      <c r="F484" s="2" t="s">
        <v>18</v>
      </c>
      <c r="G484" s="4">
        <v>2012</v>
      </c>
      <c r="H484" s="4">
        <v>7252.1</v>
      </c>
      <c r="I484" s="4">
        <v>4583.7</v>
      </c>
      <c r="J484" s="4">
        <v>2668.4</v>
      </c>
      <c r="K484" s="4">
        <v>2499</v>
      </c>
      <c r="L484" s="6">
        <v>34.458984289999997</v>
      </c>
      <c r="M484" s="6">
        <f>Table2[[#This Row],[% of Solo Streams]]/100</f>
        <v>0.34458984289999994</v>
      </c>
      <c r="N484" s="3">
        <v>4753.1000000000004</v>
      </c>
      <c r="O484" s="5">
        <v>65.541015709999996</v>
      </c>
      <c r="P484" s="6">
        <f>Table2[[#This Row],[% of Collaborative Streams]]/100</f>
        <v>0.65541015709999995</v>
      </c>
    </row>
    <row r="485" spans="1:16" x14ac:dyDescent="0.3">
      <c r="A485" s="2" t="s">
        <v>577</v>
      </c>
      <c r="B485" s="2" t="s">
        <v>20</v>
      </c>
      <c r="C485" s="2" t="s">
        <v>407</v>
      </c>
      <c r="D485" s="2" t="s">
        <v>408</v>
      </c>
      <c r="E485" s="2" t="s">
        <v>22</v>
      </c>
      <c r="F485" s="2" t="s">
        <v>18</v>
      </c>
      <c r="G485" s="4">
        <v>1997</v>
      </c>
      <c r="H485" s="4">
        <v>7239.7</v>
      </c>
      <c r="I485" s="4">
        <v>0</v>
      </c>
      <c r="J485" s="4">
        <v>7239.7</v>
      </c>
      <c r="K485" s="4">
        <v>0</v>
      </c>
      <c r="L485" s="6">
        <v>0</v>
      </c>
      <c r="M485" s="6">
        <f>Table2[[#This Row],[% of Solo Streams]]/100</f>
        <v>0</v>
      </c>
      <c r="N485" s="3">
        <v>7239.7</v>
      </c>
      <c r="O485" s="5">
        <v>100</v>
      </c>
      <c r="P485" s="6">
        <f>Table2[[#This Row],[% of Collaborative Streams]]/100</f>
        <v>1</v>
      </c>
    </row>
    <row r="486" spans="1:16" x14ac:dyDescent="0.3">
      <c r="A486" s="2" t="s">
        <v>578</v>
      </c>
      <c r="B486" s="2" t="s">
        <v>14</v>
      </c>
      <c r="C486" s="2" t="s">
        <v>21</v>
      </c>
      <c r="D486" s="2" t="s">
        <v>16</v>
      </c>
      <c r="E486" s="2" t="s">
        <v>17</v>
      </c>
      <c r="F486" s="2" t="s">
        <v>18</v>
      </c>
      <c r="G486" s="4">
        <v>2008</v>
      </c>
      <c r="H486" s="4">
        <v>7237.6</v>
      </c>
      <c r="I486" s="4">
        <v>0</v>
      </c>
      <c r="J486" s="4">
        <v>7237.6</v>
      </c>
      <c r="K486" s="4">
        <v>0</v>
      </c>
      <c r="L486" s="6">
        <v>0</v>
      </c>
      <c r="M486" s="6">
        <f>Table2[[#This Row],[% of Solo Streams]]/100</f>
        <v>0</v>
      </c>
      <c r="N486" s="3">
        <v>7237.6</v>
      </c>
      <c r="O486" s="5">
        <v>100</v>
      </c>
      <c r="P486" s="6">
        <f>Table2[[#This Row],[% of Collaborative Streams]]/100</f>
        <v>1</v>
      </c>
    </row>
    <row r="487" spans="1:16" x14ac:dyDescent="0.3">
      <c r="A487" s="2" t="s">
        <v>579</v>
      </c>
      <c r="B487" s="2" t="s">
        <v>14</v>
      </c>
      <c r="C487" s="2" t="s">
        <v>242</v>
      </c>
      <c r="D487" s="2" t="s">
        <v>24</v>
      </c>
      <c r="E487" s="2" t="s">
        <v>17</v>
      </c>
      <c r="F487" s="2" t="s">
        <v>18</v>
      </c>
      <c r="G487" s="4">
        <v>2018</v>
      </c>
      <c r="H487" s="4">
        <v>7209.6</v>
      </c>
      <c r="I487" s="4">
        <v>3303.8</v>
      </c>
      <c r="J487" s="4">
        <v>3905.7</v>
      </c>
      <c r="K487" s="4">
        <v>2183.8000000000002</v>
      </c>
      <c r="L487" s="6">
        <v>30.290168659999999</v>
      </c>
      <c r="M487" s="6">
        <f>Table2[[#This Row],[% of Solo Streams]]/100</f>
        <v>0.3029016866</v>
      </c>
      <c r="N487" s="3">
        <v>5025.8</v>
      </c>
      <c r="O487" s="5">
        <v>69.709831339999994</v>
      </c>
      <c r="P487" s="6">
        <f>Table2[[#This Row],[% of Collaborative Streams]]/100</f>
        <v>0.69709831339999995</v>
      </c>
    </row>
    <row r="488" spans="1:16" x14ac:dyDescent="0.3">
      <c r="A488" s="2" t="s">
        <v>580</v>
      </c>
      <c r="B488" s="2" t="s">
        <v>14</v>
      </c>
      <c r="C488" s="2" t="s">
        <v>33</v>
      </c>
      <c r="D488" s="2" t="s">
        <v>16</v>
      </c>
      <c r="E488" s="2" t="s">
        <v>22</v>
      </c>
      <c r="F488" s="2" t="s">
        <v>18</v>
      </c>
      <c r="G488" s="4">
        <v>2016</v>
      </c>
      <c r="H488" s="4">
        <v>7192.6</v>
      </c>
      <c r="I488" s="4">
        <v>4689.2</v>
      </c>
      <c r="J488" s="4">
        <v>2505.3000000000002</v>
      </c>
      <c r="K488" s="4">
        <v>3982.2</v>
      </c>
      <c r="L488" s="6">
        <v>55.365236490000001</v>
      </c>
      <c r="M488" s="6">
        <f>Table2[[#This Row],[% of Solo Streams]]/100</f>
        <v>0.55365236490000003</v>
      </c>
      <c r="N488" s="3">
        <v>3210.4</v>
      </c>
      <c r="O488" s="5">
        <v>44.634763509999999</v>
      </c>
      <c r="P488" s="6">
        <f>Table2[[#This Row],[% of Collaborative Streams]]/100</f>
        <v>0.44634763509999997</v>
      </c>
    </row>
    <row r="489" spans="1:16" x14ac:dyDescent="0.3">
      <c r="A489" s="2" t="s">
        <v>581</v>
      </c>
      <c r="B489" s="2" t="s">
        <v>14</v>
      </c>
      <c r="C489" s="2" t="s">
        <v>45</v>
      </c>
      <c r="D489" s="2" t="s">
        <v>46</v>
      </c>
      <c r="E489" s="2" t="s">
        <v>47</v>
      </c>
      <c r="F489" s="2" t="s">
        <v>48</v>
      </c>
      <c r="G489" s="4">
        <v>2019</v>
      </c>
      <c r="H489" s="4">
        <v>7182.1</v>
      </c>
      <c r="I489" s="4">
        <v>6877.5</v>
      </c>
      <c r="J489" s="4">
        <v>304.7</v>
      </c>
      <c r="K489" s="4">
        <v>6118.4</v>
      </c>
      <c r="L489" s="6">
        <v>85.189568510000001</v>
      </c>
      <c r="M489" s="6">
        <f>Table2[[#This Row],[% of Solo Streams]]/100</f>
        <v>0.85189568510000002</v>
      </c>
      <c r="N489" s="3">
        <v>1063.7</v>
      </c>
      <c r="O489" s="5">
        <v>14.810431489999999</v>
      </c>
      <c r="P489" s="6">
        <f>Table2[[#This Row],[% of Collaborative Streams]]/100</f>
        <v>0.14810431489999998</v>
      </c>
    </row>
    <row r="490" spans="1:16" x14ac:dyDescent="0.3">
      <c r="A490" s="2" t="s">
        <v>582</v>
      </c>
      <c r="B490" s="2" t="s">
        <v>14</v>
      </c>
      <c r="C490" s="2" t="s">
        <v>89</v>
      </c>
      <c r="D490" s="2" t="s">
        <v>24</v>
      </c>
      <c r="E490" s="2" t="s">
        <v>90</v>
      </c>
      <c r="F490" s="2" t="s">
        <v>48</v>
      </c>
      <c r="G490" s="4">
        <v>2015</v>
      </c>
      <c r="H490" s="4">
        <v>7123.4</v>
      </c>
      <c r="I490" s="4">
        <v>5595.9</v>
      </c>
      <c r="J490" s="4">
        <v>1527.5</v>
      </c>
      <c r="K490" s="4">
        <v>3002</v>
      </c>
      <c r="L490" s="6">
        <v>42.14279698</v>
      </c>
      <c r="M490" s="6">
        <f>Table2[[#This Row],[% of Solo Streams]]/100</f>
        <v>0.42142796980000002</v>
      </c>
      <c r="N490" s="3">
        <v>4121.3999999999996</v>
      </c>
      <c r="O490" s="5">
        <v>57.85720302</v>
      </c>
      <c r="P490" s="6">
        <f>Table2[[#This Row],[% of Collaborative Streams]]/100</f>
        <v>0.57857203020000003</v>
      </c>
    </row>
    <row r="491" spans="1:16" x14ac:dyDescent="0.3">
      <c r="A491" s="2" t="s">
        <v>583</v>
      </c>
      <c r="B491" s="2" t="s">
        <v>14</v>
      </c>
      <c r="C491" s="2" t="s">
        <v>21</v>
      </c>
      <c r="D491" s="2" t="s">
        <v>16</v>
      </c>
      <c r="E491" s="2" t="s">
        <v>22</v>
      </c>
      <c r="F491" s="2" t="s">
        <v>18</v>
      </c>
      <c r="G491" s="4">
        <v>2007</v>
      </c>
      <c r="H491" s="4">
        <v>7114.1</v>
      </c>
      <c r="I491" s="4">
        <v>4400.3</v>
      </c>
      <c r="J491" s="4">
        <v>2716</v>
      </c>
      <c r="K491" s="4">
        <v>3.9</v>
      </c>
      <c r="L491" s="6">
        <v>5.4820708170000003E-2</v>
      </c>
      <c r="M491" s="6">
        <f>Table2[[#This Row],[% of Solo Streams]]/100</f>
        <v>5.4820708170000006E-4</v>
      </c>
      <c r="N491" s="3">
        <v>7110.2</v>
      </c>
      <c r="O491" s="5">
        <v>99.945179289999999</v>
      </c>
      <c r="P491" s="6">
        <f>Table2[[#This Row],[% of Collaborative Streams]]/100</f>
        <v>0.99945179289999997</v>
      </c>
    </row>
    <row r="492" spans="1:16" x14ac:dyDescent="0.3">
      <c r="A492" s="2" t="s">
        <v>584</v>
      </c>
      <c r="B492" s="2" t="s">
        <v>14</v>
      </c>
      <c r="C492" s="2" t="s">
        <v>21</v>
      </c>
      <c r="D492" s="2" t="s">
        <v>16</v>
      </c>
      <c r="E492" s="2" t="s">
        <v>17</v>
      </c>
      <c r="F492" s="2" t="s">
        <v>18</v>
      </c>
      <c r="G492" s="4">
        <v>2010</v>
      </c>
      <c r="H492" s="4">
        <v>7073.7</v>
      </c>
      <c r="I492" s="4">
        <v>2882.3</v>
      </c>
      <c r="J492" s="4">
        <v>4191.3999999999996</v>
      </c>
      <c r="K492" s="4">
        <v>1158.3</v>
      </c>
      <c r="L492" s="6">
        <v>16.37474023</v>
      </c>
      <c r="M492" s="6">
        <f>Table2[[#This Row],[% of Solo Streams]]/100</f>
        <v>0.16374740230000001</v>
      </c>
      <c r="N492" s="3">
        <v>5915.4</v>
      </c>
      <c r="O492" s="5">
        <v>83.62525977</v>
      </c>
      <c r="P492" s="6">
        <f>Table2[[#This Row],[% of Collaborative Streams]]/100</f>
        <v>0.83625259770000004</v>
      </c>
    </row>
    <row r="493" spans="1:16" x14ac:dyDescent="0.3">
      <c r="A493" s="2" t="s">
        <v>585</v>
      </c>
      <c r="B493" s="2" t="s">
        <v>14</v>
      </c>
      <c r="C493" s="2" t="s">
        <v>21</v>
      </c>
      <c r="D493" s="2" t="s">
        <v>16</v>
      </c>
      <c r="E493" s="2" t="s">
        <v>17</v>
      </c>
      <c r="F493" s="2" t="s">
        <v>18</v>
      </c>
      <c r="G493" s="4">
        <v>2017</v>
      </c>
      <c r="H493" s="4">
        <v>7061.3</v>
      </c>
      <c r="I493" s="4">
        <v>7067.3</v>
      </c>
      <c r="J493" s="4">
        <v>0</v>
      </c>
      <c r="K493" s="4">
        <v>4346.8</v>
      </c>
      <c r="L493" s="6">
        <v>61.558070039999997</v>
      </c>
      <c r="M493" s="6">
        <f>Table2[[#This Row],[% of Solo Streams]]/100</f>
        <v>0.61558070040000001</v>
      </c>
      <c r="N493" s="3">
        <v>2714.5</v>
      </c>
      <c r="O493" s="5">
        <v>38.441929960000003</v>
      </c>
      <c r="P493" s="6">
        <f>Table2[[#This Row],[% of Collaborative Streams]]/100</f>
        <v>0.38441929960000004</v>
      </c>
    </row>
    <row r="494" spans="1:16" x14ac:dyDescent="0.3">
      <c r="A494" s="2" t="s">
        <v>586</v>
      </c>
      <c r="B494" s="2" t="s">
        <v>14</v>
      </c>
      <c r="C494" s="2" t="s">
        <v>89</v>
      </c>
      <c r="D494" s="2" t="s">
        <v>24</v>
      </c>
      <c r="E494" s="2" t="s">
        <v>82</v>
      </c>
      <c r="F494" s="2" t="s">
        <v>18</v>
      </c>
      <c r="G494" s="4">
        <v>1971</v>
      </c>
      <c r="H494" s="4">
        <v>7059.2</v>
      </c>
      <c r="I494" s="4">
        <v>6505.8</v>
      </c>
      <c r="J494" s="4">
        <v>557.1</v>
      </c>
      <c r="K494" s="4">
        <v>5676.3</v>
      </c>
      <c r="L494" s="6">
        <v>80.409961469999999</v>
      </c>
      <c r="M494" s="6">
        <f>Table2[[#This Row],[% of Solo Streams]]/100</f>
        <v>0.80409961470000002</v>
      </c>
      <c r="N494" s="3">
        <v>1382.9</v>
      </c>
      <c r="O494" s="5">
        <v>19.590038530000001</v>
      </c>
      <c r="P494" s="6">
        <f>Table2[[#This Row],[% of Collaborative Streams]]/100</f>
        <v>0.19590038530000001</v>
      </c>
    </row>
    <row r="495" spans="1:16" x14ac:dyDescent="0.3">
      <c r="A495" s="2" t="s">
        <v>587</v>
      </c>
      <c r="B495" s="2" t="s">
        <v>14</v>
      </c>
      <c r="C495" s="2" t="s">
        <v>89</v>
      </c>
      <c r="D495" s="2" t="s">
        <v>24</v>
      </c>
      <c r="E495" s="2" t="s">
        <v>82</v>
      </c>
      <c r="F495" s="2" t="s">
        <v>48</v>
      </c>
      <c r="G495" s="4">
        <v>1977</v>
      </c>
      <c r="H495" s="4">
        <v>7059.2</v>
      </c>
      <c r="I495" s="4">
        <v>6607.2</v>
      </c>
      <c r="J495" s="4">
        <v>446.9</v>
      </c>
      <c r="K495" s="4">
        <v>7059.2</v>
      </c>
      <c r="L495" s="6">
        <v>100</v>
      </c>
      <c r="M495" s="6">
        <f>Table2[[#This Row],[% of Solo Streams]]/100</f>
        <v>1</v>
      </c>
      <c r="N495" s="3">
        <v>0</v>
      </c>
      <c r="O495" s="5">
        <v>0</v>
      </c>
      <c r="P495" s="6">
        <f>Table2[[#This Row],[% of Collaborative Streams]]/100</f>
        <v>0</v>
      </c>
    </row>
    <row r="496" spans="1:16" x14ac:dyDescent="0.3">
      <c r="A496" s="2" t="s">
        <v>588</v>
      </c>
      <c r="B496" s="2" t="s">
        <v>14</v>
      </c>
      <c r="C496" s="2" t="s">
        <v>21</v>
      </c>
      <c r="D496" s="2" t="s">
        <v>16</v>
      </c>
      <c r="E496" s="2" t="s">
        <v>22</v>
      </c>
      <c r="F496" s="2" t="s">
        <v>18</v>
      </c>
      <c r="G496" s="4">
        <v>2002</v>
      </c>
      <c r="H496" s="4">
        <v>7048.5</v>
      </c>
      <c r="I496" s="4">
        <v>6851.4</v>
      </c>
      <c r="J496" s="4">
        <v>199.1</v>
      </c>
      <c r="K496" s="4">
        <v>5805</v>
      </c>
      <c r="L496" s="6">
        <v>82.357948500000006</v>
      </c>
      <c r="M496" s="6">
        <f>Table2[[#This Row],[% of Solo Streams]]/100</f>
        <v>0.82357948500000011</v>
      </c>
      <c r="N496" s="3">
        <v>1243.5</v>
      </c>
      <c r="O496" s="5">
        <v>17.642051500000001</v>
      </c>
      <c r="P496" s="6">
        <f>Table2[[#This Row],[% of Collaborative Streams]]/100</f>
        <v>0.176420515</v>
      </c>
    </row>
    <row r="497" spans="1:16" x14ac:dyDescent="0.3">
      <c r="A497" s="2" t="s">
        <v>589</v>
      </c>
      <c r="B497" s="2" t="s">
        <v>14</v>
      </c>
      <c r="C497" s="2" t="s">
        <v>33</v>
      </c>
      <c r="D497" s="2" t="s">
        <v>16</v>
      </c>
      <c r="E497" s="2" t="s">
        <v>51</v>
      </c>
      <c r="F497" s="2" t="s">
        <v>48</v>
      </c>
      <c r="G497" s="4">
        <v>1979</v>
      </c>
      <c r="H497" s="4">
        <v>7034.1</v>
      </c>
      <c r="I497" s="4">
        <v>7035</v>
      </c>
      <c r="J497" s="4">
        <v>3.3</v>
      </c>
      <c r="K497" s="4">
        <v>6940.1</v>
      </c>
      <c r="L497" s="6">
        <v>98.663652780000007</v>
      </c>
      <c r="M497" s="6">
        <f>Table2[[#This Row],[% of Solo Streams]]/100</f>
        <v>0.98663652780000011</v>
      </c>
      <c r="N497" s="3">
        <v>94</v>
      </c>
      <c r="O497" s="5">
        <v>1.336347223</v>
      </c>
      <c r="P497" s="6">
        <f>Table2[[#This Row],[% of Collaborative Streams]]/100</f>
        <v>1.3363472229999999E-2</v>
      </c>
    </row>
    <row r="498" spans="1:16" x14ac:dyDescent="0.3">
      <c r="A498" s="2" t="s">
        <v>590</v>
      </c>
      <c r="B498" s="2" t="s">
        <v>78</v>
      </c>
      <c r="C498" s="2" t="s">
        <v>21</v>
      </c>
      <c r="D498" s="2" t="s">
        <v>16</v>
      </c>
      <c r="E498" s="2" t="s">
        <v>22</v>
      </c>
      <c r="F498" s="2" t="s">
        <v>48</v>
      </c>
      <c r="G498" s="4">
        <v>2017</v>
      </c>
      <c r="H498" s="4">
        <v>7029.1</v>
      </c>
      <c r="I498" s="4">
        <v>5774.4</v>
      </c>
      <c r="J498" s="4">
        <v>1261.4000000000001</v>
      </c>
      <c r="K498" s="4">
        <v>5705.9</v>
      </c>
      <c r="L498" s="6">
        <v>81.175399409999997</v>
      </c>
      <c r="M498" s="6">
        <f>Table2[[#This Row],[% of Solo Streams]]/100</f>
        <v>0.81175399409999993</v>
      </c>
      <c r="N498" s="3">
        <v>1323.2</v>
      </c>
      <c r="O498" s="5">
        <v>18.824600589999999</v>
      </c>
      <c r="P498" s="6">
        <f>Table2[[#This Row],[% of Collaborative Streams]]/100</f>
        <v>0.18824600589999999</v>
      </c>
    </row>
    <row r="499" spans="1:16" x14ac:dyDescent="0.3">
      <c r="A499" s="2" t="s">
        <v>591</v>
      </c>
      <c r="B499" s="2" t="s">
        <v>14</v>
      </c>
      <c r="C499" s="2" t="s">
        <v>21</v>
      </c>
      <c r="D499" s="2" t="s">
        <v>16</v>
      </c>
      <c r="E499" s="2" t="s">
        <v>592</v>
      </c>
      <c r="F499" s="2" t="s">
        <v>48</v>
      </c>
      <c r="G499" s="4">
        <v>1997</v>
      </c>
      <c r="H499" s="4">
        <v>7018.9</v>
      </c>
      <c r="I499" s="4">
        <v>7018.4</v>
      </c>
      <c r="J499" s="4">
        <v>5.4</v>
      </c>
      <c r="K499" s="4">
        <v>6806</v>
      </c>
      <c r="L499" s="6">
        <v>96.966761169999998</v>
      </c>
      <c r="M499" s="6">
        <f>Table2[[#This Row],[% of Solo Streams]]/100</f>
        <v>0.96966761169999993</v>
      </c>
      <c r="N499" s="3">
        <v>212.9</v>
      </c>
      <c r="O499" s="5">
        <v>3.0332388269999999</v>
      </c>
      <c r="P499" s="6">
        <f>Table2[[#This Row],[% of Collaborative Streams]]/100</f>
        <v>3.033238827E-2</v>
      </c>
    </row>
    <row r="500" spans="1:16" x14ac:dyDescent="0.3">
      <c r="A500" s="2" t="s">
        <v>593</v>
      </c>
      <c r="B500" s="2" t="s">
        <v>14</v>
      </c>
      <c r="C500" s="2" t="s">
        <v>21</v>
      </c>
      <c r="D500" s="2" t="s">
        <v>16</v>
      </c>
      <c r="E500" s="2" t="s">
        <v>291</v>
      </c>
      <c r="F500" s="2" t="s">
        <v>48</v>
      </c>
      <c r="G500" s="4">
        <v>1994</v>
      </c>
      <c r="H500" s="4">
        <v>6976.4</v>
      </c>
      <c r="I500" s="4">
        <v>4188.3999999999996</v>
      </c>
      <c r="J500" s="4">
        <v>2798.5</v>
      </c>
      <c r="K500" s="4">
        <v>6414.9</v>
      </c>
      <c r="L500" s="6">
        <v>91.951436270000002</v>
      </c>
      <c r="M500" s="6">
        <f>Table2[[#This Row],[% of Solo Streams]]/100</f>
        <v>0.91951436269999998</v>
      </c>
      <c r="N500" s="3">
        <v>561.5</v>
      </c>
      <c r="O500" s="5">
        <v>8.0485637289999996</v>
      </c>
      <c r="P500" s="6">
        <f>Table2[[#This Row],[% of Collaborative Streams]]/100</f>
        <v>8.0485637289999995E-2</v>
      </c>
    </row>
    <row r="501" spans="1:16" x14ac:dyDescent="0.3">
      <c r="A501" s="2" t="s">
        <v>594</v>
      </c>
      <c r="B501" s="2" t="s">
        <v>14</v>
      </c>
      <c r="C501" s="2" t="s">
        <v>21</v>
      </c>
      <c r="D501" s="2" t="s">
        <v>24</v>
      </c>
      <c r="E501" s="2" t="s">
        <v>25</v>
      </c>
      <c r="F501" s="2" t="s">
        <v>18</v>
      </c>
      <c r="G501" s="4">
        <v>2017</v>
      </c>
      <c r="H501" s="4">
        <v>6972</v>
      </c>
      <c r="I501" s="4">
        <v>6956</v>
      </c>
      <c r="J501" s="4">
        <v>20.3</v>
      </c>
      <c r="K501" s="4">
        <v>1876.2</v>
      </c>
      <c r="L501" s="6">
        <v>26.910499139999999</v>
      </c>
      <c r="M501" s="6">
        <f>Table2[[#This Row],[% of Solo Streams]]/100</f>
        <v>0.26910499139999999</v>
      </c>
      <c r="N501" s="3">
        <v>5095.8</v>
      </c>
      <c r="O501" s="5">
        <v>73.089500860000001</v>
      </c>
      <c r="P501" s="6">
        <f>Table2[[#This Row],[% of Collaborative Streams]]/100</f>
        <v>0.73089500860000001</v>
      </c>
    </row>
    <row r="505" spans="1:16" x14ac:dyDescent="0.3">
      <c r="K505" t="s">
        <v>597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17FA9-4022-4DAD-B165-B5A0BEAE25CD}">
  <sheetPr codeName="Sheet3"/>
  <dimension ref="A1:T505"/>
  <sheetViews>
    <sheetView zoomScale="76" workbookViewId="0">
      <selection activeCell="V11" sqref="V11"/>
    </sheetView>
  </sheetViews>
  <sheetFormatPr defaultRowHeight="14.4" x14ac:dyDescent="0.3"/>
  <cols>
    <col min="1" max="1" width="22.77734375" bestFit="1" customWidth="1"/>
    <col min="2" max="2" width="25.109375" bestFit="1" customWidth="1"/>
    <col min="3" max="3" width="17.33203125" customWidth="1"/>
    <col min="4" max="4" width="18" customWidth="1"/>
    <col min="5" max="5" width="14.88671875" customWidth="1"/>
    <col min="6" max="6" width="12.33203125" customWidth="1"/>
    <col min="7" max="7" width="12.109375" customWidth="1"/>
    <col min="8" max="8" width="20.21875" bestFit="1" customWidth="1"/>
    <col min="9" max="9" width="24.5546875" customWidth="1"/>
    <col min="10" max="10" width="24.33203125" customWidth="1"/>
    <col min="11" max="11" width="26.6640625" customWidth="1"/>
    <col min="12" max="12" width="24" customWidth="1"/>
    <col min="13" max="13" width="18.88671875" style="6" customWidth="1"/>
    <col min="14" max="14" width="32.33203125" bestFit="1" customWidth="1"/>
    <col min="15" max="15" width="26.77734375" style="5" bestFit="1" customWidth="1"/>
    <col min="16" max="16" width="19.44140625" bestFit="1" customWidth="1"/>
    <col min="17" max="17" width="19.44140625" customWidth="1"/>
    <col min="18" max="18" width="19.109375" bestFit="1" customWidth="1"/>
    <col min="19" max="19" width="18.6640625" bestFit="1" customWidth="1"/>
    <col min="20" max="20" width="27.33203125" bestFit="1" customWidth="1"/>
  </cols>
  <sheetData>
    <row r="1" spans="1:20" x14ac:dyDescent="0.3">
      <c r="A1" s="1" t="s">
        <v>0</v>
      </c>
      <c r="B1" s="1" t="s">
        <v>595</v>
      </c>
      <c r="C1" s="1" t="s">
        <v>1</v>
      </c>
      <c r="D1" s="1" t="s">
        <v>2</v>
      </c>
      <c r="E1" s="1" t="s">
        <v>3</v>
      </c>
      <c r="F1" s="1" t="s">
        <v>4</v>
      </c>
      <c r="G1" s="1" t="s">
        <v>5</v>
      </c>
      <c r="H1" s="1" t="s">
        <v>605</v>
      </c>
      <c r="I1" s="1" t="s">
        <v>6</v>
      </c>
      <c r="J1" s="1" t="s">
        <v>7</v>
      </c>
      <c r="K1" s="1" t="s">
        <v>8</v>
      </c>
      <c r="L1" t="s">
        <v>9</v>
      </c>
      <c r="M1" s="6" t="s">
        <v>599</v>
      </c>
      <c r="N1" s="7" t="s">
        <v>11</v>
      </c>
      <c r="O1" s="5" t="s">
        <v>598</v>
      </c>
      <c r="P1" t="s">
        <v>600</v>
      </c>
      <c r="Q1" t="s">
        <v>620</v>
      </c>
      <c r="R1" t="s">
        <v>601</v>
      </c>
      <c r="S1" t="s">
        <v>602</v>
      </c>
      <c r="T1" t="s">
        <v>603</v>
      </c>
    </row>
    <row r="2" spans="1:20" x14ac:dyDescent="0.3">
      <c r="A2" s="18" t="s">
        <v>13</v>
      </c>
      <c r="B2" s="18" t="s">
        <v>14</v>
      </c>
      <c r="C2" s="9" t="s">
        <v>15</v>
      </c>
      <c r="D2" s="9" t="s">
        <v>16</v>
      </c>
      <c r="E2" s="9" t="s">
        <v>17</v>
      </c>
      <c r="F2" s="9" t="s">
        <v>18</v>
      </c>
      <c r="G2" s="10">
        <v>2006</v>
      </c>
      <c r="H2" s="10" t="str">
        <f>IF(Table3[[#This Row],[Debut Year]]&lt;=2000,"1999–2000",
IF(Table3[[#This Row],[Debut Year]]&lt;=2005,"2001–2005",
IF(Table3[[#This Row],[Debut Year]]&lt;=2010,"2006–2010",
IF(Table3[[#This Row],[Debut Year]]&lt;=2015,"2011–2015",
IF(Table3[[#This Row],[Debut Year]]&lt;=2020,"2016–2020",
"2021–2025")))))</f>
        <v>2006–2010</v>
      </c>
      <c r="I2" s="10">
        <v>137492.1</v>
      </c>
      <c r="J2" s="10">
        <v>94851.1</v>
      </c>
      <c r="K2" s="10">
        <v>42640.9</v>
      </c>
      <c r="L2" s="4">
        <v>53323.9</v>
      </c>
      <c r="M2" s="6">
        <f>Table2[[#This Row],[% of Solo Streams]]/100</f>
        <v>0.38783246459999998</v>
      </c>
      <c r="N2" s="3">
        <v>84168.2</v>
      </c>
      <c r="O2" s="6">
        <f>Table2[[#This Row],[% of Collaborative Streams]]/100</f>
        <v>0.61216753540000002</v>
      </c>
      <c r="P2" s="4">
        <f>Table3[[#This Row],[Lead Streams (in millions)]]+Table3[[#This Row],[Feature Streams (in millions)]]</f>
        <v>137492</v>
      </c>
      <c r="Q2" s="4">
        <f>_xlfn.RANK.EQ(Table3[[#This Row],[Total Stream]],Table3[Total Stream],0)</f>
        <v>1</v>
      </c>
      <c r="R2" s="4">
        <f>Table3[[#This Row],[Total Streams (in millions)]]-Table3[[#This Row],[Total Stream]]</f>
        <v>0.10000000000582077</v>
      </c>
      <c r="S2" s="8">
        <f>IFERROR(Table3[[#This Row],[Collaborative Streams (in millions)]]/Table3[[#This Row],[Total Stream]],0)</f>
        <v>0.61216798068251244</v>
      </c>
      <c r="T2" t="str">
        <f>IF(Table3[[#This Row],[Total Streams (in millions)]]&gt;=50000,"High Performer",IF(Table3[[#This Row],[Total Streams (in millions)]]&gt;=20000,"Medium Performer","Low Performer"))</f>
        <v>High Performer</v>
      </c>
    </row>
    <row r="3" spans="1:20" x14ac:dyDescent="0.3">
      <c r="A3" s="11" t="s">
        <v>19</v>
      </c>
      <c r="B3" s="11" t="s">
        <v>20</v>
      </c>
      <c r="C3" s="11" t="s">
        <v>21</v>
      </c>
      <c r="D3" s="11" t="s">
        <v>16</v>
      </c>
      <c r="E3" s="11" t="s">
        <v>22</v>
      </c>
      <c r="F3" s="11" t="s">
        <v>18</v>
      </c>
      <c r="G3" s="12">
        <v>2006</v>
      </c>
      <c r="H3" s="12" t="str">
        <f>IF(Table3[[#This Row],[Debut Year]]&lt;=2000,"1999–2000",
IF(Table3[[#This Row],[Debut Year]]&lt;=2005,"2001–2005",
IF(Table3[[#This Row],[Debut Year]]&lt;=2010,"2006–2010",
IF(Table3[[#This Row],[Debut Year]]&lt;=2015,"2011–2015",
IF(Table3[[#This Row],[Debut Year]]&lt;=2020,"2016–2020",
"2021–2025")))))</f>
        <v>2006–2010</v>
      </c>
      <c r="I3" s="12">
        <v>127861</v>
      </c>
      <c r="J3" s="12">
        <v>126177.3</v>
      </c>
      <c r="K3" s="12">
        <v>1683.8</v>
      </c>
      <c r="L3" s="4">
        <v>113421.5</v>
      </c>
      <c r="M3" s="6">
        <f>Table2[[#This Row],[% of Solo Streams]]/100</f>
        <v>0.88706877000000006</v>
      </c>
      <c r="N3" s="3">
        <v>14439.5</v>
      </c>
      <c r="O3" s="6">
        <f>Table2[[#This Row],[% of Collaborative Streams]]/100</f>
        <v>0.11293122999999999</v>
      </c>
      <c r="P3" s="4">
        <f>Table3[[#This Row],[Lead Streams (in millions)]]+Table3[[#This Row],[Feature Streams (in millions)]]</f>
        <v>127861.1</v>
      </c>
      <c r="Q3" s="4">
        <f>_xlfn.RANK.EQ(Table3[[#This Row],[Total Stream]],Table3[Total Stream],0)</f>
        <v>2</v>
      </c>
      <c r="R3" s="4">
        <f>Table3[[#This Row],[Total Streams (in millions)]]-Table3[[#This Row],[Total Stream]]</f>
        <v>-0.10000000000582077</v>
      </c>
      <c r="S3" s="8">
        <f>IFERROR(Table3[[#This Row],[Collaborative Streams (in millions)]]/Table3[[#This Row],[Total Stream]],0)</f>
        <v>0.11293114168421826</v>
      </c>
      <c r="T3" t="str">
        <f>IF(Table3[[#This Row],[Total Streams (in millions)]]&gt;=50000,"High Performer",IF(Table3[[#This Row],[Total Streams (in millions)]]&gt;=20000,"Medium Performer","Low Performer"))</f>
        <v>High Performer</v>
      </c>
    </row>
    <row r="4" spans="1:20" x14ac:dyDescent="0.3">
      <c r="A4" s="9" t="s">
        <v>23</v>
      </c>
      <c r="B4" s="9" t="s">
        <v>14</v>
      </c>
      <c r="C4" s="9" t="s">
        <v>21</v>
      </c>
      <c r="D4" s="9" t="s">
        <v>24</v>
      </c>
      <c r="E4" s="9" t="s">
        <v>25</v>
      </c>
      <c r="F4" s="9" t="s">
        <v>18</v>
      </c>
      <c r="G4" s="10">
        <v>2013</v>
      </c>
      <c r="H4" s="10" t="str">
        <f>IF(Table3[[#This Row],[Debut Year]]&lt;=2000,"1999–2000",
IF(Table3[[#This Row],[Debut Year]]&lt;=2005,"2001–2005",
IF(Table3[[#This Row],[Debut Year]]&lt;=2010,"2006–2010",
IF(Table3[[#This Row],[Debut Year]]&lt;=2015,"2011–2015",
IF(Table3[[#This Row],[Debut Year]]&lt;=2020,"2016–2020",
"2021–2025")))))</f>
        <v>2011–2015</v>
      </c>
      <c r="I4" s="10">
        <v>125899.8</v>
      </c>
      <c r="J4" s="10">
        <v>82189.3</v>
      </c>
      <c r="K4" s="10">
        <v>43710.5</v>
      </c>
      <c r="L4" s="4">
        <v>48887</v>
      </c>
      <c r="M4" s="6">
        <f>Table2[[#This Row],[% of Solo Streams]]/100</f>
        <v>0.38830085510000001</v>
      </c>
      <c r="N4" s="3">
        <v>77012.800000000003</v>
      </c>
      <c r="O4" s="6">
        <f>Table2[[#This Row],[% of Collaborative Streams]]/100</f>
        <v>0.61169914489999999</v>
      </c>
      <c r="P4" s="4">
        <f>Table3[[#This Row],[Lead Streams (in millions)]]+Table3[[#This Row],[Feature Streams (in millions)]]</f>
        <v>125899.8</v>
      </c>
      <c r="Q4" s="4">
        <f>_xlfn.RANK.EQ(Table3[[#This Row],[Total Stream]],Table3[Total Stream],0)</f>
        <v>3</v>
      </c>
      <c r="R4" s="4">
        <f>Table3[[#This Row],[Total Streams (in millions)]]-Table3[[#This Row],[Total Stream]]</f>
        <v>0</v>
      </c>
      <c r="S4" s="8">
        <f>IFERROR(Table3[[#This Row],[Collaborative Streams (in millions)]]/Table3[[#This Row],[Total Stream]],0)</f>
        <v>0.61169914487552801</v>
      </c>
      <c r="T4" t="str">
        <f>IF(Table3[[#This Row],[Total Streams (in millions)]]&gt;=50000,"High Performer",IF(Table3[[#This Row],[Total Streams (in millions)]]&gt;=20000,"Medium Performer","Low Performer"))</f>
        <v>High Performer</v>
      </c>
    </row>
    <row r="5" spans="1:20" x14ac:dyDescent="0.3">
      <c r="A5" s="11" t="s">
        <v>26</v>
      </c>
      <c r="B5" s="11" t="s">
        <v>14</v>
      </c>
      <c r="C5" s="11" t="s">
        <v>15</v>
      </c>
      <c r="D5" s="11" t="s">
        <v>16</v>
      </c>
      <c r="E5" s="11" t="s">
        <v>27</v>
      </c>
      <c r="F5" s="11" t="s">
        <v>18</v>
      </c>
      <c r="G5" s="12">
        <v>2009</v>
      </c>
      <c r="H5" s="12" t="str">
        <f>IF(Table3[[#This Row],[Debut Year]]&lt;=2000,"1999–2000",
IF(Table3[[#This Row],[Debut Year]]&lt;=2005,"2001–2005",
IF(Table3[[#This Row],[Debut Year]]&lt;=2010,"2006–2010",
IF(Table3[[#This Row],[Debut Year]]&lt;=2015,"2011–2015",
IF(Table3[[#This Row],[Debut Year]]&lt;=2020,"2016–2020",
"2021–2025")))))</f>
        <v>2006–2010</v>
      </c>
      <c r="I5" s="12">
        <v>95703.2</v>
      </c>
      <c r="J5" s="12">
        <v>77189.399999999994</v>
      </c>
      <c r="K5" s="12">
        <v>18513.8</v>
      </c>
      <c r="L5" s="4">
        <v>51020</v>
      </c>
      <c r="M5" s="6">
        <f>Table2[[#This Row],[% of Solo Streams]]/100</f>
        <v>0.533106521</v>
      </c>
      <c r="N5" s="3">
        <v>44683.199999999997</v>
      </c>
      <c r="O5" s="6">
        <f>Table2[[#This Row],[% of Collaborative Streams]]/100</f>
        <v>0.466893479</v>
      </c>
      <c r="P5" s="4">
        <f>Table3[[#This Row],[Lead Streams (in millions)]]+Table3[[#This Row],[Feature Streams (in millions)]]</f>
        <v>95703.2</v>
      </c>
      <c r="Q5" s="4">
        <f>_xlfn.RANK.EQ(Table3[[#This Row],[Total Stream]],Table3[Total Stream],0)</f>
        <v>4</v>
      </c>
      <c r="R5" s="4">
        <f>Table3[[#This Row],[Total Streams (in millions)]]-Table3[[#This Row],[Total Stream]]</f>
        <v>0</v>
      </c>
      <c r="S5" s="8">
        <f>IFERROR(Table3[[#This Row],[Collaborative Streams (in millions)]]/Table3[[#This Row],[Total Stream]],0)</f>
        <v>0.46689347900592665</v>
      </c>
      <c r="T5" t="str">
        <f>IF(Table3[[#This Row],[Total Streams (in millions)]]&gt;=50000,"High Performer",IF(Table3[[#This Row],[Total Streams (in millions)]]&gt;=20000,"Medium Performer","Low Performer"))</f>
        <v>High Performer</v>
      </c>
    </row>
    <row r="6" spans="1:20" x14ac:dyDescent="0.3">
      <c r="A6" s="9" t="s">
        <v>28</v>
      </c>
      <c r="B6" s="9" t="s">
        <v>14</v>
      </c>
      <c r="C6" s="9" t="s">
        <v>15</v>
      </c>
      <c r="D6" s="9" t="s">
        <v>16</v>
      </c>
      <c r="E6" s="9" t="s">
        <v>22</v>
      </c>
      <c r="F6" s="9" t="s">
        <v>18</v>
      </c>
      <c r="G6" s="10">
        <v>2009</v>
      </c>
      <c r="H6" s="10" t="str">
        <f>IF(Table3[[#This Row],[Debut Year]]&lt;=2000,"1999–2000",
IF(Table3[[#This Row],[Debut Year]]&lt;=2005,"2001–2005",
IF(Table3[[#This Row],[Debut Year]]&lt;=2010,"2006–2010",
IF(Table3[[#This Row],[Debut Year]]&lt;=2015,"2011–2015",
IF(Table3[[#This Row],[Debut Year]]&lt;=2020,"2016–2020",
"2021–2025")))))</f>
        <v>2006–2010</v>
      </c>
      <c r="I6" s="10">
        <v>78104.399999999994</v>
      </c>
      <c r="J6" s="10">
        <v>48316.2</v>
      </c>
      <c r="K6" s="10">
        <v>29788.2</v>
      </c>
      <c r="L6" s="4">
        <v>29638.3</v>
      </c>
      <c r="M6" s="6">
        <f>Table2[[#This Row],[% of Solo Streams]]/100</f>
        <v>0.37947029870000004</v>
      </c>
      <c r="N6" s="3">
        <v>48466.1</v>
      </c>
      <c r="O6" s="6">
        <f>Table2[[#This Row],[% of Collaborative Streams]]/100</f>
        <v>0.62052970129999996</v>
      </c>
      <c r="P6" s="4">
        <f>Table3[[#This Row],[Lead Streams (in millions)]]+Table3[[#This Row],[Feature Streams (in millions)]]</f>
        <v>78104.399999999994</v>
      </c>
      <c r="Q6" s="4">
        <f>_xlfn.RANK.EQ(Table3[[#This Row],[Total Stream]],Table3[Total Stream],0)</f>
        <v>5</v>
      </c>
      <c r="R6" s="4">
        <f>Table3[[#This Row],[Total Streams (in millions)]]-Table3[[#This Row],[Total Stream]]</f>
        <v>0</v>
      </c>
      <c r="S6" s="8">
        <f>IFERROR(Table3[[#This Row],[Collaborative Streams (in millions)]]/Table3[[#This Row],[Total Stream]],0)</f>
        <v>0.62052970127163132</v>
      </c>
      <c r="T6" t="str">
        <f>IF(Table3[[#This Row],[Total Streams (in millions)]]&gt;=50000,"High Performer",IF(Table3[[#This Row],[Total Streams (in millions)]]&gt;=20000,"Medium Performer","Low Performer"))</f>
        <v>High Performer</v>
      </c>
    </row>
    <row r="7" spans="1:20" x14ac:dyDescent="0.3">
      <c r="A7" s="11" t="s">
        <v>29</v>
      </c>
      <c r="B7" s="11" t="s">
        <v>20</v>
      </c>
      <c r="C7" s="11" t="s">
        <v>21</v>
      </c>
      <c r="D7" s="11" t="s">
        <v>16</v>
      </c>
      <c r="E7" s="11" t="s">
        <v>22</v>
      </c>
      <c r="F7" s="11" t="s">
        <v>18</v>
      </c>
      <c r="G7" s="12">
        <v>2013</v>
      </c>
      <c r="H7" s="12" t="str">
        <f>IF(Table3[[#This Row],[Debut Year]]&lt;=2000,"1999–2000",
IF(Table3[[#This Row],[Debut Year]]&lt;=2005,"2001–2005",
IF(Table3[[#This Row],[Debut Year]]&lt;=2010,"2006–2010",
IF(Table3[[#This Row],[Debut Year]]&lt;=2015,"2011–2015",
IF(Table3[[#This Row],[Debut Year]]&lt;=2020,"2016–2020",
"2021–2025")))))</f>
        <v>2011–2015</v>
      </c>
      <c r="I7" s="12">
        <v>68298.899999999994</v>
      </c>
      <c r="J7" s="12">
        <v>57097.5</v>
      </c>
      <c r="K7" s="12">
        <v>11201.4</v>
      </c>
      <c r="L7" s="4">
        <v>41615.5</v>
      </c>
      <c r="M7" s="6">
        <f>Table2[[#This Row],[% of Solo Streams]]/100</f>
        <v>0.60931435209999996</v>
      </c>
      <c r="N7" s="3">
        <v>26683.4</v>
      </c>
      <c r="O7" s="6">
        <f>Table2[[#This Row],[% of Collaborative Streams]]/100</f>
        <v>0.39068564790000004</v>
      </c>
      <c r="P7" s="4">
        <f>Table3[[#This Row],[Lead Streams (in millions)]]+Table3[[#This Row],[Feature Streams (in millions)]]</f>
        <v>68298.899999999994</v>
      </c>
      <c r="Q7" s="4">
        <f>_xlfn.RANK.EQ(Table3[[#This Row],[Total Stream]],Table3[Total Stream],0)</f>
        <v>6</v>
      </c>
      <c r="R7" s="4">
        <f>Table3[[#This Row],[Total Streams (in millions)]]-Table3[[#This Row],[Total Stream]]</f>
        <v>0</v>
      </c>
      <c r="S7" s="8">
        <f>IFERROR(Table3[[#This Row],[Collaborative Streams (in millions)]]/Table3[[#This Row],[Total Stream]],0)</f>
        <v>0.39068564793869304</v>
      </c>
      <c r="T7" t="str">
        <f>IF(Table3[[#This Row],[Total Streams (in millions)]]&gt;=50000,"High Performer",IF(Table3[[#This Row],[Total Streams (in millions)]]&gt;=20000,"Medium Performer","Low Performer"))</f>
        <v>High Performer</v>
      </c>
    </row>
    <row r="8" spans="1:20" x14ac:dyDescent="0.3">
      <c r="A8" s="9" t="s">
        <v>30</v>
      </c>
      <c r="B8" s="9" t="s">
        <v>14</v>
      </c>
      <c r="C8" s="9" t="s">
        <v>21</v>
      </c>
      <c r="D8" s="9" t="s">
        <v>16</v>
      </c>
      <c r="E8" s="9" t="s">
        <v>17</v>
      </c>
      <c r="F8" s="9" t="s">
        <v>18</v>
      </c>
      <c r="G8" s="10">
        <v>2013</v>
      </c>
      <c r="H8" s="10" t="str">
        <f>IF(Table3[[#This Row],[Debut Year]]&lt;=2000,"1999–2000",
IF(Table3[[#This Row],[Debut Year]]&lt;=2005,"2001–2005",
IF(Table3[[#This Row],[Debut Year]]&lt;=2010,"2006–2010",
IF(Table3[[#This Row],[Debut Year]]&lt;=2015,"2011–2015",
IF(Table3[[#This Row],[Debut Year]]&lt;=2020,"2016–2020",
"2021–2025")))))</f>
        <v>2011–2015</v>
      </c>
      <c r="I8" s="10">
        <v>65349.7</v>
      </c>
      <c r="J8" s="10">
        <v>35338.699999999997</v>
      </c>
      <c r="K8" s="10">
        <v>30027</v>
      </c>
      <c r="L8" s="4">
        <v>25309.9</v>
      </c>
      <c r="M8" s="6">
        <f>Table2[[#This Row],[% of Solo Streams]]/100</f>
        <v>0.38729940610000002</v>
      </c>
      <c r="N8" s="3">
        <v>40039.800000000003</v>
      </c>
      <c r="O8" s="6">
        <f>Table2[[#This Row],[% of Collaborative Streams]]/100</f>
        <v>0.61270059389999998</v>
      </c>
      <c r="P8" s="4">
        <f>Table3[[#This Row],[Lead Streams (in millions)]]+Table3[[#This Row],[Feature Streams (in millions)]]</f>
        <v>65365.7</v>
      </c>
      <c r="Q8" s="4">
        <f>_xlfn.RANK.EQ(Table3[[#This Row],[Total Stream]],Table3[Total Stream],0)</f>
        <v>7</v>
      </c>
      <c r="R8" s="4">
        <f>Table3[[#This Row],[Total Streams (in millions)]]-Table3[[#This Row],[Total Stream]]</f>
        <v>-16</v>
      </c>
      <c r="S8" s="8">
        <f>IFERROR(Table3[[#This Row],[Collaborative Streams (in millions)]]/Table3[[#This Row],[Total Stream]],0)</f>
        <v>0.61255061905555974</v>
      </c>
      <c r="T8" t="str">
        <f>IF(Table3[[#This Row],[Total Streams (in millions)]]&gt;=50000,"High Performer",IF(Table3[[#This Row],[Total Streams (in millions)]]&gt;=20000,"Medium Performer","Low Performer"))</f>
        <v>High Performer</v>
      </c>
    </row>
    <row r="9" spans="1:20" x14ac:dyDescent="0.3">
      <c r="A9" s="11" t="s">
        <v>31</v>
      </c>
      <c r="B9" s="11" t="s">
        <v>14</v>
      </c>
      <c r="C9" s="11" t="s">
        <v>21</v>
      </c>
      <c r="D9" s="11" t="s">
        <v>16</v>
      </c>
      <c r="E9" s="11" t="s">
        <v>17</v>
      </c>
      <c r="F9" s="11" t="s">
        <v>18</v>
      </c>
      <c r="G9" s="12">
        <v>2004</v>
      </c>
      <c r="H9" s="12" t="str">
        <f>IF(Table3[[#This Row],[Debut Year]]&lt;=2000,"1999–2000",
IF(Table3[[#This Row],[Debut Year]]&lt;=2005,"2001–2005",
IF(Table3[[#This Row],[Debut Year]]&lt;=2010,"2006–2010",
IF(Table3[[#This Row],[Debut Year]]&lt;=2015,"2011–2015",
IF(Table3[[#This Row],[Debut Year]]&lt;=2020,"2016–2020",
"2021–2025")))))</f>
        <v>2001–2005</v>
      </c>
      <c r="I9" s="12">
        <v>65142.9</v>
      </c>
      <c r="J9" s="12">
        <v>46558.400000000001</v>
      </c>
      <c r="K9" s="12">
        <v>18584.5</v>
      </c>
      <c r="L9" s="4">
        <v>28473</v>
      </c>
      <c r="M9" s="6">
        <f>Table2[[#This Row],[% of Solo Streams]]/100</f>
        <v>0.4370852388</v>
      </c>
      <c r="N9" s="3">
        <v>36669.9</v>
      </c>
      <c r="O9" s="6">
        <f>Table2[[#This Row],[% of Collaborative Streams]]/100</f>
        <v>0.56291476119999995</v>
      </c>
      <c r="P9" s="4">
        <f>Table3[[#This Row],[Lead Streams (in millions)]]+Table3[[#This Row],[Feature Streams (in millions)]]</f>
        <v>65142.9</v>
      </c>
      <c r="Q9" s="4">
        <f>_xlfn.RANK.EQ(Table3[[#This Row],[Total Stream]],Table3[Total Stream],0)</f>
        <v>8</v>
      </c>
      <c r="R9" s="4">
        <f>Table3[[#This Row],[Total Streams (in millions)]]-Table3[[#This Row],[Total Stream]]</f>
        <v>0</v>
      </c>
      <c r="S9" s="8">
        <f>IFERROR(Table3[[#This Row],[Collaborative Streams (in millions)]]/Table3[[#This Row],[Total Stream]],0)</f>
        <v>0.56291476124028872</v>
      </c>
      <c r="T9" t="str">
        <f>IF(Table3[[#This Row],[Total Streams (in millions)]]&gt;=50000,"High Performer",IF(Table3[[#This Row],[Total Streams (in millions)]]&gt;=20000,"Medium Performer","Low Performer"))</f>
        <v>High Performer</v>
      </c>
    </row>
    <row r="10" spans="1:20" x14ac:dyDescent="0.3">
      <c r="A10" s="9" t="s">
        <v>32</v>
      </c>
      <c r="B10" s="9" t="s">
        <v>14</v>
      </c>
      <c r="C10" s="9" t="s">
        <v>33</v>
      </c>
      <c r="D10" s="9" t="s">
        <v>16</v>
      </c>
      <c r="E10" s="9" t="s">
        <v>22</v>
      </c>
      <c r="F10" s="9" t="s">
        <v>18</v>
      </c>
      <c r="G10" s="10">
        <v>2011</v>
      </c>
      <c r="H10" s="10" t="str">
        <f>IF(Table3[[#This Row],[Debut Year]]&lt;=2000,"1999–2000",
IF(Table3[[#This Row],[Debut Year]]&lt;=2005,"2001–2005",
IF(Table3[[#This Row],[Debut Year]]&lt;=2010,"2006–2010",
IF(Table3[[#This Row],[Debut Year]]&lt;=2015,"2011–2015",
IF(Table3[[#This Row],[Debut Year]]&lt;=2020,"2016–2020",
"2021–2025")))))</f>
        <v>2011–2015</v>
      </c>
      <c r="I10" s="10">
        <v>64656.9</v>
      </c>
      <c r="J10" s="10">
        <v>57704</v>
      </c>
      <c r="K10" s="10">
        <v>6967.8</v>
      </c>
      <c r="L10" s="4">
        <v>46700</v>
      </c>
      <c r="M10" s="6">
        <f>Table2[[#This Row],[% of Solo Streams]]/100</f>
        <v>0.72227403420000003</v>
      </c>
      <c r="N10" s="3">
        <v>17956.900000000001</v>
      </c>
      <c r="O10" s="6">
        <f>Table2[[#This Row],[% of Collaborative Streams]]/100</f>
        <v>0.27772596579999997</v>
      </c>
      <c r="P10" s="4">
        <f>Table3[[#This Row],[Lead Streams (in millions)]]+Table3[[#This Row],[Feature Streams (in millions)]]</f>
        <v>64671.8</v>
      </c>
      <c r="Q10" s="4">
        <f>_xlfn.RANK.EQ(Table3[[#This Row],[Total Stream]],Table3[Total Stream],0)</f>
        <v>9</v>
      </c>
      <c r="R10" s="4">
        <f>Table3[[#This Row],[Total Streams (in millions)]]-Table3[[#This Row],[Total Stream]]</f>
        <v>-14.900000000001455</v>
      </c>
      <c r="S10" s="8">
        <f>IFERROR(Table3[[#This Row],[Collaborative Streams (in millions)]]/Table3[[#This Row],[Total Stream]],0)</f>
        <v>0.27766197940988191</v>
      </c>
      <c r="T10" t="str">
        <f>IF(Table3[[#This Row],[Total Streams (in millions)]]&gt;=50000,"High Performer",IF(Table3[[#This Row],[Total Streams (in millions)]]&gt;=20000,"Medium Performer","Low Performer"))</f>
        <v>High Performer</v>
      </c>
    </row>
    <row r="11" spans="1:20" x14ac:dyDescent="0.3">
      <c r="A11" s="11" t="s">
        <v>34</v>
      </c>
      <c r="B11" s="11" t="s">
        <v>14</v>
      </c>
      <c r="C11" s="11" t="s">
        <v>21</v>
      </c>
      <c r="D11" s="11" t="s">
        <v>16</v>
      </c>
      <c r="E11" s="11" t="s">
        <v>17</v>
      </c>
      <c r="F11" s="11" t="s">
        <v>18</v>
      </c>
      <c r="G11" s="12">
        <v>1996</v>
      </c>
      <c r="H11" s="12" t="str">
        <f>IF(Table3[[#This Row],[Debut Year]]&lt;=2000,"1999–2000",
IF(Table3[[#This Row],[Debut Year]]&lt;=2005,"2001–2005",
IF(Table3[[#This Row],[Debut Year]]&lt;=2010,"2006–2010",
IF(Table3[[#This Row],[Debut Year]]&lt;=2015,"2011–2015",
IF(Table3[[#This Row],[Debut Year]]&lt;=2020,"2016–2020",
"2021–2025")))))</f>
        <v>1999–2000</v>
      </c>
      <c r="I11" s="12">
        <v>64549</v>
      </c>
      <c r="J11" s="12">
        <v>54466.8</v>
      </c>
      <c r="K11" s="12">
        <v>10100.700000000001</v>
      </c>
      <c r="L11" s="4">
        <v>32940</v>
      </c>
      <c r="M11" s="6">
        <f>Table2[[#This Row],[% of Solo Streams]]/100</f>
        <v>0.51030999710000002</v>
      </c>
      <c r="N11" s="3">
        <v>31609</v>
      </c>
      <c r="O11" s="6">
        <f>Table2[[#This Row],[% of Collaborative Streams]]/100</f>
        <v>0.48969000289999998</v>
      </c>
      <c r="P11" s="4">
        <f>Table3[[#This Row],[Lead Streams (in millions)]]+Table3[[#This Row],[Feature Streams (in millions)]]</f>
        <v>64567.5</v>
      </c>
      <c r="Q11" s="4">
        <f>_xlfn.RANK.EQ(Table3[[#This Row],[Total Stream]],Table3[Total Stream],0)</f>
        <v>10</v>
      </c>
      <c r="R11" s="4">
        <f>Table3[[#This Row],[Total Streams (in millions)]]-Table3[[#This Row],[Total Stream]]</f>
        <v>-18.5</v>
      </c>
      <c r="S11" s="8">
        <f>IFERROR(Table3[[#This Row],[Collaborative Streams (in millions)]]/Table3[[#This Row],[Total Stream]],0)</f>
        <v>0.48954969605451659</v>
      </c>
      <c r="T11" t="str">
        <f>IF(Table3[[#This Row],[Total Streams (in millions)]]&gt;=50000,"High Performer",IF(Table3[[#This Row],[Total Streams (in millions)]]&gt;=20000,"Medium Performer","Low Performer"))</f>
        <v>High Performer</v>
      </c>
    </row>
    <row r="12" spans="1:20" x14ac:dyDescent="0.3">
      <c r="A12" s="9" t="s">
        <v>35</v>
      </c>
      <c r="B12" s="9" t="s">
        <v>20</v>
      </c>
      <c r="C12" s="9" t="s">
        <v>36</v>
      </c>
      <c r="D12" s="9" t="s">
        <v>16</v>
      </c>
      <c r="E12" s="9" t="s">
        <v>22</v>
      </c>
      <c r="F12" s="9" t="s">
        <v>18</v>
      </c>
      <c r="G12" s="10">
        <v>2005</v>
      </c>
      <c r="H12" s="10" t="str">
        <f>IF(Table3[[#This Row],[Debut Year]]&lt;=2000,"1999–2000",
IF(Table3[[#This Row],[Debut Year]]&lt;=2005,"2001–2005",
IF(Table3[[#This Row],[Debut Year]]&lt;=2010,"2006–2010",
IF(Table3[[#This Row],[Debut Year]]&lt;=2015,"2011–2015",
IF(Table3[[#This Row],[Debut Year]]&lt;=2020,"2016–2020",
"2021–2025")))))</f>
        <v>2001–2005</v>
      </c>
      <c r="I12" s="10">
        <v>60670.7</v>
      </c>
      <c r="J12" s="10">
        <v>44824.4</v>
      </c>
      <c r="K12" s="10">
        <v>15846.4</v>
      </c>
      <c r="L12" s="4">
        <v>30261.8</v>
      </c>
      <c r="M12" s="6">
        <f>Table2[[#This Row],[% of Solo Streams]]/100</f>
        <v>0.49878771800000005</v>
      </c>
      <c r="N12" s="3">
        <v>30408.9</v>
      </c>
      <c r="O12" s="6">
        <f>Table2[[#This Row],[% of Collaborative Streams]]/100</f>
        <v>0.50121228200000001</v>
      </c>
      <c r="P12" s="4">
        <f>Table3[[#This Row],[Lead Streams (in millions)]]+Table3[[#This Row],[Feature Streams (in millions)]]</f>
        <v>60670.8</v>
      </c>
      <c r="Q12" s="4">
        <f>_xlfn.RANK.EQ(Table3[[#This Row],[Total Stream]],Table3[Total Stream],0)</f>
        <v>11</v>
      </c>
      <c r="R12" s="4">
        <f>Table3[[#This Row],[Total Streams (in millions)]]-Table3[[#This Row],[Total Stream]]</f>
        <v>-0.10000000000582077</v>
      </c>
      <c r="S12" s="8">
        <f>IFERROR(Table3[[#This Row],[Collaborative Streams (in millions)]]/Table3[[#This Row],[Total Stream]],0)</f>
        <v>0.50121145592278327</v>
      </c>
      <c r="T12" t="str">
        <f>IF(Table3[[#This Row],[Total Streams (in millions)]]&gt;=50000,"High Performer",IF(Table3[[#This Row],[Total Streams (in millions)]]&gt;=20000,"Medium Performer","Low Performer"))</f>
        <v>High Performer</v>
      </c>
    </row>
    <row r="13" spans="1:20" x14ac:dyDescent="0.3">
      <c r="A13" s="11" t="s">
        <v>37</v>
      </c>
      <c r="B13" s="11" t="s">
        <v>20</v>
      </c>
      <c r="C13" s="11" t="s">
        <v>21</v>
      </c>
      <c r="D13" s="11" t="s">
        <v>16</v>
      </c>
      <c r="E13" s="11" t="s">
        <v>22</v>
      </c>
      <c r="F13" s="11" t="s">
        <v>18</v>
      </c>
      <c r="G13" s="12">
        <v>2015</v>
      </c>
      <c r="H13" s="12" t="str">
        <f>IF(Table3[[#This Row],[Debut Year]]&lt;=2000,"1999–2000",
IF(Table3[[#This Row],[Debut Year]]&lt;=2005,"2001–2005",
IF(Table3[[#This Row],[Debut Year]]&lt;=2010,"2006–2010",
IF(Table3[[#This Row],[Debut Year]]&lt;=2015,"2011–2015",
IF(Table3[[#This Row],[Debut Year]]&lt;=2020,"2016–2020",
"2021–2025")))))</f>
        <v>2011–2015</v>
      </c>
      <c r="I13" s="12">
        <v>58049.5</v>
      </c>
      <c r="J13" s="12">
        <v>57160.1</v>
      </c>
      <c r="K13" s="12">
        <v>889.4</v>
      </c>
      <c r="L13" s="4">
        <v>51567.9</v>
      </c>
      <c r="M13" s="6">
        <f>Table2[[#This Row],[% of Solo Streams]]/100</f>
        <v>0.88834356889999999</v>
      </c>
      <c r="N13" s="3">
        <v>6481.6</v>
      </c>
      <c r="O13" s="6">
        <f>Table2[[#This Row],[% of Collaborative Streams]]/100</f>
        <v>0.11165643109999999</v>
      </c>
      <c r="P13" s="4">
        <f>Table3[[#This Row],[Lead Streams (in millions)]]+Table3[[#This Row],[Feature Streams (in millions)]]</f>
        <v>58049.5</v>
      </c>
      <c r="Q13" s="4">
        <f>_xlfn.RANK.EQ(Table3[[#This Row],[Total Stream]],Table3[Total Stream],0)</f>
        <v>12</v>
      </c>
      <c r="R13" s="4">
        <f>Table3[[#This Row],[Total Streams (in millions)]]-Table3[[#This Row],[Total Stream]]</f>
        <v>0</v>
      </c>
      <c r="S13" s="8">
        <f>IFERROR(Table3[[#This Row],[Collaborative Streams (in millions)]]/Table3[[#This Row],[Total Stream]],0)</f>
        <v>0.11165643114927777</v>
      </c>
      <c r="T13" t="str">
        <f>IF(Table3[[#This Row],[Total Streams (in millions)]]&gt;=50000,"High Performer",IF(Table3[[#This Row],[Total Streams (in millions)]]&gt;=20000,"Medium Performer","Low Performer"))</f>
        <v>High Performer</v>
      </c>
    </row>
    <row r="14" spans="1:20" x14ac:dyDescent="0.3">
      <c r="A14" s="9" t="s">
        <v>38</v>
      </c>
      <c r="B14" s="9" t="s">
        <v>14</v>
      </c>
      <c r="C14" s="9" t="s">
        <v>21</v>
      </c>
      <c r="D14" s="9" t="s">
        <v>16</v>
      </c>
      <c r="E14" s="9" t="s">
        <v>22</v>
      </c>
      <c r="F14" s="9" t="s">
        <v>18</v>
      </c>
      <c r="G14" s="10">
        <v>2010</v>
      </c>
      <c r="H14" s="10" t="str">
        <f>IF(Table3[[#This Row],[Debut Year]]&lt;=2000,"1999–2000",
IF(Table3[[#This Row],[Debut Year]]&lt;=2005,"2001–2005",
IF(Table3[[#This Row],[Debut Year]]&lt;=2010,"2006–2010",
IF(Table3[[#This Row],[Debut Year]]&lt;=2015,"2011–2015",
IF(Table3[[#This Row],[Debut Year]]&lt;=2020,"2016–2020",
"2021–2025")))))</f>
        <v>2006–2010</v>
      </c>
      <c r="I14" s="10">
        <v>56727.1</v>
      </c>
      <c r="J14" s="10">
        <v>40714</v>
      </c>
      <c r="K14" s="10">
        <v>16013.1</v>
      </c>
      <c r="L14" s="4">
        <v>33618.1</v>
      </c>
      <c r="M14" s="6">
        <f>Table2[[#This Row],[% of Solo Streams]]/100</f>
        <v>0.59262856730000002</v>
      </c>
      <c r="N14" s="3">
        <v>23109</v>
      </c>
      <c r="O14" s="6">
        <f>Table2[[#This Row],[% of Collaborative Streams]]/100</f>
        <v>0.40737143269999998</v>
      </c>
      <c r="P14" s="4">
        <f>Table3[[#This Row],[Lead Streams (in millions)]]+Table3[[#This Row],[Feature Streams (in millions)]]</f>
        <v>56727.1</v>
      </c>
      <c r="Q14" s="4">
        <f>_xlfn.RANK.EQ(Table3[[#This Row],[Total Stream]],Table3[Total Stream],0)</f>
        <v>13</v>
      </c>
      <c r="R14" s="4">
        <f>Table3[[#This Row],[Total Streams (in millions)]]-Table3[[#This Row],[Total Stream]]</f>
        <v>0</v>
      </c>
      <c r="S14" s="8">
        <f>IFERROR(Table3[[#This Row],[Collaborative Streams (in millions)]]/Table3[[#This Row],[Total Stream]],0)</f>
        <v>0.4073714327014778</v>
      </c>
      <c r="T14" t="str">
        <f>IF(Table3[[#This Row],[Total Streams (in millions)]]&gt;=50000,"High Performer",IF(Table3[[#This Row],[Total Streams (in millions)]]&gt;=20000,"Medium Performer","Low Performer"))</f>
        <v>High Performer</v>
      </c>
    </row>
    <row r="15" spans="1:20" x14ac:dyDescent="0.3">
      <c r="A15" s="11" t="s">
        <v>39</v>
      </c>
      <c r="B15" s="11" t="s">
        <v>14</v>
      </c>
      <c r="C15" s="11" t="s">
        <v>21</v>
      </c>
      <c r="D15" s="11" t="s">
        <v>16</v>
      </c>
      <c r="E15" s="11" t="s">
        <v>17</v>
      </c>
      <c r="F15" s="11" t="s">
        <v>18</v>
      </c>
      <c r="G15" s="12">
        <v>2009</v>
      </c>
      <c r="H15" s="12" t="str">
        <f>IF(Table3[[#This Row],[Debut Year]]&lt;=2000,"1999–2000",
IF(Table3[[#This Row],[Debut Year]]&lt;=2005,"2001–2005",
IF(Table3[[#This Row],[Debut Year]]&lt;=2010,"2006–2010",
IF(Table3[[#This Row],[Debut Year]]&lt;=2015,"2011–2015",
IF(Table3[[#This Row],[Debut Year]]&lt;=2020,"2016–2020",
"2021–2025")))))</f>
        <v>2006–2010</v>
      </c>
      <c r="I15" s="12">
        <v>56459.5</v>
      </c>
      <c r="J15" s="12">
        <v>40752.199999999997</v>
      </c>
      <c r="K15" s="12">
        <v>15725</v>
      </c>
      <c r="L15" s="4">
        <v>23403.5</v>
      </c>
      <c r="M15" s="6">
        <f>Table2[[#This Row],[% of Solo Streams]]/100</f>
        <v>0.41451837159999999</v>
      </c>
      <c r="N15" s="3">
        <v>33056</v>
      </c>
      <c r="O15" s="6">
        <f>Table2[[#This Row],[% of Collaborative Streams]]/100</f>
        <v>0.58548162840000006</v>
      </c>
      <c r="P15" s="4">
        <f>Table3[[#This Row],[Lead Streams (in millions)]]+Table3[[#This Row],[Feature Streams (in millions)]]</f>
        <v>56477.2</v>
      </c>
      <c r="Q15" s="4">
        <f>_xlfn.RANK.EQ(Table3[[#This Row],[Total Stream]],Table3[Total Stream],0)</f>
        <v>14</v>
      </c>
      <c r="R15" s="4">
        <f>Table3[[#This Row],[Total Streams (in millions)]]-Table3[[#This Row],[Total Stream]]</f>
        <v>-17.69999999999709</v>
      </c>
      <c r="S15" s="8">
        <f>IFERROR(Table3[[#This Row],[Collaborative Streams (in millions)]]/Table3[[#This Row],[Total Stream]],0)</f>
        <v>0.58529813800967478</v>
      </c>
      <c r="T15" t="str">
        <f>IF(Table3[[#This Row],[Total Streams (in millions)]]&gt;=50000,"High Performer",IF(Table3[[#This Row],[Total Streams (in millions)]]&gt;=20000,"Medium Performer","Low Performer"))</f>
        <v>High Performer</v>
      </c>
    </row>
    <row r="16" spans="1:20" x14ac:dyDescent="0.3">
      <c r="A16" s="9" t="s">
        <v>40</v>
      </c>
      <c r="B16" s="9" t="s">
        <v>14</v>
      </c>
      <c r="C16" s="9" t="s">
        <v>21</v>
      </c>
      <c r="D16" s="9" t="s">
        <v>16</v>
      </c>
      <c r="E16" s="9" t="s">
        <v>22</v>
      </c>
      <c r="F16" s="9" t="s">
        <v>18</v>
      </c>
      <c r="G16" s="10">
        <v>2011</v>
      </c>
      <c r="H16" s="10" t="str">
        <f>IF(Table3[[#This Row],[Debut Year]]&lt;=2000,"1999–2000",
IF(Table3[[#This Row],[Debut Year]]&lt;=2005,"2001–2005",
IF(Table3[[#This Row],[Debut Year]]&lt;=2010,"2006–2010",
IF(Table3[[#This Row],[Debut Year]]&lt;=2015,"2011–2015",
IF(Table3[[#This Row],[Debut Year]]&lt;=2020,"2016–2020",
"2021–2025")))))</f>
        <v>2011–2015</v>
      </c>
      <c r="I16" s="10">
        <v>55028.3</v>
      </c>
      <c r="J16" s="10">
        <v>48805.599999999999</v>
      </c>
      <c r="K16" s="10">
        <v>6235.6</v>
      </c>
      <c r="L16" s="4">
        <v>25419.4</v>
      </c>
      <c r="M16" s="6">
        <f>Table2[[#This Row],[% of Solo Streams]]/100</f>
        <v>0.46193322350000005</v>
      </c>
      <c r="N16" s="3">
        <v>29608.9</v>
      </c>
      <c r="O16" s="6">
        <f>Table2[[#This Row],[% of Collaborative Streams]]/100</f>
        <v>0.53806677650000001</v>
      </c>
      <c r="P16" s="4">
        <f>Table3[[#This Row],[Lead Streams (in millions)]]+Table3[[#This Row],[Feature Streams (in millions)]]</f>
        <v>55041.2</v>
      </c>
      <c r="Q16" s="4">
        <f>_xlfn.RANK.EQ(Table3[[#This Row],[Total Stream]],Table3[Total Stream],0)</f>
        <v>15</v>
      </c>
      <c r="R16" s="4">
        <f>Table3[[#This Row],[Total Streams (in millions)]]-Table3[[#This Row],[Total Stream]]</f>
        <v>-12.899999999994179</v>
      </c>
      <c r="S16" s="8">
        <f>IFERROR(Table3[[#This Row],[Collaborative Streams (in millions)]]/Table3[[#This Row],[Total Stream]],0)</f>
        <v>0.53794066989818545</v>
      </c>
      <c r="T16" t="str">
        <f>IF(Table3[[#This Row],[Total Streams (in millions)]]&gt;=50000,"High Performer",IF(Table3[[#This Row],[Total Streams (in millions)]]&gt;=20000,"Medium Performer","Low Performer"))</f>
        <v>High Performer</v>
      </c>
    </row>
    <row r="17" spans="1:20" x14ac:dyDescent="0.3">
      <c r="A17" s="11" t="s">
        <v>41</v>
      </c>
      <c r="B17" s="11" t="s">
        <v>14</v>
      </c>
      <c r="C17" s="11" t="s">
        <v>42</v>
      </c>
      <c r="D17" s="11" t="s">
        <v>24</v>
      </c>
      <c r="E17" s="11" t="s">
        <v>25</v>
      </c>
      <c r="F17" s="11" t="s">
        <v>18</v>
      </c>
      <c r="G17" s="12">
        <v>2004</v>
      </c>
      <c r="H17" s="12" t="str">
        <f>IF(Table3[[#This Row],[Debut Year]]&lt;=2000,"1999–2000",
IF(Table3[[#This Row],[Debut Year]]&lt;=2005,"2001–2005",
IF(Table3[[#This Row],[Debut Year]]&lt;=2010,"2006–2010",
IF(Table3[[#This Row],[Debut Year]]&lt;=2015,"2011–2015",
IF(Table3[[#This Row],[Debut Year]]&lt;=2020,"2016–2020",
"2021–2025")))))</f>
        <v>2001–2005</v>
      </c>
      <c r="I17" s="12">
        <v>54649.2</v>
      </c>
      <c r="J17" s="12">
        <v>25333.3</v>
      </c>
      <c r="K17" s="12">
        <v>29334</v>
      </c>
      <c r="L17" s="4">
        <v>7844.5</v>
      </c>
      <c r="M17" s="6">
        <f>Table2[[#This Row],[% of Solo Streams]]/100</f>
        <v>0.14354281490000001</v>
      </c>
      <c r="N17" s="3">
        <v>46804.7</v>
      </c>
      <c r="O17" s="6">
        <f>Table2[[#This Row],[% of Collaborative Streams]]/100</f>
        <v>0.85645718509999991</v>
      </c>
      <c r="P17" s="4">
        <f>Table3[[#This Row],[Lead Streams (in millions)]]+Table3[[#This Row],[Feature Streams (in millions)]]</f>
        <v>54667.3</v>
      </c>
      <c r="Q17" s="4">
        <f>_xlfn.RANK.EQ(Table3[[#This Row],[Total Stream]],Table3[Total Stream],0)</f>
        <v>16</v>
      </c>
      <c r="R17" s="4">
        <f>Table3[[#This Row],[Total Streams (in millions)]]-Table3[[#This Row],[Total Stream]]</f>
        <v>-18.100000000005821</v>
      </c>
      <c r="S17" s="8">
        <f>IFERROR(Table3[[#This Row],[Collaborative Streams (in millions)]]/Table3[[#This Row],[Total Stream]],0)</f>
        <v>0.85617361750077281</v>
      </c>
      <c r="T17" t="str">
        <f>IF(Table3[[#This Row],[Total Streams (in millions)]]&gt;=50000,"High Performer",IF(Table3[[#This Row],[Total Streams (in millions)]]&gt;=20000,"Medium Performer","Low Performer"))</f>
        <v>High Performer</v>
      </c>
    </row>
    <row r="18" spans="1:20" x14ac:dyDescent="0.3">
      <c r="A18" s="9" t="s">
        <v>43</v>
      </c>
      <c r="B18" s="9" t="s">
        <v>14</v>
      </c>
      <c r="C18" s="9" t="s">
        <v>21</v>
      </c>
      <c r="D18" s="9" t="s">
        <v>16</v>
      </c>
      <c r="E18" s="9" t="s">
        <v>17</v>
      </c>
      <c r="F18" s="9" t="s">
        <v>18</v>
      </c>
      <c r="G18" s="10">
        <v>2010</v>
      </c>
      <c r="H18" s="10" t="str">
        <f>IF(Table3[[#This Row],[Debut Year]]&lt;=2000,"1999–2000",
IF(Table3[[#This Row],[Debut Year]]&lt;=2005,"2001–2005",
IF(Table3[[#This Row],[Debut Year]]&lt;=2010,"2006–2010",
IF(Table3[[#This Row],[Debut Year]]&lt;=2015,"2011–2015",
IF(Table3[[#This Row],[Debut Year]]&lt;=2020,"2016–2020",
"2021–2025")))))</f>
        <v>2006–2010</v>
      </c>
      <c r="I18" s="10">
        <v>53951.5</v>
      </c>
      <c r="J18" s="10">
        <v>27879</v>
      </c>
      <c r="K18" s="10">
        <v>26072.5</v>
      </c>
      <c r="L18" s="4">
        <v>12647.5</v>
      </c>
      <c r="M18" s="6">
        <f>Table2[[#This Row],[% of Solo Streams]]/100</f>
        <v>0.23442350999999997</v>
      </c>
      <c r="N18" s="3">
        <v>41304</v>
      </c>
      <c r="O18" s="6">
        <f>Table2[[#This Row],[% of Collaborative Streams]]/100</f>
        <v>0.76557648999999994</v>
      </c>
      <c r="P18" s="4">
        <f>Table3[[#This Row],[Lead Streams (in millions)]]+Table3[[#This Row],[Feature Streams (in millions)]]</f>
        <v>53951.5</v>
      </c>
      <c r="Q18" s="4">
        <f>_xlfn.RANK.EQ(Table3[[#This Row],[Total Stream]],Table3[Total Stream],0)</f>
        <v>17</v>
      </c>
      <c r="R18" s="4">
        <f>Table3[[#This Row],[Total Streams (in millions)]]-Table3[[#This Row],[Total Stream]]</f>
        <v>0</v>
      </c>
      <c r="S18" s="8">
        <f>IFERROR(Table3[[#This Row],[Collaborative Streams (in millions)]]/Table3[[#This Row],[Total Stream]],0)</f>
        <v>0.7655764899956442</v>
      </c>
      <c r="T18" t="str">
        <f>IF(Table3[[#This Row],[Total Streams (in millions)]]&gt;=50000,"High Performer",IF(Table3[[#This Row],[Total Streams (in millions)]]&gt;=20000,"Medium Performer","Low Performer"))</f>
        <v>High Performer</v>
      </c>
    </row>
    <row r="19" spans="1:20" x14ac:dyDescent="0.3">
      <c r="A19" s="11" t="s">
        <v>44</v>
      </c>
      <c r="B19" s="11" t="s">
        <v>14</v>
      </c>
      <c r="C19" s="11" t="s">
        <v>45</v>
      </c>
      <c r="D19" s="11" t="s">
        <v>46</v>
      </c>
      <c r="E19" s="11" t="s">
        <v>47</v>
      </c>
      <c r="F19" s="11" t="s">
        <v>48</v>
      </c>
      <c r="G19" s="12">
        <v>2013</v>
      </c>
      <c r="H19" s="12" t="str">
        <f>IF(Table3[[#This Row],[Debut Year]]&lt;=2000,"1999–2000",
IF(Table3[[#This Row],[Debut Year]]&lt;=2005,"2001–2005",
IF(Table3[[#This Row],[Debut Year]]&lt;=2010,"2006–2010",
IF(Table3[[#This Row],[Debut Year]]&lt;=2015,"2011–2015",
IF(Table3[[#This Row],[Debut Year]]&lt;=2020,"2016–2020",
"2021–2025")))))</f>
        <v>2011–2015</v>
      </c>
      <c r="I19" s="12">
        <v>53308.9</v>
      </c>
      <c r="J19" s="12">
        <v>47969.9</v>
      </c>
      <c r="K19" s="12">
        <v>5339</v>
      </c>
      <c r="L19" s="4">
        <v>44114.400000000001</v>
      </c>
      <c r="M19" s="6">
        <f>Table2[[#This Row],[% of Solo Streams]]/100</f>
        <v>0.82752410949999999</v>
      </c>
      <c r="N19" s="3">
        <v>9194.5</v>
      </c>
      <c r="O19" s="6">
        <f>Table2[[#This Row],[% of Collaborative Streams]]/100</f>
        <v>0.17247589049999998</v>
      </c>
      <c r="P19" s="4">
        <f>Table3[[#This Row],[Lead Streams (in millions)]]+Table3[[#This Row],[Feature Streams (in millions)]]</f>
        <v>53308.9</v>
      </c>
      <c r="Q19" s="4">
        <f>_xlfn.RANK.EQ(Table3[[#This Row],[Total Stream]],Table3[Total Stream],0)</f>
        <v>18</v>
      </c>
      <c r="R19" s="4">
        <f>Table3[[#This Row],[Total Streams (in millions)]]-Table3[[#This Row],[Total Stream]]</f>
        <v>0</v>
      </c>
      <c r="S19" s="8">
        <f>IFERROR(Table3[[#This Row],[Collaborative Streams (in millions)]]/Table3[[#This Row],[Total Stream]],0)</f>
        <v>0.17247589051734324</v>
      </c>
      <c r="T19" t="str">
        <f>IF(Table3[[#This Row],[Total Streams (in millions)]]&gt;=50000,"High Performer",IF(Table3[[#This Row],[Total Streams (in millions)]]&gt;=20000,"Medium Performer","Low Performer"))</f>
        <v>High Performer</v>
      </c>
    </row>
    <row r="20" spans="1:20" x14ac:dyDescent="0.3">
      <c r="A20" s="9" t="s">
        <v>49</v>
      </c>
      <c r="B20" s="9" t="s">
        <v>14</v>
      </c>
      <c r="C20" s="9" t="s">
        <v>21</v>
      </c>
      <c r="D20" s="9" t="s">
        <v>24</v>
      </c>
      <c r="E20" s="9" t="s">
        <v>25</v>
      </c>
      <c r="F20" s="9" t="s">
        <v>18</v>
      </c>
      <c r="G20" s="10">
        <v>2012</v>
      </c>
      <c r="H20" s="10" t="str">
        <f>IF(Table3[[#This Row],[Debut Year]]&lt;=2000,"1999–2000",
IF(Table3[[#This Row],[Debut Year]]&lt;=2005,"2001–2005",
IF(Table3[[#This Row],[Debut Year]]&lt;=2010,"2006–2010",
IF(Table3[[#This Row],[Debut Year]]&lt;=2015,"2011–2015",
IF(Table3[[#This Row],[Debut Year]]&lt;=2020,"2016–2020",
"2021–2025")))))</f>
        <v>2011–2015</v>
      </c>
      <c r="I20" s="10">
        <v>47649.2</v>
      </c>
      <c r="J20" s="10">
        <v>20247.099999999999</v>
      </c>
      <c r="K20" s="10">
        <v>27418.9</v>
      </c>
      <c r="L20" s="4">
        <v>8621.1</v>
      </c>
      <c r="M20" s="6">
        <f>Table2[[#This Row],[% of Solo Streams]]/100</f>
        <v>0.18092853609999998</v>
      </c>
      <c r="N20" s="3">
        <v>39028.1</v>
      </c>
      <c r="O20" s="6">
        <f>Table2[[#This Row],[% of Collaborative Streams]]/100</f>
        <v>0.81907146389999996</v>
      </c>
      <c r="P20" s="4">
        <f>Table3[[#This Row],[Lead Streams (in millions)]]+Table3[[#This Row],[Feature Streams (in millions)]]</f>
        <v>47666</v>
      </c>
      <c r="Q20" s="4">
        <f>_xlfn.RANK.EQ(Table3[[#This Row],[Total Stream]],Table3[Total Stream],0)</f>
        <v>19</v>
      </c>
      <c r="R20" s="4">
        <f>Table3[[#This Row],[Total Streams (in millions)]]-Table3[[#This Row],[Total Stream]]</f>
        <v>-16.80000000000291</v>
      </c>
      <c r="S20" s="8">
        <f>IFERROR(Table3[[#This Row],[Collaborative Streams (in millions)]]/Table3[[#This Row],[Total Stream]],0)</f>
        <v>0.81878278017874373</v>
      </c>
      <c r="T20" t="str">
        <f>IF(Table3[[#This Row],[Total Streams (in millions)]]&gt;=50000,"High Performer",IF(Table3[[#This Row],[Total Streams (in millions)]]&gt;=20000,"Medium Performer","Low Performer"))</f>
        <v>Medium Performer</v>
      </c>
    </row>
    <row r="21" spans="1:20" x14ac:dyDescent="0.3">
      <c r="A21" s="11" t="s">
        <v>50</v>
      </c>
      <c r="B21" s="11" t="s">
        <v>14</v>
      </c>
      <c r="C21" s="11" t="s">
        <v>33</v>
      </c>
      <c r="D21" s="11" t="s">
        <v>16</v>
      </c>
      <c r="E21" s="11" t="s">
        <v>51</v>
      </c>
      <c r="F21" s="11" t="s">
        <v>48</v>
      </c>
      <c r="G21" s="12">
        <v>1999</v>
      </c>
      <c r="H21" s="12" t="str">
        <f>IF(Table3[[#This Row],[Debut Year]]&lt;=2000,"1999–2000",
IF(Table3[[#This Row],[Debut Year]]&lt;=2005,"2001–2005",
IF(Table3[[#This Row],[Debut Year]]&lt;=2010,"2006–2010",
IF(Table3[[#This Row],[Debut Year]]&lt;=2015,"2011–2015",
IF(Table3[[#This Row],[Debut Year]]&lt;=2020,"2016–2020",
"2021–2025")))))</f>
        <v>1999–2000</v>
      </c>
      <c r="I21" s="12">
        <v>46720.4</v>
      </c>
      <c r="J21" s="12">
        <v>42837.1</v>
      </c>
      <c r="K21" s="12">
        <v>3901.3</v>
      </c>
      <c r="L21" s="4">
        <v>38535.199999999997</v>
      </c>
      <c r="M21" s="6">
        <f>Table2[[#This Row],[% of Solo Streams]]/100</f>
        <v>0.82480458220000008</v>
      </c>
      <c r="N21" s="3">
        <v>8185.2</v>
      </c>
      <c r="O21" s="6">
        <f>Table2[[#This Row],[% of Collaborative Streams]]/100</f>
        <v>0.1751954178</v>
      </c>
      <c r="P21" s="4">
        <f>Table3[[#This Row],[Lead Streams (in millions)]]+Table3[[#This Row],[Feature Streams (in millions)]]</f>
        <v>46738.400000000001</v>
      </c>
      <c r="Q21" s="4">
        <f>_xlfn.RANK.EQ(Table3[[#This Row],[Total Stream]],Table3[Total Stream],0)</f>
        <v>20</v>
      </c>
      <c r="R21" s="4">
        <f>Table3[[#This Row],[Total Streams (in millions)]]-Table3[[#This Row],[Total Stream]]</f>
        <v>-18</v>
      </c>
      <c r="S21" s="8">
        <f>IFERROR(Table3[[#This Row],[Collaborative Streams (in millions)]]/Table3[[#This Row],[Total Stream]],0)</f>
        <v>0.17512794618557759</v>
      </c>
      <c r="T21" t="str">
        <f>IF(Table3[[#This Row],[Total Streams (in millions)]]&gt;=50000,"High Performer",IF(Table3[[#This Row],[Total Streams (in millions)]]&gt;=20000,"Medium Performer","Low Performer"))</f>
        <v>Medium Performer</v>
      </c>
    </row>
    <row r="22" spans="1:20" x14ac:dyDescent="0.3">
      <c r="A22" s="9" t="s">
        <v>52</v>
      </c>
      <c r="B22" s="9" t="s">
        <v>14</v>
      </c>
      <c r="C22" s="9" t="s">
        <v>21</v>
      </c>
      <c r="D22" s="9" t="s">
        <v>16</v>
      </c>
      <c r="E22" s="9" t="s">
        <v>17</v>
      </c>
      <c r="F22" s="9" t="s">
        <v>18</v>
      </c>
      <c r="G22" s="10">
        <v>2015</v>
      </c>
      <c r="H22" s="10" t="str">
        <f>IF(Table3[[#This Row],[Debut Year]]&lt;=2000,"1999–2000",
IF(Table3[[#This Row],[Debut Year]]&lt;=2005,"2001–2005",
IF(Table3[[#This Row],[Debut Year]]&lt;=2010,"2006–2010",
IF(Table3[[#This Row],[Debut Year]]&lt;=2015,"2011–2015",
IF(Table3[[#This Row],[Debut Year]]&lt;=2020,"2016–2020",
"2021–2025")))))</f>
        <v>2011–2015</v>
      </c>
      <c r="I22" s="10">
        <v>46276.4</v>
      </c>
      <c r="J22" s="10">
        <v>34132.1</v>
      </c>
      <c r="K22" s="10">
        <v>12155.1</v>
      </c>
      <c r="L22" s="4">
        <v>26675.7</v>
      </c>
      <c r="M22" s="6">
        <f>Table2[[#This Row],[% of Solo Streams]]/100</f>
        <v>0.57644285210000001</v>
      </c>
      <c r="N22" s="3">
        <v>19600.7</v>
      </c>
      <c r="O22" s="6">
        <f>Table2[[#This Row],[% of Collaborative Streams]]/100</f>
        <v>0.42355714789999999</v>
      </c>
      <c r="P22" s="4">
        <f>Table3[[#This Row],[Lead Streams (in millions)]]+Table3[[#This Row],[Feature Streams (in millions)]]</f>
        <v>46287.199999999997</v>
      </c>
      <c r="Q22" s="4">
        <f>_xlfn.RANK.EQ(Table3[[#This Row],[Total Stream]],Table3[Total Stream],0)</f>
        <v>21</v>
      </c>
      <c r="R22" s="4">
        <f>Table3[[#This Row],[Total Streams (in millions)]]-Table3[[#This Row],[Total Stream]]</f>
        <v>-10.799999999995634</v>
      </c>
      <c r="S22" s="8">
        <f>IFERROR(Table3[[#This Row],[Collaborative Streams (in millions)]]/Table3[[#This Row],[Total Stream]],0)</f>
        <v>0.42345832109092801</v>
      </c>
      <c r="T22" t="str">
        <f>IF(Table3[[#This Row],[Total Streams (in millions)]]&gt;=50000,"High Performer",IF(Table3[[#This Row],[Total Streams (in millions)]]&gt;=20000,"Medium Performer","Low Performer"))</f>
        <v>Medium Performer</v>
      </c>
    </row>
    <row r="23" spans="1:20" x14ac:dyDescent="0.3">
      <c r="A23" s="11" t="s">
        <v>53</v>
      </c>
      <c r="B23" s="11" t="s">
        <v>14</v>
      </c>
      <c r="C23" s="11" t="s">
        <v>21</v>
      </c>
      <c r="D23" s="11" t="s">
        <v>16</v>
      </c>
      <c r="E23" s="11" t="s">
        <v>27</v>
      </c>
      <c r="F23" s="11" t="s">
        <v>18</v>
      </c>
      <c r="G23" s="12">
        <v>2005</v>
      </c>
      <c r="H23" s="12" t="str">
        <f>IF(Table3[[#This Row],[Debut Year]]&lt;=2000,"1999–2000",
IF(Table3[[#This Row],[Debut Year]]&lt;=2005,"2001–2005",
IF(Table3[[#This Row],[Debut Year]]&lt;=2010,"2006–2010",
IF(Table3[[#This Row],[Debut Year]]&lt;=2015,"2011–2015",
IF(Table3[[#This Row],[Debut Year]]&lt;=2020,"2016–2020",
"2021–2025")))))</f>
        <v>2001–2005</v>
      </c>
      <c r="I23" s="12">
        <v>43963.8</v>
      </c>
      <c r="J23" s="12">
        <v>24455.7</v>
      </c>
      <c r="K23" s="12">
        <v>19523.900000000001</v>
      </c>
      <c r="L23" s="4">
        <v>12219.3</v>
      </c>
      <c r="M23" s="6">
        <f>Table2[[#This Row],[% of Solo Streams]]/100</f>
        <v>0.27794003249999999</v>
      </c>
      <c r="N23" s="3">
        <v>31744.5</v>
      </c>
      <c r="O23" s="6">
        <f>Table2[[#This Row],[% of Collaborative Streams]]/100</f>
        <v>0.72205996750000001</v>
      </c>
      <c r="P23" s="4">
        <f>Table3[[#This Row],[Lead Streams (in millions)]]+Table3[[#This Row],[Feature Streams (in millions)]]</f>
        <v>43979.600000000006</v>
      </c>
      <c r="Q23" s="4">
        <f>_xlfn.RANK.EQ(Table3[[#This Row],[Total Stream]],Table3[Total Stream],0)</f>
        <v>22</v>
      </c>
      <c r="R23" s="4">
        <f>Table3[[#This Row],[Total Streams (in millions)]]-Table3[[#This Row],[Total Stream]]</f>
        <v>-15.80000000000291</v>
      </c>
      <c r="S23" s="8">
        <f>IFERROR(Table3[[#This Row],[Collaborative Streams (in millions)]]/Table3[[#This Row],[Total Stream]],0)</f>
        <v>0.72180056207878185</v>
      </c>
      <c r="T23" t="str">
        <f>IF(Table3[[#This Row],[Total Streams (in millions)]]&gt;=50000,"High Performer",IF(Table3[[#This Row],[Total Streams (in millions)]]&gt;=20000,"Medium Performer","Low Performer"))</f>
        <v>Medium Performer</v>
      </c>
    </row>
    <row r="24" spans="1:20" x14ac:dyDescent="0.3">
      <c r="A24" s="9" t="s">
        <v>54</v>
      </c>
      <c r="B24" s="9" t="s">
        <v>20</v>
      </c>
      <c r="C24" s="9" t="s">
        <v>55</v>
      </c>
      <c r="D24" s="9" t="s">
        <v>16</v>
      </c>
      <c r="E24" s="9" t="s">
        <v>17</v>
      </c>
      <c r="F24" s="9" t="s">
        <v>18</v>
      </c>
      <c r="G24" s="10">
        <v>2007</v>
      </c>
      <c r="H24" s="10" t="str">
        <f>IF(Table3[[#This Row],[Debut Year]]&lt;=2000,"1999–2000",
IF(Table3[[#This Row],[Debut Year]]&lt;=2005,"2001–2005",
IF(Table3[[#This Row],[Debut Year]]&lt;=2010,"2006–2010",
IF(Table3[[#This Row],[Debut Year]]&lt;=2015,"2011–2015",
IF(Table3[[#This Row],[Debut Year]]&lt;=2020,"2016–2020",
"2021–2025")))))</f>
        <v>2006–2010</v>
      </c>
      <c r="I24" s="10">
        <v>43330.3</v>
      </c>
      <c r="J24" s="10">
        <v>16316.4</v>
      </c>
      <c r="K24" s="10">
        <v>27027.9</v>
      </c>
      <c r="L24" s="4">
        <v>9618.2000000000007</v>
      </c>
      <c r="M24" s="6">
        <f>Table2[[#This Row],[% of Solo Streams]]/100</f>
        <v>0.22197399969999998</v>
      </c>
      <c r="N24" s="3">
        <v>33712.1</v>
      </c>
      <c r="O24" s="6">
        <f>Table2[[#This Row],[% of Collaborative Streams]]/100</f>
        <v>0.77802600029999991</v>
      </c>
      <c r="P24" s="4">
        <f>Table3[[#This Row],[Lead Streams (in millions)]]+Table3[[#This Row],[Feature Streams (in millions)]]</f>
        <v>43344.3</v>
      </c>
      <c r="Q24" s="4">
        <f>_xlfn.RANK.EQ(Table3[[#This Row],[Total Stream]],Table3[Total Stream],0)</f>
        <v>23</v>
      </c>
      <c r="R24" s="4">
        <f>Table3[[#This Row],[Total Streams (in millions)]]-Table3[[#This Row],[Total Stream]]</f>
        <v>-14</v>
      </c>
      <c r="S24" s="8">
        <f>IFERROR(Table3[[#This Row],[Collaborative Streams (in millions)]]/Table3[[#This Row],[Total Stream]],0)</f>
        <v>0.77777470163320195</v>
      </c>
      <c r="T24" t="str">
        <f>IF(Table3[[#This Row],[Total Streams (in millions)]]&gt;=50000,"High Performer",IF(Table3[[#This Row],[Total Streams (in millions)]]&gt;=20000,"Medium Performer","Low Performer"))</f>
        <v>Medium Performer</v>
      </c>
    </row>
    <row r="25" spans="1:20" x14ac:dyDescent="0.3">
      <c r="A25" s="11" t="s">
        <v>56</v>
      </c>
      <c r="B25" s="11" t="s">
        <v>20</v>
      </c>
      <c r="C25" s="11" t="s">
        <v>21</v>
      </c>
      <c r="D25" s="11" t="s">
        <v>16</v>
      </c>
      <c r="E25" s="11" t="s">
        <v>57</v>
      </c>
      <c r="F25" s="11" t="s">
        <v>18</v>
      </c>
      <c r="G25" s="12">
        <v>2010</v>
      </c>
      <c r="H25" s="12" t="str">
        <f>IF(Table3[[#This Row],[Debut Year]]&lt;=2000,"1999–2000",
IF(Table3[[#This Row],[Debut Year]]&lt;=2005,"2001–2005",
IF(Table3[[#This Row],[Debut Year]]&lt;=2010,"2006–2010",
IF(Table3[[#This Row],[Debut Year]]&lt;=2015,"2011–2015",
IF(Table3[[#This Row],[Debut Year]]&lt;=2020,"2016–2020",
"2021–2025")))))</f>
        <v>2006–2010</v>
      </c>
      <c r="I25" s="12">
        <v>42464.1</v>
      </c>
      <c r="J25" s="12">
        <v>38477.300000000003</v>
      </c>
      <c r="K25" s="12">
        <v>3986.8</v>
      </c>
      <c r="L25" s="4">
        <v>34578.400000000001</v>
      </c>
      <c r="M25" s="6">
        <f>Table2[[#This Row],[% of Solo Streams]]/100</f>
        <v>0.81429725340000003</v>
      </c>
      <c r="N25" s="3">
        <v>7885.7</v>
      </c>
      <c r="O25" s="6">
        <f>Table2[[#This Row],[% of Collaborative Streams]]/100</f>
        <v>0.1857027466</v>
      </c>
      <c r="P25" s="4">
        <f>Table3[[#This Row],[Lead Streams (in millions)]]+Table3[[#This Row],[Feature Streams (in millions)]]</f>
        <v>42464.100000000006</v>
      </c>
      <c r="Q25" s="4">
        <f>_xlfn.RANK.EQ(Table3[[#This Row],[Total Stream]],Table3[Total Stream],0)</f>
        <v>24</v>
      </c>
      <c r="R25" s="4">
        <f>Table3[[#This Row],[Total Streams (in millions)]]-Table3[[#This Row],[Total Stream]]</f>
        <v>0</v>
      </c>
      <c r="S25" s="8">
        <f>IFERROR(Table3[[#This Row],[Collaborative Streams (in millions)]]/Table3[[#This Row],[Total Stream]],0)</f>
        <v>0.18570274655532554</v>
      </c>
      <c r="T25" t="str">
        <f>IF(Table3[[#This Row],[Total Streams (in millions)]]&gt;=50000,"High Performer",IF(Table3[[#This Row],[Total Streams (in millions)]]&gt;=20000,"Medium Performer","Low Performer"))</f>
        <v>Medium Performer</v>
      </c>
    </row>
    <row r="26" spans="1:20" x14ac:dyDescent="0.3">
      <c r="A26" s="9" t="s">
        <v>58</v>
      </c>
      <c r="B26" s="9" t="s">
        <v>14</v>
      </c>
      <c r="C26" s="9" t="s">
        <v>59</v>
      </c>
      <c r="D26" s="9" t="s">
        <v>16</v>
      </c>
      <c r="E26" s="9" t="s">
        <v>60</v>
      </c>
      <c r="F26" s="9" t="s">
        <v>18</v>
      </c>
      <c r="G26" s="10">
        <v>1990</v>
      </c>
      <c r="H26" s="10" t="str">
        <f>IF(Table3[[#This Row],[Debut Year]]&lt;=2000,"1999–2000",
IF(Table3[[#This Row],[Debut Year]]&lt;=2005,"2001–2005",
IF(Table3[[#This Row],[Debut Year]]&lt;=2010,"2006–2010",
IF(Table3[[#This Row],[Debut Year]]&lt;=2015,"2011–2015",
IF(Table3[[#This Row],[Debut Year]]&lt;=2020,"2016–2020",
"2021–2025")))))</f>
        <v>1999–2000</v>
      </c>
      <c r="I26" s="10">
        <v>42059.5</v>
      </c>
      <c r="J26" s="10">
        <v>30750.799999999999</v>
      </c>
      <c r="K26" s="10">
        <v>11325.3</v>
      </c>
      <c r="L26" s="4">
        <v>406.8</v>
      </c>
      <c r="M26" s="6">
        <f>Table2[[#This Row],[% of Solo Streams]]/100</f>
        <v>9.6720122679999996E-3</v>
      </c>
      <c r="N26" s="3">
        <v>41652.699999999997</v>
      </c>
      <c r="O26" s="6">
        <f>Table2[[#This Row],[% of Collaborative Streams]]/100</f>
        <v>0.99032798769999997</v>
      </c>
      <c r="P26" s="4">
        <f>Table3[[#This Row],[Lead Streams (in millions)]]+Table3[[#This Row],[Feature Streams (in millions)]]</f>
        <v>42076.1</v>
      </c>
      <c r="Q26" s="4">
        <f>_xlfn.RANK.EQ(Table3[[#This Row],[Total Stream]],Table3[Total Stream],0)</f>
        <v>25</v>
      </c>
      <c r="R26" s="4">
        <f>Table3[[#This Row],[Total Streams (in millions)]]-Table3[[#This Row],[Total Stream]]</f>
        <v>-16.599999999998545</v>
      </c>
      <c r="S26" s="8">
        <f>IFERROR(Table3[[#This Row],[Collaborative Streams (in millions)]]/Table3[[#This Row],[Total Stream]],0)</f>
        <v>0.98993728030877381</v>
      </c>
      <c r="T26" t="str">
        <f>IF(Table3[[#This Row],[Total Streams (in millions)]]&gt;=50000,"High Performer",IF(Table3[[#This Row],[Total Streams (in millions)]]&gt;=20000,"Medium Performer","Low Performer"))</f>
        <v>Medium Performer</v>
      </c>
    </row>
    <row r="27" spans="1:20" x14ac:dyDescent="0.3">
      <c r="A27" s="11" t="s">
        <v>61</v>
      </c>
      <c r="B27" s="11" t="s">
        <v>20</v>
      </c>
      <c r="C27" s="11" t="s">
        <v>33</v>
      </c>
      <c r="D27" s="11" t="s">
        <v>16</v>
      </c>
      <c r="E27" s="11" t="s">
        <v>22</v>
      </c>
      <c r="F27" s="11" t="s">
        <v>18</v>
      </c>
      <c r="G27" s="12">
        <v>2015</v>
      </c>
      <c r="H27" s="12" t="str">
        <f>IF(Table3[[#This Row],[Debut Year]]&lt;=2000,"1999–2000",
IF(Table3[[#This Row],[Debut Year]]&lt;=2005,"2001–2005",
IF(Table3[[#This Row],[Debut Year]]&lt;=2010,"2006–2010",
IF(Table3[[#This Row],[Debut Year]]&lt;=2015,"2011–2015",
IF(Table3[[#This Row],[Debut Year]]&lt;=2020,"2016–2020",
"2021–2025")))))</f>
        <v>2011–2015</v>
      </c>
      <c r="I27" s="12">
        <v>41944.1</v>
      </c>
      <c r="J27" s="12">
        <v>28269.7</v>
      </c>
      <c r="K27" s="12">
        <v>13687.6</v>
      </c>
      <c r="L27" s="4">
        <v>23133.7</v>
      </c>
      <c r="M27" s="6">
        <f>Table2[[#This Row],[% of Solo Streams]]/100</f>
        <v>0.55153644970000004</v>
      </c>
      <c r="N27" s="3">
        <v>18810.400000000001</v>
      </c>
      <c r="O27" s="6">
        <f>Table2[[#This Row],[% of Collaborative Streams]]/100</f>
        <v>0.44846355029999996</v>
      </c>
      <c r="P27" s="4">
        <f>Table3[[#This Row],[Lead Streams (in millions)]]+Table3[[#This Row],[Feature Streams (in millions)]]</f>
        <v>41957.3</v>
      </c>
      <c r="Q27" s="4">
        <f>_xlfn.RANK.EQ(Table3[[#This Row],[Total Stream]],Table3[Total Stream],0)</f>
        <v>26</v>
      </c>
      <c r="R27" s="4">
        <f>Table3[[#This Row],[Total Streams (in millions)]]-Table3[[#This Row],[Total Stream]]</f>
        <v>-13.200000000004366</v>
      </c>
      <c r="S27" s="8">
        <f>IFERROR(Table3[[#This Row],[Collaborative Streams (in millions)]]/Table3[[#This Row],[Total Stream]],0)</f>
        <v>0.44832246116885499</v>
      </c>
      <c r="T27" t="str">
        <f>IF(Table3[[#This Row],[Total Streams (in millions)]]&gt;=50000,"High Performer",IF(Table3[[#This Row],[Total Streams (in millions)]]&gt;=20000,"Medium Performer","Low Performer"))</f>
        <v>Medium Performer</v>
      </c>
    </row>
    <row r="28" spans="1:20" x14ac:dyDescent="0.3">
      <c r="A28" s="9" t="s">
        <v>62</v>
      </c>
      <c r="B28" s="9" t="s">
        <v>14</v>
      </c>
      <c r="C28" s="9" t="s">
        <v>21</v>
      </c>
      <c r="D28" s="9" t="s">
        <v>24</v>
      </c>
      <c r="E28" s="9" t="s">
        <v>25</v>
      </c>
      <c r="F28" s="9" t="s">
        <v>18</v>
      </c>
      <c r="G28" s="10">
        <v>1991</v>
      </c>
      <c r="H28" s="10" t="str">
        <f>IF(Table3[[#This Row],[Debut Year]]&lt;=2000,"1999–2000",
IF(Table3[[#This Row],[Debut Year]]&lt;=2005,"2001–2005",
IF(Table3[[#This Row],[Debut Year]]&lt;=2010,"2006–2010",
IF(Table3[[#This Row],[Debut Year]]&lt;=2015,"2011–2015",
IF(Table3[[#This Row],[Debut Year]]&lt;=2020,"2016–2020",
"2021–2025")))))</f>
        <v>1999–2000</v>
      </c>
      <c r="I28" s="10">
        <v>41405.4</v>
      </c>
      <c r="J28" s="10">
        <v>19772.099999999999</v>
      </c>
      <c r="K28" s="10">
        <v>21650</v>
      </c>
      <c r="L28" s="4">
        <v>10692.8</v>
      </c>
      <c r="M28" s="6">
        <f>Table2[[#This Row],[% of Solo Streams]]/100</f>
        <v>0.2582465089</v>
      </c>
      <c r="N28" s="3">
        <v>30712.6</v>
      </c>
      <c r="O28" s="6">
        <f>Table2[[#This Row],[% of Collaborative Streams]]/100</f>
        <v>0.7417534911</v>
      </c>
      <c r="P28" s="4">
        <f>Table3[[#This Row],[Lead Streams (in millions)]]+Table3[[#This Row],[Feature Streams (in millions)]]</f>
        <v>41422.1</v>
      </c>
      <c r="Q28" s="4">
        <f>_xlfn.RANK.EQ(Table3[[#This Row],[Total Stream]],Table3[Total Stream],0)</f>
        <v>27</v>
      </c>
      <c r="R28" s="4">
        <f>Table3[[#This Row],[Total Streams (in millions)]]-Table3[[#This Row],[Total Stream]]</f>
        <v>-16.69999999999709</v>
      </c>
      <c r="S28" s="8">
        <f>IFERROR(Table3[[#This Row],[Collaborative Streams (in millions)]]/Table3[[#This Row],[Total Stream]],0)</f>
        <v>0.74145444098681623</v>
      </c>
      <c r="T28" t="str">
        <f>IF(Table3[[#This Row],[Total Streams (in millions)]]&gt;=50000,"High Performer",IF(Table3[[#This Row],[Total Streams (in millions)]]&gt;=20000,"Medium Performer","Low Performer"))</f>
        <v>Medium Performer</v>
      </c>
    </row>
    <row r="29" spans="1:20" x14ac:dyDescent="0.3">
      <c r="A29" s="11" t="s">
        <v>63</v>
      </c>
      <c r="B29" s="11" t="s">
        <v>14</v>
      </c>
      <c r="C29" s="11" t="s">
        <v>21</v>
      </c>
      <c r="D29" s="11" t="s">
        <v>24</v>
      </c>
      <c r="E29" s="11" t="s">
        <v>25</v>
      </c>
      <c r="F29" s="11" t="s">
        <v>18</v>
      </c>
      <c r="G29" s="12">
        <v>2014</v>
      </c>
      <c r="H29" s="12" t="str">
        <f>IF(Table3[[#This Row],[Debut Year]]&lt;=2000,"1999–2000",
IF(Table3[[#This Row],[Debut Year]]&lt;=2005,"2001–2005",
IF(Table3[[#This Row],[Debut Year]]&lt;=2010,"2006–2010",
IF(Table3[[#This Row],[Debut Year]]&lt;=2015,"2011–2015",
IF(Table3[[#This Row],[Debut Year]]&lt;=2020,"2016–2020",
"2021–2025")))))</f>
        <v>2011–2015</v>
      </c>
      <c r="I29" s="12">
        <v>40738.6</v>
      </c>
      <c r="J29" s="12">
        <v>24898</v>
      </c>
      <c r="K29" s="12">
        <v>15857.7</v>
      </c>
      <c r="L29" s="4">
        <v>10432.5</v>
      </c>
      <c r="M29" s="6">
        <f>Table2[[#This Row],[% of Solo Streams]]/100</f>
        <v>0.25608391059999996</v>
      </c>
      <c r="N29" s="3">
        <v>30306.1</v>
      </c>
      <c r="O29" s="6">
        <f>Table2[[#This Row],[% of Collaborative Streams]]/100</f>
        <v>0.74391608939999998</v>
      </c>
      <c r="P29" s="4">
        <f>Table3[[#This Row],[Lead Streams (in millions)]]+Table3[[#This Row],[Feature Streams (in millions)]]</f>
        <v>40755.699999999997</v>
      </c>
      <c r="Q29" s="4">
        <f>_xlfn.RANK.EQ(Table3[[#This Row],[Total Stream]],Table3[Total Stream],0)</f>
        <v>28</v>
      </c>
      <c r="R29" s="4">
        <f>Table3[[#This Row],[Total Streams (in millions)]]-Table3[[#This Row],[Total Stream]]</f>
        <v>-17.099999999998545</v>
      </c>
      <c r="S29" s="8">
        <f>IFERROR(Table3[[#This Row],[Collaborative Streams (in millions)]]/Table3[[#This Row],[Total Stream]],0)</f>
        <v>0.74360396214517233</v>
      </c>
      <c r="T29" t="str">
        <f>IF(Table3[[#This Row],[Total Streams (in millions)]]&gt;=50000,"High Performer",IF(Table3[[#This Row],[Total Streams (in millions)]]&gt;=20000,"Medium Performer","Low Performer"))</f>
        <v>Medium Performer</v>
      </c>
    </row>
    <row r="30" spans="1:20" x14ac:dyDescent="0.3">
      <c r="A30" s="9" t="s">
        <v>64</v>
      </c>
      <c r="B30" s="9" t="s">
        <v>14</v>
      </c>
      <c r="C30" s="9" t="s">
        <v>21</v>
      </c>
      <c r="D30" s="9" t="s">
        <v>24</v>
      </c>
      <c r="E30" s="9" t="s">
        <v>25</v>
      </c>
      <c r="F30" s="9" t="s">
        <v>18</v>
      </c>
      <c r="G30" s="10">
        <v>2011</v>
      </c>
      <c r="H30" s="10" t="str">
        <f>IF(Table3[[#This Row],[Debut Year]]&lt;=2000,"1999–2000",
IF(Table3[[#This Row],[Debut Year]]&lt;=2005,"2001–2005",
IF(Table3[[#This Row],[Debut Year]]&lt;=2010,"2006–2010",
IF(Table3[[#This Row],[Debut Year]]&lt;=2015,"2011–2015",
IF(Table3[[#This Row],[Debut Year]]&lt;=2020,"2016–2020",
"2021–2025")))))</f>
        <v>2011–2015</v>
      </c>
      <c r="I30" s="10">
        <v>40453.300000000003</v>
      </c>
      <c r="J30" s="10">
        <v>18355.599999999999</v>
      </c>
      <c r="K30" s="10">
        <v>22118.9</v>
      </c>
      <c r="L30" s="4">
        <v>6177</v>
      </c>
      <c r="M30" s="6">
        <f>Table2[[#This Row],[% of Solo Streams]]/100</f>
        <v>0.15269458860000001</v>
      </c>
      <c r="N30" s="3">
        <v>34276.300000000003</v>
      </c>
      <c r="O30" s="6">
        <f>Table2[[#This Row],[% of Collaborative Streams]]/100</f>
        <v>0.84730541140000004</v>
      </c>
      <c r="P30" s="4">
        <f>Table3[[#This Row],[Lead Streams (in millions)]]+Table3[[#This Row],[Feature Streams (in millions)]]</f>
        <v>40474.5</v>
      </c>
      <c r="Q30" s="4">
        <f>_xlfn.RANK.EQ(Table3[[#This Row],[Total Stream]],Table3[Total Stream],0)</f>
        <v>29</v>
      </c>
      <c r="R30" s="4">
        <f>Table3[[#This Row],[Total Streams (in millions)]]-Table3[[#This Row],[Total Stream]]</f>
        <v>-21.19999999999709</v>
      </c>
      <c r="S30" s="8">
        <f>IFERROR(Table3[[#This Row],[Collaborative Streams (in millions)]]/Table3[[#This Row],[Total Stream]],0)</f>
        <v>0.84686160421994106</v>
      </c>
      <c r="T30" t="str">
        <f>IF(Table3[[#This Row],[Total Streams (in millions)]]&gt;=50000,"High Performer",IF(Table3[[#This Row],[Total Streams (in millions)]]&gt;=20000,"Medium Performer","Low Performer"))</f>
        <v>Medium Performer</v>
      </c>
    </row>
    <row r="31" spans="1:20" x14ac:dyDescent="0.3">
      <c r="A31" s="11" t="s">
        <v>65</v>
      </c>
      <c r="B31" s="11" t="s">
        <v>14</v>
      </c>
      <c r="C31" s="11" t="s">
        <v>21</v>
      </c>
      <c r="D31" s="11" t="s">
        <v>16</v>
      </c>
      <c r="E31" s="11" t="s">
        <v>17</v>
      </c>
      <c r="F31" s="11" t="s">
        <v>18</v>
      </c>
      <c r="G31" s="12">
        <v>2013</v>
      </c>
      <c r="H31" s="12" t="str">
        <f>IF(Table3[[#This Row],[Debut Year]]&lt;=2000,"1999–2000",
IF(Table3[[#This Row],[Debut Year]]&lt;=2005,"2001–2005",
IF(Table3[[#This Row],[Debut Year]]&lt;=2010,"2006–2010",
IF(Table3[[#This Row],[Debut Year]]&lt;=2015,"2011–2015",
IF(Table3[[#This Row],[Debut Year]]&lt;=2020,"2016–2020",
"2021–2025")))))</f>
        <v>2011–2015</v>
      </c>
      <c r="I31" s="12">
        <v>40411.300000000003</v>
      </c>
      <c r="J31" s="12">
        <v>34419.9</v>
      </c>
      <c r="K31" s="12">
        <v>5998.9</v>
      </c>
      <c r="L31" s="4">
        <v>28138.400000000001</v>
      </c>
      <c r="M31" s="6">
        <f>Table2[[#This Row],[% of Solo Streams]]/100</f>
        <v>0.6963002922</v>
      </c>
      <c r="N31" s="3">
        <v>12272.9</v>
      </c>
      <c r="O31" s="6">
        <f>Table2[[#This Row],[% of Collaborative Streams]]/100</f>
        <v>0.3036997078</v>
      </c>
      <c r="P31" s="4">
        <f>Table3[[#This Row],[Lead Streams (in millions)]]+Table3[[#This Row],[Feature Streams (in millions)]]</f>
        <v>40418.800000000003</v>
      </c>
      <c r="Q31" s="4">
        <f>_xlfn.RANK.EQ(Table3[[#This Row],[Total Stream]],Table3[Total Stream],0)</f>
        <v>30</v>
      </c>
      <c r="R31" s="4">
        <f>Table3[[#This Row],[Total Streams (in millions)]]-Table3[[#This Row],[Total Stream]]</f>
        <v>-7.5</v>
      </c>
      <c r="S31" s="8">
        <f>IFERROR(Table3[[#This Row],[Collaborative Streams (in millions)]]/Table3[[#This Row],[Total Stream]],0)</f>
        <v>0.30364335408275356</v>
      </c>
      <c r="T31" t="str">
        <f>IF(Table3[[#This Row],[Total Streams (in millions)]]&gt;=50000,"High Performer",IF(Table3[[#This Row],[Total Streams (in millions)]]&gt;=20000,"Medium Performer","Low Performer"))</f>
        <v>Medium Performer</v>
      </c>
    </row>
    <row r="32" spans="1:20" x14ac:dyDescent="0.3">
      <c r="A32" s="9" t="s">
        <v>66</v>
      </c>
      <c r="B32" s="9" t="s">
        <v>14</v>
      </c>
      <c r="C32" s="9" t="s">
        <v>21</v>
      </c>
      <c r="D32" s="9" t="s">
        <v>16</v>
      </c>
      <c r="E32" s="9" t="s">
        <v>51</v>
      </c>
      <c r="F32" s="9" t="s">
        <v>48</v>
      </c>
      <c r="G32" s="10">
        <v>2012</v>
      </c>
      <c r="H32" s="10" t="str">
        <f>IF(Table3[[#This Row],[Debut Year]]&lt;=2000,"1999–2000",
IF(Table3[[#This Row],[Debut Year]]&lt;=2005,"2001–2005",
IF(Table3[[#This Row],[Debut Year]]&lt;=2010,"2006–2010",
IF(Table3[[#This Row],[Debut Year]]&lt;=2015,"2011–2015",
IF(Table3[[#This Row],[Debut Year]]&lt;=2020,"2016–2020",
"2021–2025")))))</f>
        <v>2011–2015</v>
      </c>
      <c r="I32" s="10">
        <v>40279.5</v>
      </c>
      <c r="J32" s="10">
        <v>38006.699999999997</v>
      </c>
      <c r="K32" s="10">
        <v>2283.1999999999998</v>
      </c>
      <c r="L32" s="4">
        <v>33880.400000000001</v>
      </c>
      <c r="M32" s="6">
        <f>Table2[[#This Row],[% of Solo Streams]]/100</f>
        <v>0.84113258610000008</v>
      </c>
      <c r="N32" s="3">
        <v>6399.1</v>
      </c>
      <c r="O32" s="6">
        <f>Table2[[#This Row],[% of Collaborative Streams]]/100</f>
        <v>0.1588674139</v>
      </c>
      <c r="P32" s="4">
        <f>Table3[[#This Row],[Lead Streams (in millions)]]+Table3[[#This Row],[Feature Streams (in millions)]]</f>
        <v>40289.899999999994</v>
      </c>
      <c r="Q32" s="4">
        <f>_xlfn.RANK.EQ(Table3[[#This Row],[Total Stream]],Table3[Total Stream],0)</f>
        <v>31</v>
      </c>
      <c r="R32" s="4">
        <f>Table3[[#This Row],[Total Streams (in millions)]]-Table3[[#This Row],[Total Stream]]</f>
        <v>-10.399999999994179</v>
      </c>
      <c r="S32" s="8">
        <f>IFERROR(Table3[[#This Row],[Collaborative Streams (in millions)]]/Table3[[#This Row],[Total Stream]],0)</f>
        <v>0.15882640562523118</v>
      </c>
      <c r="T32" t="str">
        <f>IF(Table3[[#This Row],[Total Streams (in millions)]]&gt;=50000,"High Performer",IF(Table3[[#This Row],[Total Streams (in millions)]]&gt;=20000,"Medium Performer","Low Performer"))</f>
        <v>Medium Performer</v>
      </c>
    </row>
    <row r="33" spans="1:20" x14ac:dyDescent="0.3">
      <c r="A33" s="11" t="s">
        <v>67</v>
      </c>
      <c r="B33" s="11" t="s">
        <v>14</v>
      </c>
      <c r="C33" s="11" t="s">
        <v>21</v>
      </c>
      <c r="D33" s="11" t="s">
        <v>16</v>
      </c>
      <c r="E33" s="11" t="s">
        <v>17</v>
      </c>
      <c r="F33" s="11" t="s">
        <v>18</v>
      </c>
      <c r="G33" s="12">
        <v>1997</v>
      </c>
      <c r="H33" s="12" t="str">
        <f>IF(Table3[[#This Row],[Debut Year]]&lt;=2000,"1999–2000",
IF(Table3[[#This Row],[Debut Year]]&lt;=2005,"2001–2005",
IF(Table3[[#This Row],[Debut Year]]&lt;=2010,"2006–2010",
IF(Table3[[#This Row],[Debut Year]]&lt;=2015,"2011–2015",
IF(Table3[[#This Row],[Debut Year]]&lt;=2020,"2016–2020",
"2021–2025")))))</f>
        <v>1999–2000</v>
      </c>
      <c r="I33" s="12">
        <v>40148.199999999997</v>
      </c>
      <c r="J33" s="12">
        <v>15870.4</v>
      </c>
      <c r="K33" s="12">
        <v>24279.9</v>
      </c>
      <c r="L33" s="4">
        <v>4050.9</v>
      </c>
      <c r="M33" s="6">
        <f>Table2[[#This Row],[% of Solo Streams]]/100</f>
        <v>0.1008986704</v>
      </c>
      <c r="N33" s="3">
        <v>36097.300000000003</v>
      </c>
      <c r="O33" s="6">
        <f>Table2[[#This Row],[% of Collaborative Streams]]/100</f>
        <v>0.8991013296</v>
      </c>
      <c r="P33" s="4">
        <f>Table3[[#This Row],[Lead Streams (in millions)]]+Table3[[#This Row],[Feature Streams (in millions)]]</f>
        <v>40150.300000000003</v>
      </c>
      <c r="Q33" s="4">
        <f>_xlfn.RANK.EQ(Table3[[#This Row],[Total Stream]],Table3[Total Stream],0)</f>
        <v>32</v>
      </c>
      <c r="R33" s="4">
        <f>Table3[[#This Row],[Total Streams (in millions)]]-Table3[[#This Row],[Total Stream]]</f>
        <v>-2.1000000000058208</v>
      </c>
      <c r="S33" s="8">
        <f>IFERROR(Table3[[#This Row],[Collaborative Streams (in millions)]]/Table3[[#This Row],[Total Stream]],0)</f>
        <v>0.89905430345476867</v>
      </c>
      <c r="T33" t="str">
        <f>IF(Table3[[#This Row],[Total Streams (in millions)]]&gt;=50000,"High Performer",IF(Table3[[#This Row],[Total Streams (in millions)]]&gt;=20000,"Medium Performer","Low Performer"))</f>
        <v>Medium Performer</v>
      </c>
    </row>
    <row r="34" spans="1:20" x14ac:dyDescent="0.3">
      <c r="A34" s="9" t="s">
        <v>68</v>
      </c>
      <c r="B34" s="9" t="s">
        <v>14</v>
      </c>
      <c r="C34" s="9" t="s">
        <v>33</v>
      </c>
      <c r="D34" s="9" t="s">
        <v>16</v>
      </c>
      <c r="E34" s="9" t="s">
        <v>17</v>
      </c>
      <c r="F34" s="9" t="s">
        <v>18</v>
      </c>
      <c r="G34" s="10">
        <v>2014</v>
      </c>
      <c r="H34" s="10" t="str">
        <f>IF(Table3[[#This Row],[Debut Year]]&lt;=2000,"1999–2000",
IF(Table3[[#This Row],[Debut Year]]&lt;=2005,"2001–2005",
IF(Table3[[#This Row],[Debut Year]]&lt;=2010,"2006–2010",
IF(Table3[[#This Row],[Debut Year]]&lt;=2015,"2011–2015",
IF(Table3[[#This Row],[Debut Year]]&lt;=2020,"2016–2020",
"2021–2025")))))</f>
        <v>2011–2015</v>
      </c>
      <c r="I34" s="10">
        <v>39024.300000000003</v>
      </c>
      <c r="J34" s="10">
        <v>15878</v>
      </c>
      <c r="K34" s="10">
        <v>23155.599999999999</v>
      </c>
      <c r="L34" s="4">
        <v>7883.1</v>
      </c>
      <c r="M34" s="6">
        <f>Table2[[#This Row],[% of Solo Streams]]/100</f>
        <v>0.20200490460000001</v>
      </c>
      <c r="N34" s="3">
        <v>31141.200000000001</v>
      </c>
      <c r="O34" s="6">
        <f>Table2[[#This Row],[% of Collaborative Streams]]/100</f>
        <v>0.79799509540000002</v>
      </c>
      <c r="P34" s="4">
        <f>Table3[[#This Row],[Lead Streams (in millions)]]+Table3[[#This Row],[Feature Streams (in millions)]]</f>
        <v>39033.599999999999</v>
      </c>
      <c r="Q34" s="4">
        <f>_xlfn.RANK.EQ(Table3[[#This Row],[Total Stream]],Table3[Total Stream],0)</f>
        <v>33</v>
      </c>
      <c r="R34" s="4">
        <f>Table3[[#This Row],[Total Streams (in millions)]]-Table3[[#This Row],[Total Stream]]</f>
        <v>-9.2999999999956344</v>
      </c>
      <c r="S34" s="8">
        <f>IFERROR(Table3[[#This Row],[Collaborative Streams (in millions)]]/Table3[[#This Row],[Total Stream]],0)</f>
        <v>0.79780496802754552</v>
      </c>
      <c r="T34" t="str">
        <f>IF(Table3[[#This Row],[Total Streams (in millions)]]&gt;=50000,"High Performer",IF(Table3[[#This Row],[Total Streams (in millions)]]&gt;=20000,"Medium Performer","Low Performer"))</f>
        <v>Medium Performer</v>
      </c>
    </row>
    <row r="35" spans="1:20" x14ac:dyDescent="0.3">
      <c r="A35" s="11" t="s">
        <v>69</v>
      </c>
      <c r="B35" s="11" t="s">
        <v>20</v>
      </c>
      <c r="C35" s="11" t="s">
        <v>21</v>
      </c>
      <c r="D35" s="11" t="s">
        <v>16</v>
      </c>
      <c r="E35" s="11" t="s">
        <v>27</v>
      </c>
      <c r="F35" s="11" t="s">
        <v>18</v>
      </c>
      <c r="G35" s="12">
        <v>2012</v>
      </c>
      <c r="H35" s="12" t="str">
        <f>IF(Table3[[#This Row],[Debut Year]]&lt;=2000,"1999–2000",
IF(Table3[[#This Row],[Debut Year]]&lt;=2005,"2001–2005",
IF(Table3[[#This Row],[Debut Year]]&lt;=2010,"2006–2010",
IF(Table3[[#This Row],[Debut Year]]&lt;=2015,"2011–2015",
IF(Table3[[#This Row],[Debut Year]]&lt;=2020,"2016–2020",
"2021–2025")))))</f>
        <v>2011–2015</v>
      </c>
      <c r="I35" s="12">
        <v>38879.599999999999</v>
      </c>
      <c r="J35" s="12">
        <v>25267.5</v>
      </c>
      <c r="K35" s="12">
        <v>13627.2</v>
      </c>
      <c r="L35" s="4">
        <v>19804.599999999999</v>
      </c>
      <c r="M35" s="6">
        <f>Table2[[#This Row],[% of Solo Streams]]/100</f>
        <v>0.50938281259999996</v>
      </c>
      <c r="N35" s="3">
        <v>19075</v>
      </c>
      <c r="O35" s="6">
        <f>Table2[[#This Row],[% of Collaborative Streams]]/100</f>
        <v>0.49061718740000004</v>
      </c>
      <c r="P35" s="4">
        <f>Table3[[#This Row],[Lead Streams (in millions)]]+Table3[[#This Row],[Feature Streams (in millions)]]</f>
        <v>38894.699999999997</v>
      </c>
      <c r="Q35" s="4">
        <f>_xlfn.RANK.EQ(Table3[[#This Row],[Total Stream]],Table3[Total Stream],0)</f>
        <v>34</v>
      </c>
      <c r="R35" s="4">
        <f>Table3[[#This Row],[Total Streams (in millions)]]-Table3[[#This Row],[Total Stream]]</f>
        <v>-15.099999999998545</v>
      </c>
      <c r="S35" s="8">
        <f>IFERROR(Table3[[#This Row],[Collaborative Streams (in millions)]]/Table3[[#This Row],[Total Stream]],0)</f>
        <v>0.49042671623640244</v>
      </c>
      <c r="T35" t="str">
        <f>IF(Table3[[#This Row],[Total Streams (in millions)]]&gt;=50000,"High Performer",IF(Table3[[#This Row],[Total Streams (in millions)]]&gt;=20000,"Medium Performer","Low Performer"))</f>
        <v>Medium Performer</v>
      </c>
    </row>
    <row r="36" spans="1:20" x14ac:dyDescent="0.3">
      <c r="A36" s="9" t="s">
        <v>70</v>
      </c>
      <c r="B36" s="9" t="s">
        <v>14</v>
      </c>
      <c r="C36" s="9" t="s">
        <v>71</v>
      </c>
      <c r="D36" s="9" t="s">
        <v>72</v>
      </c>
      <c r="E36" s="9" t="s">
        <v>73</v>
      </c>
      <c r="F36" s="9" t="s">
        <v>18</v>
      </c>
      <c r="G36" s="10">
        <v>2011</v>
      </c>
      <c r="H36" s="10" t="str">
        <f>IF(Table3[[#This Row],[Debut Year]]&lt;=2000,"1999–2000",
IF(Table3[[#This Row],[Debut Year]]&lt;=2005,"2001–2005",
IF(Table3[[#This Row],[Debut Year]]&lt;=2010,"2006–2010",
IF(Table3[[#This Row],[Debut Year]]&lt;=2015,"2011–2015",
IF(Table3[[#This Row],[Debut Year]]&lt;=2020,"2016–2020",
"2021–2025")))))</f>
        <v>2011–2015</v>
      </c>
      <c r="I36" s="10">
        <v>37687.800000000003</v>
      </c>
      <c r="J36" s="10">
        <v>13330.4</v>
      </c>
      <c r="K36" s="10">
        <v>24384.799999999999</v>
      </c>
      <c r="L36" s="4">
        <v>4537.3999999999996</v>
      </c>
      <c r="M36" s="6">
        <f>Table2[[#This Row],[% of Solo Streams]]/100</f>
        <v>0.1203943982</v>
      </c>
      <c r="N36" s="3">
        <v>33150.400000000001</v>
      </c>
      <c r="O36" s="6">
        <f>Table2[[#This Row],[% of Collaborative Streams]]/100</f>
        <v>0.87960560180000003</v>
      </c>
      <c r="P36" s="4">
        <f>Table3[[#This Row],[Lead Streams (in millions)]]+Table3[[#This Row],[Feature Streams (in millions)]]</f>
        <v>37715.199999999997</v>
      </c>
      <c r="Q36" s="4">
        <f>_xlfn.RANK.EQ(Table3[[#This Row],[Total Stream]],Table3[Total Stream],0)</f>
        <v>35</v>
      </c>
      <c r="R36" s="4">
        <f>Table3[[#This Row],[Total Streams (in millions)]]-Table3[[#This Row],[Total Stream]]</f>
        <v>-27.399999999994179</v>
      </c>
      <c r="S36" s="8">
        <f>IFERROR(Table3[[#This Row],[Collaborative Streams (in millions)]]/Table3[[#This Row],[Total Stream]],0)</f>
        <v>0.87896657050738169</v>
      </c>
      <c r="T36" t="str">
        <f>IF(Table3[[#This Row],[Total Streams (in millions)]]&gt;=50000,"High Performer",IF(Table3[[#This Row],[Total Streams (in millions)]]&gt;=20000,"Medium Performer","Low Performer"))</f>
        <v>Medium Performer</v>
      </c>
    </row>
    <row r="37" spans="1:20" x14ac:dyDescent="0.3">
      <c r="A37" s="11" t="s">
        <v>74</v>
      </c>
      <c r="B37" s="11" t="s">
        <v>20</v>
      </c>
      <c r="C37" s="11" t="s">
        <v>21</v>
      </c>
      <c r="D37" s="11" t="s">
        <v>16</v>
      </c>
      <c r="E37" s="11" t="s">
        <v>22</v>
      </c>
      <c r="F37" s="11" t="s">
        <v>18</v>
      </c>
      <c r="G37" s="12">
        <v>2008</v>
      </c>
      <c r="H37" s="12" t="str">
        <f>IF(Table3[[#This Row],[Debut Year]]&lt;=2000,"1999–2000",
IF(Table3[[#This Row],[Debut Year]]&lt;=2005,"2001–2005",
IF(Table3[[#This Row],[Debut Year]]&lt;=2010,"2006–2010",
IF(Table3[[#This Row],[Debut Year]]&lt;=2015,"2011–2015",
IF(Table3[[#This Row],[Debut Year]]&lt;=2020,"2016–2020",
"2021–2025")))))</f>
        <v>2006–2010</v>
      </c>
      <c r="I37" s="12">
        <v>37565.4</v>
      </c>
      <c r="J37" s="12">
        <v>37009.699999999997</v>
      </c>
      <c r="K37" s="12">
        <v>572</v>
      </c>
      <c r="L37" s="4">
        <v>23546.2</v>
      </c>
      <c r="M37" s="6">
        <f>Table2[[#This Row],[% of Solo Streams]]/100</f>
        <v>0.62680551780000004</v>
      </c>
      <c r="N37" s="3">
        <v>14019.2</v>
      </c>
      <c r="O37" s="6">
        <f>Table2[[#This Row],[% of Collaborative Streams]]/100</f>
        <v>0.37319448219999996</v>
      </c>
      <c r="P37" s="4">
        <f>Table3[[#This Row],[Lead Streams (in millions)]]+Table3[[#This Row],[Feature Streams (in millions)]]</f>
        <v>37581.699999999997</v>
      </c>
      <c r="Q37" s="4">
        <f>_xlfn.RANK.EQ(Table3[[#This Row],[Total Stream]],Table3[Total Stream],0)</f>
        <v>36</v>
      </c>
      <c r="R37" s="4">
        <f>Table3[[#This Row],[Total Streams (in millions)]]-Table3[[#This Row],[Total Stream]]</f>
        <v>-16.299999999995634</v>
      </c>
      <c r="S37" s="8">
        <f>IFERROR(Table3[[#This Row],[Collaborative Streams (in millions)]]/Table3[[#This Row],[Total Stream]],0)</f>
        <v>0.37303261959943274</v>
      </c>
      <c r="T37" t="str">
        <f>IF(Table3[[#This Row],[Total Streams (in millions)]]&gt;=50000,"High Performer",IF(Table3[[#This Row],[Total Streams (in millions)]]&gt;=20000,"Medium Performer","Low Performer"))</f>
        <v>Medium Performer</v>
      </c>
    </row>
    <row r="38" spans="1:20" x14ac:dyDescent="0.3">
      <c r="A38" s="9" t="s">
        <v>75</v>
      </c>
      <c r="B38" s="9" t="s">
        <v>20</v>
      </c>
      <c r="C38" s="9" t="s">
        <v>42</v>
      </c>
      <c r="D38" s="9" t="s">
        <v>24</v>
      </c>
      <c r="E38" s="9" t="s">
        <v>25</v>
      </c>
      <c r="F38" s="9" t="s">
        <v>18</v>
      </c>
      <c r="G38" s="10">
        <v>2007</v>
      </c>
      <c r="H38" s="10" t="str">
        <f>IF(Table3[[#This Row],[Debut Year]]&lt;=2000,"1999–2000",
IF(Table3[[#This Row],[Debut Year]]&lt;=2005,"2001–2005",
IF(Table3[[#This Row],[Debut Year]]&lt;=2010,"2006–2010",
IF(Table3[[#This Row],[Debut Year]]&lt;=2015,"2011–2015",
IF(Table3[[#This Row],[Debut Year]]&lt;=2020,"2016–2020",
"2021–2025")))))</f>
        <v>2006–2010</v>
      </c>
      <c r="I38" s="10">
        <v>37549.699999999997</v>
      </c>
      <c r="J38" s="10">
        <v>29603.8</v>
      </c>
      <c r="K38" s="10">
        <v>7961.5</v>
      </c>
      <c r="L38" s="4">
        <v>14790.4</v>
      </c>
      <c r="M38" s="6">
        <f>Table2[[#This Row],[% of Solo Streams]]/100</f>
        <v>0.39388863290000004</v>
      </c>
      <c r="N38" s="3">
        <v>22759.3</v>
      </c>
      <c r="O38" s="6">
        <f>Table2[[#This Row],[% of Collaborative Streams]]/100</f>
        <v>0.60611136710000002</v>
      </c>
      <c r="P38" s="4">
        <f>Table3[[#This Row],[Lead Streams (in millions)]]+Table3[[#This Row],[Feature Streams (in millions)]]</f>
        <v>37565.300000000003</v>
      </c>
      <c r="Q38" s="4">
        <f>_xlfn.RANK.EQ(Table3[[#This Row],[Total Stream]],Table3[Total Stream],0)</f>
        <v>37</v>
      </c>
      <c r="R38" s="4">
        <f>Table3[[#This Row],[Total Streams (in millions)]]-Table3[[#This Row],[Total Stream]]</f>
        <v>-15.600000000005821</v>
      </c>
      <c r="S38" s="8">
        <f>IFERROR(Table3[[#This Row],[Collaborative Streams (in millions)]]/Table3[[#This Row],[Total Stream]],0)</f>
        <v>0.60585966304009276</v>
      </c>
      <c r="T38" t="str">
        <f>IF(Table3[[#This Row],[Total Streams (in millions)]]&gt;=50000,"High Performer",IF(Table3[[#This Row],[Total Streams (in millions)]]&gt;=20000,"Medium Performer","Low Performer"))</f>
        <v>Medium Performer</v>
      </c>
    </row>
    <row r="39" spans="1:20" x14ac:dyDescent="0.3">
      <c r="A39" s="11" t="s">
        <v>76</v>
      </c>
      <c r="B39" s="11" t="s">
        <v>14</v>
      </c>
      <c r="C39" s="11" t="s">
        <v>21</v>
      </c>
      <c r="D39" s="11" t="s">
        <v>16</v>
      </c>
      <c r="E39" s="11" t="s">
        <v>17</v>
      </c>
      <c r="F39" s="11" t="s">
        <v>18</v>
      </c>
      <c r="G39" s="12">
        <v>2017</v>
      </c>
      <c r="H39" s="12" t="str">
        <f>IF(Table3[[#This Row],[Debut Year]]&lt;=2000,"1999–2000",
IF(Table3[[#This Row],[Debut Year]]&lt;=2005,"2001–2005",
IF(Table3[[#This Row],[Debut Year]]&lt;=2010,"2006–2010",
IF(Table3[[#This Row],[Debut Year]]&lt;=2015,"2011–2015",
IF(Table3[[#This Row],[Debut Year]]&lt;=2020,"2016–2020",
"2021–2025")))))</f>
        <v>2016–2020</v>
      </c>
      <c r="I39" s="12">
        <v>35931.9</v>
      </c>
      <c r="J39" s="12">
        <v>18773.5</v>
      </c>
      <c r="K39" s="12">
        <v>17171.5</v>
      </c>
      <c r="L39" s="4">
        <v>8928.7999999999993</v>
      </c>
      <c r="M39" s="6">
        <f>Table2[[#This Row],[% of Solo Streams]]/100</f>
        <v>0.24849228679999999</v>
      </c>
      <c r="N39" s="3">
        <v>27003.1</v>
      </c>
      <c r="O39" s="6">
        <f>Table2[[#This Row],[% of Collaborative Streams]]/100</f>
        <v>0.75150771320000009</v>
      </c>
      <c r="P39" s="4">
        <f>Table3[[#This Row],[Lead Streams (in millions)]]+Table3[[#This Row],[Feature Streams (in millions)]]</f>
        <v>35945</v>
      </c>
      <c r="Q39" s="4">
        <f>_xlfn.RANK.EQ(Table3[[#This Row],[Total Stream]],Table3[Total Stream],0)</f>
        <v>38</v>
      </c>
      <c r="R39" s="4">
        <f>Table3[[#This Row],[Total Streams (in millions)]]-Table3[[#This Row],[Total Stream]]</f>
        <v>-13.099999999998545</v>
      </c>
      <c r="S39" s="8">
        <f>IFERROR(Table3[[#This Row],[Collaborative Streams (in millions)]]/Table3[[#This Row],[Total Stream]],0)</f>
        <v>0.75123382946167749</v>
      </c>
      <c r="T39" t="str">
        <f>IF(Table3[[#This Row],[Total Streams (in millions)]]&gt;=50000,"High Performer",IF(Table3[[#This Row],[Total Streams (in millions)]]&gt;=20000,"Medium Performer","Low Performer"))</f>
        <v>Medium Performer</v>
      </c>
    </row>
    <row r="40" spans="1:20" x14ac:dyDescent="0.3">
      <c r="A40" s="9" t="s">
        <v>77</v>
      </c>
      <c r="B40" s="9" t="s">
        <v>78</v>
      </c>
      <c r="C40" s="9" t="s">
        <v>21</v>
      </c>
      <c r="D40" s="9" t="s">
        <v>16</v>
      </c>
      <c r="E40" s="9" t="s">
        <v>22</v>
      </c>
      <c r="F40" s="9" t="s">
        <v>48</v>
      </c>
      <c r="G40" s="10">
        <v>2002</v>
      </c>
      <c r="H40" s="10" t="str">
        <f>IF(Table3[[#This Row],[Debut Year]]&lt;=2000,"1999–2000",
IF(Table3[[#This Row],[Debut Year]]&lt;=2005,"2001–2005",
IF(Table3[[#This Row],[Debut Year]]&lt;=2010,"2006–2010",
IF(Table3[[#This Row],[Debut Year]]&lt;=2015,"2011–2015",
IF(Table3[[#This Row],[Debut Year]]&lt;=2020,"2016–2020",
"2021–2025")))))</f>
        <v>2001–2005</v>
      </c>
      <c r="I40" s="10">
        <v>35794.1</v>
      </c>
      <c r="J40" s="10">
        <v>35585.800000000003</v>
      </c>
      <c r="K40" s="10">
        <v>222.6</v>
      </c>
      <c r="L40" s="4">
        <v>23312.5</v>
      </c>
      <c r="M40" s="6">
        <f>Table2[[#This Row],[% of Solo Streams]]/100</f>
        <v>0.65129448710000004</v>
      </c>
      <c r="N40" s="3">
        <v>12481.6</v>
      </c>
      <c r="O40" s="6">
        <f>Table2[[#This Row],[% of Collaborative Streams]]/100</f>
        <v>0.34870551290000001</v>
      </c>
      <c r="P40" s="4">
        <f>Table3[[#This Row],[Lead Streams (in millions)]]+Table3[[#This Row],[Feature Streams (in millions)]]</f>
        <v>35808.400000000001</v>
      </c>
      <c r="Q40" s="4">
        <f>_xlfn.RANK.EQ(Table3[[#This Row],[Total Stream]],Table3[Total Stream],0)</f>
        <v>39</v>
      </c>
      <c r="R40" s="4">
        <f>Table3[[#This Row],[Total Streams (in millions)]]-Table3[[#This Row],[Total Stream]]</f>
        <v>-14.30000000000291</v>
      </c>
      <c r="S40" s="8">
        <f>IFERROR(Table3[[#This Row],[Collaborative Streams (in millions)]]/Table3[[#This Row],[Total Stream]],0)</f>
        <v>0.34856625819640086</v>
      </c>
      <c r="T40" t="str">
        <f>IF(Table3[[#This Row],[Total Streams (in millions)]]&gt;=50000,"High Performer",IF(Table3[[#This Row],[Total Streams (in millions)]]&gt;=20000,"Medium Performer","Low Performer"))</f>
        <v>Medium Performer</v>
      </c>
    </row>
    <row r="41" spans="1:20" x14ac:dyDescent="0.3">
      <c r="A41" s="11" t="s">
        <v>79</v>
      </c>
      <c r="B41" s="11" t="s">
        <v>14</v>
      </c>
      <c r="C41" s="11" t="s">
        <v>21</v>
      </c>
      <c r="D41" s="11" t="s">
        <v>16</v>
      </c>
      <c r="E41" s="11" t="s">
        <v>27</v>
      </c>
      <c r="F41" s="11" t="s">
        <v>18</v>
      </c>
      <c r="G41" s="12">
        <v>2016</v>
      </c>
      <c r="H41" s="12" t="str">
        <f>IF(Table3[[#This Row],[Debut Year]]&lt;=2000,"1999–2000",
IF(Table3[[#This Row],[Debut Year]]&lt;=2005,"2001–2005",
IF(Table3[[#This Row],[Debut Year]]&lt;=2010,"2006–2010",
IF(Table3[[#This Row],[Debut Year]]&lt;=2015,"2011–2015",
IF(Table3[[#This Row],[Debut Year]]&lt;=2020,"2016–2020",
"2021–2025")))))</f>
        <v>2016–2020</v>
      </c>
      <c r="I41" s="12">
        <v>35727.199999999997</v>
      </c>
      <c r="J41" s="12">
        <v>18499.900000000001</v>
      </c>
      <c r="K41" s="12">
        <v>17234.400000000001</v>
      </c>
      <c r="L41" s="4">
        <v>12520.6</v>
      </c>
      <c r="M41" s="6">
        <f>Table2[[#This Row],[% of Solo Streams]]/100</f>
        <v>0.3504500773</v>
      </c>
      <c r="N41" s="3">
        <v>23206.6</v>
      </c>
      <c r="O41" s="6">
        <f>Table2[[#This Row],[% of Collaborative Streams]]/100</f>
        <v>0.6495499227</v>
      </c>
      <c r="P41" s="4">
        <f>Table3[[#This Row],[Lead Streams (in millions)]]+Table3[[#This Row],[Feature Streams (in millions)]]</f>
        <v>35734.300000000003</v>
      </c>
      <c r="Q41" s="4">
        <f>_xlfn.RANK.EQ(Table3[[#This Row],[Total Stream]],Table3[Total Stream],0)</f>
        <v>40</v>
      </c>
      <c r="R41" s="4">
        <f>Table3[[#This Row],[Total Streams (in millions)]]-Table3[[#This Row],[Total Stream]]</f>
        <v>-7.1000000000058208</v>
      </c>
      <c r="S41" s="8">
        <f>IFERROR(Table3[[#This Row],[Collaborative Streams (in millions)]]/Table3[[#This Row],[Total Stream]],0)</f>
        <v>0.64942086454750747</v>
      </c>
      <c r="T41" t="str">
        <f>IF(Table3[[#This Row],[Total Streams (in millions)]]&gt;=50000,"High Performer",IF(Table3[[#This Row],[Total Streams (in millions)]]&gt;=20000,"Medium Performer","Low Performer"))</f>
        <v>Medium Performer</v>
      </c>
    </row>
    <row r="42" spans="1:20" x14ac:dyDescent="0.3">
      <c r="A42" s="9" t="s">
        <v>80</v>
      </c>
      <c r="B42" s="9" t="s">
        <v>20</v>
      </c>
      <c r="C42" s="9" t="s">
        <v>21</v>
      </c>
      <c r="D42" s="9" t="s">
        <v>16</v>
      </c>
      <c r="E42" s="9" t="s">
        <v>22</v>
      </c>
      <c r="F42" s="9" t="s">
        <v>18</v>
      </c>
      <c r="G42" s="10">
        <v>2003</v>
      </c>
      <c r="H42" s="10" t="str">
        <f>IF(Table3[[#This Row],[Debut Year]]&lt;=2000,"1999–2000",
IF(Table3[[#This Row],[Debut Year]]&lt;=2005,"2001–2005",
IF(Table3[[#This Row],[Debut Year]]&lt;=2010,"2006–2010",
IF(Table3[[#This Row],[Debut Year]]&lt;=2015,"2011–2015",
IF(Table3[[#This Row],[Debut Year]]&lt;=2020,"2016–2020",
"2021–2025")))))</f>
        <v>2001–2005</v>
      </c>
      <c r="I42" s="10">
        <v>34975.199999999997</v>
      </c>
      <c r="J42" s="10">
        <v>29662.799999999999</v>
      </c>
      <c r="K42" s="10">
        <v>5325.3</v>
      </c>
      <c r="L42" s="4">
        <v>21863.9</v>
      </c>
      <c r="M42" s="6">
        <f>Table2[[#This Row],[% of Solo Streams]]/100</f>
        <v>0.62512580340000001</v>
      </c>
      <c r="N42" s="3">
        <v>13111.3</v>
      </c>
      <c r="O42" s="6">
        <f>Table2[[#This Row],[% of Collaborative Streams]]/100</f>
        <v>0.37487419659999999</v>
      </c>
      <c r="P42" s="4">
        <f>Table3[[#This Row],[Lead Streams (in millions)]]+Table3[[#This Row],[Feature Streams (in millions)]]</f>
        <v>34988.1</v>
      </c>
      <c r="Q42" s="4">
        <f>_xlfn.RANK.EQ(Table3[[#This Row],[Total Stream]],Table3[Total Stream],0)</f>
        <v>41</v>
      </c>
      <c r="R42" s="4">
        <f>Table3[[#This Row],[Total Streams (in millions)]]-Table3[[#This Row],[Total Stream]]</f>
        <v>-12.900000000001455</v>
      </c>
      <c r="S42" s="8">
        <f>IFERROR(Table3[[#This Row],[Collaborative Streams (in millions)]]/Table3[[#This Row],[Total Stream]],0)</f>
        <v>0.37473598166233663</v>
      </c>
      <c r="T42" t="str">
        <f>IF(Table3[[#This Row],[Total Streams (in millions)]]&gt;=50000,"High Performer",IF(Table3[[#This Row],[Total Streams (in millions)]]&gt;=20000,"Medium Performer","Low Performer"))</f>
        <v>Medium Performer</v>
      </c>
    </row>
    <row r="43" spans="1:20" x14ac:dyDescent="0.3">
      <c r="A43" s="11" t="s">
        <v>81</v>
      </c>
      <c r="B43" s="11" t="s">
        <v>14</v>
      </c>
      <c r="C43" s="11" t="s">
        <v>42</v>
      </c>
      <c r="D43" s="11" t="s">
        <v>24</v>
      </c>
      <c r="E43" s="11" t="s">
        <v>82</v>
      </c>
      <c r="F43" s="11" t="s">
        <v>18</v>
      </c>
      <c r="G43" s="12">
        <v>2010</v>
      </c>
      <c r="H43" s="12" t="str">
        <f>IF(Table3[[#This Row],[Debut Year]]&lt;=2000,"1999–2000",
IF(Table3[[#This Row],[Debut Year]]&lt;=2005,"2001–2005",
IF(Table3[[#This Row],[Debut Year]]&lt;=2010,"2006–2010",
IF(Table3[[#This Row],[Debut Year]]&lt;=2015,"2011–2015",
IF(Table3[[#This Row],[Debut Year]]&lt;=2020,"2016–2020",
"2021–2025")))))</f>
        <v>2006–2010</v>
      </c>
      <c r="I43" s="12">
        <v>34841</v>
      </c>
      <c r="J43" s="12">
        <v>19449.8</v>
      </c>
      <c r="K43" s="12">
        <v>15404.7</v>
      </c>
      <c r="L43" s="4">
        <v>11616.3</v>
      </c>
      <c r="M43" s="6">
        <f>Table2[[#This Row],[% of Solo Streams]]/100</f>
        <v>0.33340891480000001</v>
      </c>
      <c r="N43" s="3">
        <v>23224.7</v>
      </c>
      <c r="O43" s="6">
        <f>Table2[[#This Row],[% of Collaborative Streams]]/100</f>
        <v>0.66659108519999999</v>
      </c>
      <c r="P43" s="4">
        <f>Table3[[#This Row],[Lead Streams (in millions)]]+Table3[[#This Row],[Feature Streams (in millions)]]</f>
        <v>34854.5</v>
      </c>
      <c r="Q43" s="4">
        <f>_xlfn.RANK.EQ(Table3[[#This Row],[Total Stream]],Table3[Total Stream],0)</f>
        <v>42</v>
      </c>
      <c r="R43" s="4">
        <f>Table3[[#This Row],[Total Streams (in millions)]]-Table3[[#This Row],[Total Stream]]</f>
        <v>-13.5</v>
      </c>
      <c r="S43" s="8">
        <f>IFERROR(Table3[[#This Row],[Collaborative Streams (in millions)]]/Table3[[#This Row],[Total Stream]],0)</f>
        <v>0.66633289819105135</v>
      </c>
      <c r="T43" t="str">
        <f>IF(Table3[[#This Row],[Total Streams (in millions)]]&gt;=50000,"High Performer",IF(Table3[[#This Row],[Total Streams (in millions)]]&gt;=20000,"Medium Performer","Low Performer"))</f>
        <v>Medium Performer</v>
      </c>
    </row>
    <row r="44" spans="1:20" x14ac:dyDescent="0.3">
      <c r="A44" s="9" t="s">
        <v>83</v>
      </c>
      <c r="B44" s="9" t="s">
        <v>14</v>
      </c>
      <c r="C44" s="9" t="s">
        <v>42</v>
      </c>
      <c r="D44" s="9" t="s">
        <v>24</v>
      </c>
      <c r="E44" s="9" t="s">
        <v>25</v>
      </c>
      <c r="F44" s="9" t="s">
        <v>18</v>
      </c>
      <c r="G44" s="10">
        <v>2015</v>
      </c>
      <c r="H44" s="10" t="str">
        <f>IF(Table3[[#This Row],[Debut Year]]&lt;=2000,"1999–2000",
IF(Table3[[#This Row],[Debut Year]]&lt;=2005,"2001–2005",
IF(Table3[[#This Row],[Debut Year]]&lt;=2010,"2006–2010",
IF(Table3[[#This Row],[Debut Year]]&lt;=2015,"2011–2015",
IF(Table3[[#This Row],[Debut Year]]&lt;=2020,"2016–2020",
"2021–2025")))))</f>
        <v>2011–2015</v>
      </c>
      <c r="I44" s="10">
        <v>34579.1</v>
      </c>
      <c r="J44" s="10">
        <v>18725.599999999999</v>
      </c>
      <c r="K44" s="10">
        <v>15774.1</v>
      </c>
      <c r="L44" s="4">
        <v>9877.2999999999993</v>
      </c>
      <c r="M44" s="6">
        <f>Table2[[#This Row],[% of Solo Streams]]/100</f>
        <v>0.28564364019999999</v>
      </c>
      <c r="N44" s="3">
        <v>24701.8</v>
      </c>
      <c r="O44" s="6">
        <f>Table2[[#This Row],[% of Collaborative Streams]]/100</f>
        <v>0.71435635980000001</v>
      </c>
      <c r="P44" s="4">
        <f>Table3[[#This Row],[Lead Streams (in millions)]]+Table3[[#This Row],[Feature Streams (in millions)]]</f>
        <v>34499.699999999997</v>
      </c>
      <c r="Q44" s="4">
        <f>_xlfn.RANK.EQ(Table3[[#This Row],[Total Stream]],Table3[Total Stream],0)</f>
        <v>43</v>
      </c>
      <c r="R44" s="4">
        <f>Table3[[#This Row],[Total Streams (in millions)]]-Table3[[#This Row],[Total Stream]]</f>
        <v>79.400000000001455</v>
      </c>
      <c r="S44" s="8">
        <f>IFERROR(Table3[[#This Row],[Collaborative Streams (in millions)]]/Table3[[#This Row],[Total Stream]],0)</f>
        <v>0.71600042898923766</v>
      </c>
      <c r="T44" t="str">
        <f>IF(Table3[[#This Row],[Total Streams (in millions)]]&gt;=50000,"High Performer",IF(Table3[[#This Row],[Total Streams (in millions)]]&gt;=20000,"Medium Performer","Low Performer"))</f>
        <v>Medium Performer</v>
      </c>
    </row>
    <row r="45" spans="1:20" x14ac:dyDescent="0.3">
      <c r="A45" s="11" t="s">
        <v>84</v>
      </c>
      <c r="B45" s="11" t="s">
        <v>14</v>
      </c>
      <c r="C45" s="11" t="s">
        <v>85</v>
      </c>
      <c r="D45" s="11" t="s">
        <v>16</v>
      </c>
      <c r="E45" s="11" t="s">
        <v>60</v>
      </c>
      <c r="F45" s="11" t="s">
        <v>18</v>
      </c>
      <c r="G45" s="12">
        <v>2007</v>
      </c>
      <c r="H45" s="12" t="str">
        <f>IF(Table3[[#This Row],[Debut Year]]&lt;=2000,"1999–2000",
IF(Table3[[#This Row],[Debut Year]]&lt;=2005,"2001–2005",
IF(Table3[[#This Row],[Debut Year]]&lt;=2010,"2006–2010",
IF(Table3[[#This Row],[Debut Year]]&lt;=2015,"2011–2015",
IF(Table3[[#This Row],[Debut Year]]&lt;=2020,"2016–2020",
"2021–2025")))))</f>
        <v>2006–2010</v>
      </c>
      <c r="I45" s="12">
        <v>34129.699999999997</v>
      </c>
      <c r="J45" s="12">
        <v>31846</v>
      </c>
      <c r="K45" s="12">
        <v>2298.3000000000002</v>
      </c>
      <c r="L45" s="4">
        <v>5998.8</v>
      </c>
      <c r="M45" s="6">
        <f>Table2[[#This Row],[% of Solo Streams]]/100</f>
        <v>0.17576480310000001</v>
      </c>
      <c r="N45" s="3">
        <v>28130.9</v>
      </c>
      <c r="O45" s="6">
        <f>Table2[[#This Row],[% of Collaborative Streams]]/100</f>
        <v>0.82423519690000002</v>
      </c>
      <c r="P45" s="4">
        <f>Table3[[#This Row],[Lead Streams (in millions)]]+Table3[[#This Row],[Feature Streams (in millions)]]</f>
        <v>34144.300000000003</v>
      </c>
      <c r="Q45" s="4">
        <f>_xlfn.RANK.EQ(Table3[[#This Row],[Total Stream]],Table3[Total Stream],0)</f>
        <v>44</v>
      </c>
      <c r="R45" s="4">
        <f>Table3[[#This Row],[Total Streams (in millions)]]-Table3[[#This Row],[Total Stream]]</f>
        <v>-14.600000000005821</v>
      </c>
      <c r="S45" s="8">
        <f>IFERROR(Table3[[#This Row],[Collaborative Streams (in millions)]]/Table3[[#This Row],[Total Stream]],0)</f>
        <v>0.82388275641908015</v>
      </c>
      <c r="T45" t="str">
        <f>IF(Table3[[#This Row],[Total Streams (in millions)]]&gt;=50000,"High Performer",IF(Table3[[#This Row],[Total Streams (in millions)]]&gt;=20000,"Medium Performer","Low Performer"))</f>
        <v>Medium Performer</v>
      </c>
    </row>
    <row r="46" spans="1:20" x14ac:dyDescent="0.3">
      <c r="A46" s="9" t="s">
        <v>86</v>
      </c>
      <c r="B46" s="9" t="s">
        <v>14</v>
      </c>
      <c r="C46" s="9" t="s">
        <v>21</v>
      </c>
      <c r="D46" s="9" t="s">
        <v>24</v>
      </c>
      <c r="E46" s="9" t="s">
        <v>25</v>
      </c>
      <c r="F46" s="9" t="s">
        <v>18</v>
      </c>
      <c r="G46" s="10">
        <v>2016</v>
      </c>
      <c r="H46" s="10" t="str">
        <f>IF(Table3[[#This Row],[Debut Year]]&lt;=2000,"1999–2000",
IF(Table3[[#This Row],[Debut Year]]&lt;=2005,"2001–2005",
IF(Table3[[#This Row],[Debut Year]]&lt;=2010,"2006–2010",
IF(Table3[[#This Row],[Debut Year]]&lt;=2015,"2011–2015",
IF(Table3[[#This Row],[Debut Year]]&lt;=2020,"2016–2020",
"2021–2025")))))</f>
        <v>2016–2020</v>
      </c>
      <c r="I46" s="10">
        <v>33620.699999999997</v>
      </c>
      <c r="J46" s="10">
        <v>14022.5</v>
      </c>
      <c r="K46" s="10">
        <v>19614.7</v>
      </c>
      <c r="L46" s="4">
        <v>9406.6</v>
      </c>
      <c r="M46" s="6">
        <f>Table2[[#This Row],[% of Solo Streams]]/100</f>
        <v>0.27978596519999999</v>
      </c>
      <c r="N46" s="3">
        <v>24214.1</v>
      </c>
      <c r="O46" s="6">
        <f>Table2[[#This Row],[% of Collaborative Streams]]/100</f>
        <v>0.72021403480000001</v>
      </c>
      <c r="P46" s="4">
        <f>Table3[[#This Row],[Lead Streams (in millions)]]+Table3[[#This Row],[Feature Streams (in millions)]]</f>
        <v>33637.199999999997</v>
      </c>
      <c r="Q46" s="4">
        <f>_xlfn.RANK.EQ(Table3[[#This Row],[Total Stream]],Table3[Total Stream],0)</f>
        <v>45</v>
      </c>
      <c r="R46" s="4">
        <f>Table3[[#This Row],[Total Streams (in millions)]]-Table3[[#This Row],[Total Stream]]</f>
        <v>-16.5</v>
      </c>
      <c r="S46" s="8">
        <f>IFERROR(Table3[[#This Row],[Collaborative Streams (in millions)]]/Table3[[#This Row],[Total Stream]],0)</f>
        <v>0.71986074940839306</v>
      </c>
      <c r="T46" t="str">
        <f>IF(Table3[[#This Row],[Total Streams (in millions)]]&gt;=50000,"High Performer",IF(Table3[[#This Row],[Total Streams (in millions)]]&gt;=20000,"Medium Performer","Low Performer"))</f>
        <v>Medium Performer</v>
      </c>
    </row>
    <row r="47" spans="1:20" x14ac:dyDescent="0.3">
      <c r="A47" s="11" t="s">
        <v>87</v>
      </c>
      <c r="B47" s="11" t="s">
        <v>78</v>
      </c>
      <c r="C47" s="11" t="s">
        <v>21</v>
      </c>
      <c r="D47" s="11" t="s">
        <v>16</v>
      </c>
      <c r="E47" s="11" t="s">
        <v>51</v>
      </c>
      <c r="F47" s="11" t="s">
        <v>48</v>
      </c>
      <c r="G47" s="12">
        <v>2000</v>
      </c>
      <c r="H47" s="12" t="str">
        <f>IF(Table3[[#This Row],[Debut Year]]&lt;=2000,"1999–2000",
IF(Table3[[#This Row],[Debut Year]]&lt;=2005,"2001–2005",
IF(Table3[[#This Row],[Debut Year]]&lt;=2010,"2006–2010",
IF(Table3[[#This Row],[Debut Year]]&lt;=2015,"2011–2015",
IF(Table3[[#This Row],[Debut Year]]&lt;=2020,"2016–2020",
"2021–2025")))))</f>
        <v>1999–2000</v>
      </c>
      <c r="I47" s="12">
        <v>33224.699999999997</v>
      </c>
      <c r="J47" s="12">
        <v>31426.6</v>
      </c>
      <c r="K47" s="12">
        <v>1798.1</v>
      </c>
      <c r="L47" s="4">
        <v>30151.200000000001</v>
      </c>
      <c r="M47" s="6">
        <f>Table2[[#This Row],[% of Solo Streams]]/100</f>
        <v>0.90749352139999995</v>
      </c>
      <c r="N47" s="3">
        <v>3073.5</v>
      </c>
      <c r="O47" s="6">
        <f>Table2[[#This Row],[% of Collaborative Streams]]/100</f>
        <v>9.2506478609999998E-2</v>
      </c>
      <c r="P47" s="4">
        <f>Table3[[#This Row],[Lead Streams (in millions)]]+Table3[[#This Row],[Feature Streams (in millions)]]</f>
        <v>33224.699999999997</v>
      </c>
      <c r="Q47" s="4">
        <f>_xlfn.RANK.EQ(Table3[[#This Row],[Total Stream]],Table3[Total Stream],0)</f>
        <v>46</v>
      </c>
      <c r="R47" s="4">
        <f>Table3[[#This Row],[Total Streams (in millions)]]-Table3[[#This Row],[Total Stream]]</f>
        <v>0</v>
      </c>
      <c r="S47" s="8">
        <f>IFERROR(Table3[[#This Row],[Collaborative Streams (in millions)]]/Table3[[#This Row],[Total Stream]],0)</f>
        <v>9.2506478613802387E-2</v>
      </c>
      <c r="T47" t="str">
        <f>IF(Table3[[#This Row],[Total Streams (in millions)]]&gt;=50000,"High Performer",IF(Table3[[#This Row],[Total Streams (in millions)]]&gt;=20000,"Medium Performer","Low Performer"))</f>
        <v>Medium Performer</v>
      </c>
    </row>
    <row r="48" spans="1:20" x14ac:dyDescent="0.3">
      <c r="A48" s="9" t="s">
        <v>88</v>
      </c>
      <c r="B48" s="9" t="s">
        <v>14</v>
      </c>
      <c r="C48" s="9" t="s">
        <v>89</v>
      </c>
      <c r="D48" s="9" t="s">
        <v>24</v>
      </c>
      <c r="E48" s="9" t="s">
        <v>90</v>
      </c>
      <c r="F48" s="9" t="s">
        <v>18</v>
      </c>
      <c r="G48" s="10">
        <v>2020</v>
      </c>
      <c r="H48" s="10" t="str">
        <f>IF(Table3[[#This Row],[Debut Year]]&lt;=2000,"1999–2000",
IF(Table3[[#This Row],[Debut Year]]&lt;=2005,"2001–2005",
IF(Table3[[#This Row],[Debut Year]]&lt;=2010,"2006–2010",
IF(Table3[[#This Row],[Debut Year]]&lt;=2015,"2011–2015",
IF(Table3[[#This Row],[Debut Year]]&lt;=2020,"2016–2020",
"2021–2025")))))</f>
        <v>2016–2020</v>
      </c>
      <c r="I48" s="10">
        <v>33179.800000000003</v>
      </c>
      <c r="J48" s="10">
        <v>18699.099999999999</v>
      </c>
      <c r="K48" s="10">
        <v>14501.2</v>
      </c>
      <c r="L48" s="4">
        <v>3938.3</v>
      </c>
      <c r="M48" s="6">
        <f>Table2[[#This Row],[% of Solo Streams]]/100</f>
        <v>0.11869571249999999</v>
      </c>
      <c r="N48" s="3">
        <v>29241.5</v>
      </c>
      <c r="O48" s="6">
        <f>Table2[[#This Row],[% of Collaborative Streams]]/100</f>
        <v>0.88130428749999989</v>
      </c>
      <c r="P48" s="4">
        <f>Table3[[#This Row],[Lead Streams (in millions)]]+Table3[[#This Row],[Feature Streams (in millions)]]</f>
        <v>33200.300000000003</v>
      </c>
      <c r="Q48" s="4">
        <f>_xlfn.RANK.EQ(Table3[[#This Row],[Total Stream]],Table3[Total Stream],0)</f>
        <v>47</v>
      </c>
      <c r="R48" s="4">
        <f>Table3[[#This Row],[Total Streams (in millions)]]-Table3[[#This Row],[Total Stream]]</f>
        <v>-20.5</v>
      </c>
      <c r="S48" s="8">
        <f>IFERROR(Table3[[#This Row],[Collaborative Streams (in millions)]]/Table3[[#This Row],[Total Stream]],0)</f>
        <v>0.88076011361343109</v>
      </c>
      <c r="T48" t="str">
        <f>IF(Table3[[#This Row],[Total Streams (in millions)]]&gt;=50000,"High Performer",IF(Table3[[#This Row],[Total Streams (in millions)]]&gt;=20000,"Medium Performer","Low Performer"))</f>
        <v>Medium Performer</v>
      </c>
    </row>
    <row r="49" spans="1:20" x14ac:dyDescent="0.3">
      <c r="A49" s="11" t="s">
        <v>91</v>
      </c>
      <c r="B49" s="11" t="s">
        <v>14</v>
      </c>
      <c r="C49" s="11" t="s">
        <v>21</v>
      </c>
      <c r="D49" s="11" t="s">
        <v>16</v>
      </c>
      <c r="E49" s="11" t="s">
        <v>17</v>
      </c>
      <c r="F49" s="11" t="s">
        <v>18</v>
      </c>
      <c r="G49" s="12">
        <v>2007</v>
      </c>
      <c r="H49" s="12" t="str">
        <f>IF(Table3[[#This Row],[Debut Year]]&lt;=2000,"1999–2000",
IF(Table3[[#This Row],[Debut Year]]&lt;=2005,"2001–2005",
IF(Table3[[#This Row],[Debut Year]]&lt;=2010,"2006–2010",
IF(Table3[[#This Row],[Debut Year]]&lt;=2015,"2011–2015",
IF(Table3[[#This Row],[Debut Year]]&lt;=2020,"2016–2020",
"2021–2025")))))</f>
        <v>2006–2010</v>
      </c>
      <c r="I49" s="12">
        <v>32200.9</v>
      </c>
      <c r="J49" s="12">
        <v>24334.7</v>
      </c>
      <c r="K49" s="12">
        <v>7876.1</v>
      </c>
      <c r="L49" s="4">
        <v>18999.5</v>
      </c>
      <c r="M49" s="6">
        <f>Table2[[#This Row],[% of Solo Streams]]/100</f>
        <v>0.59003009230000003</v>
      </c>
      <c r="N49" s="3">
        <v>13201.4</v>
      </c>
      <c r="O49" s="6">
        <f>Table2[[#This Row],[% of Collaborative Streams]]/100</f>
        <v>0.40996990769999997</v>
      </c>
      <c r="P49" s="4">
        <f>Table3[[#This Row],[Lead Streams (in millions)]]+Table3[[#This Row],[Feature Streams (in millions)]]</f>
        <v>32210.800000000003</v>
      </c>
      <c r="Q49" s="4">
        <f>_xlfn.RANK.EQ(Table3[[#This Row],[Total Stream]],Table3[Total Stream],0)</f>
        <v>48</v>
      </c>
      <c r="R49" s="4">
        <f>Table3[[#This Row],[Total Streams (in millions)]]-Table3[[#This Row],[Total Stream]]</f>
        <v>-9.9000000000014552</v>
      </c>
      <c r="S49" s="8">
        <f>IFERROR(Table3[[#This Row],[Collaborative Streams (in millions)]]/Table3[[#This Row],[Total Stream]],0)</f>
        <v>0.40984390328709619</v>
      </c>
      <c r="T49" t="str">
        <f>IF(Table3[[#This Row],[Total Streams (in millions)]]&gt;=50000,"High Performer",IF(Table3[[#This Row],[Total Streams (in millions)]]&gt;=20000,"Medium Performer","Low Performer"))</f>
        <v>Medium Performer</v>
      </c>
    </row>
    <row r="50" spans="1:20" x14ac:dyDescent="0.3">
      <c r="A50" s="9" t="s">
        <v>92</v>
      </c>
      <c r="B50" s="9" t="s">
        <v>14</v>
      </c>
      <c r="C50" s="9" t="s">
        <v>21</v>
      </c>
      <c r="D50" s="9" t="s">
        <v>16</v>
      </c>
      <c r="E50" s="9" t="s">
        <v>17</v>
      </c>
      <c r="F50" s="9" t="s">
        <v>18</v>
      </c>
      <c r="G50" s="10">
        <v>2014</v>
      </c>
      <c r="H50" s="10" t="str">
        <f>IF(Table3[[#This Row],[Debut Year]]&lt;=2000,"1999–2000",
IF(Table3[[#This Row],[Debut Year]]&lt;=2005,"2001–2005",
IF(Table3[[#This Row],[Debut Year]]&lt;=2010,"2006–2010",
IF(Table3[[#This Row],[Debut Year]]&lt;=2015,"2011–2015",
IF(Table3[[#This Row],[Debut Year]]&lt;=2020,"2016–2020",
"2021–2025")))))</f>
        <v>2011–2015</v>
      </c>
      <c r="I50" s="10">
        <v>32115.9</v>
      </c>
      <c r="J50" s="10">
        <v>21117.5</v>
      </c>
      <c r="K50" s="10">
        <v>11006.6</v>
      </c>
      <c r="L50" s="4">
        <v>16803.2</v>
      </c>
      <c r="M50" s="6">
        <f>Table2[[#This Row],[% of Solo Streams]]/100</f>
        <v>0.52320501679999998</v>
      </c>
      <c r="N50" s="3">
        <v>15312.7</v>
      </c>
      <c r="O50" s="6">
        <f>Table2[[#This Row],[% of Collaborative Streams]]/100</f>
        <v>0.47679498320000002</v>
      </c>
      <c r="P50" s="4">
        <f>Table3[[#This Row],[Lead Streams (in millions)]]+Table3[[#This Row],[Feature Streams (in millions)]]</f>
        <v>32124.1</v>
      </c>
      <c r="Q50" s="4">
        <f>_xlfn.RANK.EQ(Table3[[#This Row],[Total Stream]],Table3[Total Stream],0)</f>
        <v>49</v>
      </c>
      <c r="R50" s="4">
        <f>Table3[[#This Row],[Total Streams (in millions)]]-Table3[[#This Row],[Total Stream]]</f>
        <v>-8.1999999999970896</v>
      </c>
      <c r="S50" s="8">
        <f>IFERROR(Table3[[#This Row],[Collaborative Streams (in millions)]]/Table3[[#This Row],[Total Stream]],0)</f>
        <v>0.47667327644976831</v>
      </c>
      <c r="T50" t="str">
        <f>IF(Table3[[#This Row],[Total Streams (in millions)]]&gt;=50000,"High Performer",IF(Table3[[#This Row],[Total Streams (in millions)]]&gt;=20000,"Medium Performer","Low Performer"))</f>
        <v>Medium Performer</v>
      </c>
    </row>
    <row r="51" spans="1:20" x14ac:dyDescent="0.3">
      <c r="A51" s="11" t="s">
        <v>93</v>
      </c>
      <c r="B51" s="11" t="s">
        <v>20</v>
      </c>
      <c r="C51" s="11" t="s">
        <v>94</v>
      </c>
      <c r="D51" s="11" t="s">
        <v>16</v>
      </c>
      <c r="E51" s="11" t="s">
        <v>22</v>
      </c>
      <c r="F51" s="11" t="s">
        <v>18</v>
      </c>
      <c r="G51" s="12">
        <v>1997</v>
      </c>
      <c r="H51" s="12" t="str">
        <f>IF(Table3[[#This Row],[Debut Year]]&lt;=2000,"1999–2000",
IF(Table3[[#This Row],[Debut Year]]&lt;=2005,"2001–2005",
IF(Table3[[#This Row],[Debut Year]]&lt;=2010,"2006–2010",
IF(Table3[[#This Row],[Debut Year]]&lt;=2015,"2011–2015",
IF(Table3[[#This Row],[Debut Year]]&lt;=2020,"2016–2020",
"2021–2025")))))</f>
        <v>1999–2000</v>
      </c>
      <c r="I51" s="12">
        <v>31642.1</v>
      </c>
      <c r="J51" s="12">
        <v>21063.200000000001</v>
      </c>
      <c r="K51" s="12">
        <v>10588.2</v>
      </c>
      <c r="L51" s="4">
        <v>15741.1</v>
      </c>
      <c r="M51" s="6">
        <f>Table2[[#This Row],[% of Solo Streams]]/100</f>
        <v>0.49747330300000003</v>
      </c>
      <c r="N51" s="3">
        <v>15901</v>
      </c>
      <c r="O51" s="6">
        <f>Table2[[#This Row],[% of Collaborative Streams]]/100</f>
        <v>0.50252669699999997</v>
      </c>
      <c r="P51" s="4">
        <f>Table3[[#This Row],[Lead Streams (in millions)]]+Table3[[#This Row],[Feature Streams (in millions)]]</f>
        <v>31651.4</v>
      </c>
      <c r="Q51" s="4">
        <f>_xlfn.RANK.EQ(Table3[[#This Row],[Total Stream]],Table3[Total Stream],0)</f>
        <v>50</v>
      </c>
      <c r="R51" s="4">
        <f>Table3[[#This Row],[Total Streams (in millions)]]-Table3[[#This Row],[Total Stream]]</f>
        <v>-9.3000000000029104</v>
      </c>
      <c r="S51" s="8">
        <f>IFERROR(Table3[[#This Row],[Collaborative Streams (in millions)]]/Table3[[#This Row],[Total Stream]],0)</f>
        <v>0.50237904168535985</v>
      </c>
      <c r="T51" t="str">
        <f>IF(Table3[[#This Row],[Total Streams (in millions)]]&gt;=50000,"High Performer",IF(Table3[[#This Row],[Total Streams (in millions)]]&gt;=20000,"Medium Performer","Low Performer"))</f>
        <v>Medium Performer</v>
      </c>
    </row>
    <row r="52" spans="1:20" x14ac:dyDescent="0.3">
      <c r="A52" s="9" t="s">
        <v>95</v>
      </c>
      <c r="B52" s="9" t="s">
        <v>20</v>
      </c>
      <c r="C52" s="9" t="s">
        <v>21</v>
      </c>
      <c r="D52" s="9" t="s">
        <v>16</v>
      </c>
      <c r="E52" s="9" t="s">
        <v>22</v>
      </c>
      <c r="F52" s="9" t="s">
        <v>18</v>
      </c>
      <c r="G52" s="10">
        <v>2012</v>
      </c>
      <c r="H52" s="10" t="str">
        <f>IF(Table3[[#This Row],[Debut Year]]&lt;=2000,"1999–2000",
IF(Table3[[#This Row],[Debut Year]]&lt;=2005,"2001–2005",
IF(Table3[[#This Row],[Debut Year]]&lt;=2010,"2006–2010",
IF(Table3[[#This Row],[Debut Year]]&lt;=2015,"2011–2015",
IF(Table3[[#This Row],[Debut Year]]&lt;=2020,"2016–2020",
"2021–2025")))))</f>
        <v>2011–2015</v>
      </c>
      <c r="I52" s="10">
        <v>31214.3</v>
      </c>
      <c r="J52" s="10">
        <v>25574.2</v>
      </c>
      <c r="K52" s="10">
        <v>5650.9</v>
      </c>
      <c r="L52" s="4">
        <v>18797.099999999999</v>
      </c>
      <c r="M52" s="6">
        <f>Table2[[#This Row],[% of Solo Streams]]/100</f>
        <v>0.60219514770000004</v>
      </c>
      <c r="N52" s="3">
        <v>12417.2</v>
      </c>
      <c r="O52" s="6">
        <f>Table2[[#This Row],[% of Collaborative Streams]]/100</f>
        <v>0.39780485229999996</v>
      </c>
      <c r="P52" s="4">
        <f>Table3[[#This Row],[Lead Streams (in millions)]]+Table3[[#This Row],[Feature Streams (in millions)]]</f>
        <v>31225.1</v>
      </c>
      <c r="Q52" s="4">
        <f>_xlfn.RANK.EQ(Table3[[#This Row],[Total Stream]],Table3[Total Stream],0)</f>
        <v>51</v>
      </c>
      <c r="R52" s="4">
        <f>Table3[[#This Row],[Total Streams (in millions)]]-Table3[[#This Row],[Total Stream]]</f>
        <v>-10.799999999999272</v>
      </c>
      <c r="S52" s="8">
        <f>IFERROR(Table3[[#This Row],[Collaborative Streams (in millions)]]/Table3[[#This Row],[Total Stream]],0)</f>
        <v>0.39766726127378299</v>
      </c>
      <c r="T52" t="str">
        <f>IF(Table3[[#This Row],[Total Streams (in millions)]]&gt;=50000,"High Performer",IF(Table3[[#This Row],[Total Streams (in millions)]]&gt;=20000,"Medium Performer","Low Performer"))</f>
        <v>Medium Performer</v>
      </c>
    </row>
    <row r="53" spans="1:20" x14ac:dyDescent="0.3">
      <c r="A53" s="11" t="s">
        <v>96</v>
      </c>
      <c r="B53" s="11" t="s">
        <v>20</v>
      </c>
      <c r="C53" s="11" t="s">
        <v>42</v>
      </c>
      <c r="D53" s="11" t="s">
        <v>24</v>
      </c>
      <c r="E53" s="11" t="s">
        <v>82</v>
      </c>
      <c r="F53" s="11" t="s">
        <v>18</v>
      </c>
      <c r="G53" s="12">
        <v>1991</v>
      </c>
      <c r="H53" s="12" t="str">
        <f>IF(Table3[[#This Row],[Debut Year]]&lt;=2000,"1999–2000",
IF(Table3[[#This Row],[Debut Year]]&lt;=2005,"2001–2005",
IF(Table3[[#This Row],[Debut Year]]&lt;=2010,"2006–2010",
IF(Table3[[#This Row],[Debut Year]]&lt;=2015,"2011–2015",
IF(Table3[[#This Row],[Debut Year]]&lt;=2020,"2016–2020",
"2021–2025")))))</f>
        <v>1999–2000</v>
      </c>
      <c r="I53" s="12">
        <v>31212.400000000001</v>
      </c>
      <c r="J53" s="12">
        <v>24041</v>
      </c>
      <c r="K53" s="12">
        <v>7171.5</v>
      </c>
      <c r="L53" s="4">
        <v>11661.1</v>
      </c>
      <c r="M53" s="6">
        <f>Table2[[#This Row],[% of Solo Streams]]/100</f>
        <v>0.37360472119999999</v>
      </c>
      <c r="N53" s="3">
        <v>19551.3</v>
      </c>
      <c r="O53" s="6">
        <f>Table2[[#This Row],[% of Collaborative Streams]]/100</f>
        <v>0.62639527880000001</v>
      </c>
      <c r="P53" s="4">
        <f>Table3[[#This Row],[Lead Streams (in millions)]]+Table3[[#This Row],[Feature Streams (in millions)]]</f>
        <v>31212.5</v>
      </c>
      <c r="Q53" s="4">
        <f>_xlfn.RANK.EQ(Table3[[#This Row],[Total Stream]],Table3[Total Stream],0)</f>
        <v>52</v>
      </c>
      <c r="R53" s="4">
        <f>Table3[[#This Row],[Total Streams (in millions)]]-Table3[[#This Row],[Total Stream]]</f>
        <v>-9.9999999998544808E-2</v>
      </c>
      <c r="S53" s="8">
        <f>IFERROR(Table3[[#This Row],[Collaborative Streams (in millions)]]/Table3[[#This Row],[Total Stream]],0)</f>
        <v>0.62639327192631156</v>
      </c>
      <c r="T53" t="str">
        <f>IF(Table3[[#This Row],[Total Streams (in millions)]]&gt;=50000,"High Performer",IF(Table3[[#This Row],[Total Streams (in millions)]]&gt;=20000,"Medium Performer","Low Performer"))</f>
        <v>Medium Performer</v>
      </c>
    </row>
    <row r="54" spans="1:20" x14ac:dyDescent="0.3">
      <c r="A54" s="9" t="s">
        <v>97</v>
      </c>
      <c r="B54" s="9" t="s">
        <v>14</v>
      </c>
      <c r="C54" s="9" t="s">
        <v>21</v>
      </c>
      <c r="D54" s="9" t="s">
        <v>16</v>
      </c>
      <c r="E54" s="9" t="s">
        <v>98</v>
      </c>
      <c r="F54" s="9" t="s">
        <v>18</v>
      </c>
      <c r="G54" s="10">
        <v>2014</v>
      </c>
      <c r="H54" s="10" t="str">
        <f>IF(Table3[[#This Row],[Debut Year]]&lt;=2000,"1999–2000",
IF(Table3[[#This Row],[Debut Year]]&lt;=2005,"2001–2005",
IF(Table3[[#This Row],[Debut Year]]&lt;=2010,"2006–2010",
IF(Table3[[#This Row],[Debut Year]]&lt;=2015,"2011–2015",
IF(Table3[[#This Row],[Debut Year]]&lt;=2020,"2016–2020",
"2021–2025")))))</f>
        <v>2011–2015</v>
      </c>
      <c r="I54" s="10">
        <v>31171.1</v>
      </c>
      <c r="J54" s="10">
        <v>26589.9</v>
      </c>
      <c r="K54" s="10">
        <v>4600.3999999999996</v>
      </c>
      <c r="L54" s="4">
        <v>23825.8</v>
      </c>
      <c r="M54" s="6">
        <f>Table2[[#This Row],[% of Solo Streams]]/100</f>
        <v>0.76435544460000004</v>
      </c>
      <c r="N54" s="3">
        <v>7345.3</v>
      </c>
      <c r="O54" s="6">
        <f>Table2[[#This Row],[% of Collaborative Streams]]/100</f>
        <v>0.23564455540000001</v>
      </c>
      <c r="P54" s="4">
        <f>Table3[[#This Row],[Lead Streams (in millions)]]+Table3[[#This Row],[Feature Streams (in millions)]]</f>
        <v>31190.300000000003</v>
      </c>
      <c r="Q54" s="4">
        <f>_xlfn.RANK.EQ(Table3[[#This Row],[Total Stream]],Table3[Total Stream],0)</f>
        <v>53</v>
      </c>
      <c r="R54" s="4">
        <f>Table3[[#This Row],[Total Streams (in millions)]]-Table3[[#This Row],[Total Stream]]</f>
        <v>-19.200000000004366</v>
      </c>
      <c r="S54" s="8">
        <f>IFERROR(Table3[[#This Row],[Collaborative Streams (in millions)]]/Table3[[#This Row],[Total Stream]],0)</f>
        <v>0.23549949824144042</v>
      </c>
      <c r="T54" t="str">
        <f>IF(Table3[[#This Row],[Total Streams (in millions)]]&gt;=50000,"High Performer",IF(Table3[[#This Row],[Total Streams (in millions)]]&gt;=20000,"Medium Performer","Low Performer"))</f>
        <v>Medium Performer</v>
      </c>
    </row>
    <row r="55" spans="1:20" x14ac:dyDescent="0.3">
      <c r="A55" s="11" t="s">
        <v>99</v>
      </c>
      <c r="B55" s="11" t="s">
        <v>14</v>
      </c>
      <c r="C55" s="11" t="s">
        <v>21</v>
      </c>
      <c r="D55" s="11" t="s">
        <v>16</v>
      </c>
      <c r="E55" s="11" t="s">
        <v>17</v>
      </c>
      <c r="F55" s="11" t="s">
        <v>18</v>
      </c>
      <c r="G55" s="12">
        <v>2011</v>
      </c>
      <c r="H55" s="12" t="str">
        <f>IF(Table3[[#This Row],[Debut Year]]&lt;=2000,"1999–2000",
IF(Table3[[#This Row],[Debut Year]]&lt;=2005,"2001–2005",
IF(Table3[[#This Row],[Debut Year]]&lt;=2010,"2006–2010",
IF(Table3[[#This Row],[Debut Year]]&lt;=2015,"2011–2015",
IF(Table3[[#This Row],[Debut Year]]&lt;=2020,"2016–2020",
"2021–2025")))))</f>
        <v>2011–2015</v>
      </c>
      <c r="I55" s="12">
        <v>30933.8</v>
      </c>
      <c r="J55" s="12">
        <v>10464.200000000001</v>
      </c>
      <c r="K55" s="12">
        <v>20472.3</v>
      </c>
      <c r="L55" s="4">
        <v>2792.1</v>
      </c>
      <c r="M55" s="6">
        <f>Table2[[#This Row],[% of Solo Streams]]/100</f>
        <v>9.0260491760000006E-2</v>
      </c>
      <c r="N55" s="3">
        <v>28141.7</v>
      </c>
      <c r="O55" s="6">
        <f>Table2[[#This Row],[% of Collaborative Streams]]/100</f>
        <v>0.90973950819999994</v>
      </c>
      <c r="P55" s="4">
        <f>Table3[[#This Row],[Lead Streams (in millions)]]+Table3[[#This Row],[Feature Streams (in millions)]]</f>
        <v>30936.5</v>
      </c>
      <c r="Q55" s="4">
        <f>_xlfn.RANK.EQ(Table3[[#This Row],[Total Stream]],Table3[Total Stream],0)</f>
        <v>54</v>
      </c>
      <c r="R55" s="4">
        <f>Table3[[#This Row],[Total Streams (in millions)]]-Table3[[#This Row],[Total Stream]]</f>
        <v>-2.7000000000007276</v>
      </c>
      <c r="S55" s="8">
        <f>IFERROR(Table3[[#This Row],[Collaborative Streams (in millions)]]/Table3[[#This Row],[Total Stream]],0)</f>
        <v>0.90966011022578508</v>
      </c>
      <c r="T55" t="str">
        <f>IF(Table3[[#This Row],[Total Streams (in millions)]]&gt;=50000,"High Performer",IF(Table3[[#This Row],[Total Streams (in millions)]]&gt;=20000,"Medium Performer","Low Performer"))</f>
        <v>Medium Performer</v>
      </c>
    </row>
    <row r="56" spans="1:20" x14ac:dyDescent="0.3">
      <c r="A56" s="9" t="s">
        <v>100</v>
      </c>
      <c r="B56" s="9" t="s">
        <v>14</v>
      </c>
      <c r="C56" s="9" t="s">
        <v>21</v>
      </c>
      <c r="D56" s="9" t="s">
        <v>24</v>
      </c>
      <c r="E56" s="9" t="s">
        <v>25</v>
      </c>
      <c r="F56" s="9" t="s">
        <v>18</v>
      </c>
      <c r="G56" s="10">
        <v>2009</v>
      </c>
      <c r="H56" s="10" t="str">
        <f>IF(Table3[[#This Row],[Debut Year]]&lt;=2000,"1999–2000",
IF(Table3[[#This Row],[Debut Year]]&lt;=2005,"2001–2005",
IF(Table3[[#This Row],[Debut Year]]&lt;=2010,"2006–2010",
IF(Table3[[#This Row],[Debut Year]]&lt;=2015,"2011–2015",
IF(Table3[[#This Row],[Debut Year]]&lt;=2020,"2016–2020",
"2021–2025")))))</f>
        <v>2006–2010</v>
      </c>
      <c r="I56" s="10">
        <v>29775.3</v>
      </c>
      <c r="J56" s="10">
        <v>8548.7000000000007</v>
      </c>
      <c r="K56" s="10">
        <v>21237.200000000001</v>
      </c>
      <c r="L56" s="4">
        <v>4615.8999999999996</v>
      </c>
      <c r="M56" s="6">
        <f>Table2[[#This Row],[% of Solo Streams]]/100</f>
        <v>0.15502446659999999</v>
      </c>
      <c r="N56" s="3">
        <v>25159.4</v>
      </c>
      <c r="O56" s="6">
        <f>Table2[[#This Row],[% of Collaborative Streams]]/100</f>
        <v>0.84497553339999998</v>
      </c>
      <c r="P56" s="4">
        <f>Table3[[#This Row],[Lead Streams (in millions)]]+Table3[[#This Row],[Feature Streams (in millions)]]</f>
        <v>29785.9</v>
      </c>
      <c r="Q56" s="4">
        <f>_xlfn.RANK.EQ(Table3[[#This Row],[Total Stream]],Table3[Total Stream],0)</f>
        <v>55</v>
      </c>
      <c r="R56" s="4">
        <f>Table3[[#This Row],[Total Streams (in millions)]]-Table3[[#This Row],[Total Stream]]</f>
        <v>-10.600000000002183</v>
      </c>
      <c r="S56" s="8">
        <f>IFERROR(Table3[[#This Row],[Collaborative Streams (in millions)]]/Table3[[#This Row],[Total Stream]],0)</f>
        <v>0.84467482936557226</v>
      </c>
      <c r="T56" t="str">
        <f>IF(Table3[[#This Row],[Total Streams (in millions)]]&gt;=50000,"High Performer",IF(Table3[[#This Row],[Total Streams (in millions)]]&gt;=20000,"Medium Performer","Low Performer"))</f>
        <v>Medium Performer</v>
      </c>
    </row>
    <row r="57" spans="1:20" x14ac:dyDescent="0.3">
      <c r="A57" s="11" t="s">
        <v>101</v>
      </c>
      <c r="B57" s="11" t="s">
        <v>14</v>
      </c>
      <c r="C57" s="11" t="s">
        <v>15</v>
      </c>
      <c r="D57" s="11" t="s">
        <v>16</v>
      </c>
      <c r="E57" s="11" t="s">
        <v>22</v>
      </c>
      <c r="F57" s="11" t="s">
        <v>18</v>
      </c>
      <c r="G57" s="12">
        <v>2014</v>
      </c>
      <c r="H57" s="12" t="str">
        <f>IF(Table3[[#This Row],[Debut Year]]&lt;=2000,"1999–2000",
IF(Table3[[#This Row],[Debut Year]]&lt;=2005,"2001–2005",
IF(Table3[[#This Row],[Debut Year]]&lt;=2010,"2006–2010",
IF(Table3[[#This Row],[Debut Year]]&lt;=2015,"2011–2015",
IF(Table3[[#This Row],[Debut Year]]&lt;=2020,"2016–2020",
"2021–2025")))))</f>
        <v>2011–2015</v>
      </c>
      <c r="I57" s="12">
        <v>29471.1</v>
      </c>
      <c r="J57" s="12">
        <v>28781</v>
      </c>
      <c r="K57" s="12">
        <v>699</v>
      </c>
      <c r="L57" s="4">
        <v>22074.9</v>
      </c>
      <c r="M57" s="6">
        <f>Table2[[#This Row],[% of Solo Streams]]/100</f>
        <v>0.74903549580000006</v>
      </c>
      <c r="N57" s="3">
        <v>7396.2</v>
      </c>
      <c r="O57" s="6">
        <f>Table2[[#This Row],[% of Collaborative Streams]]/100</f>
        <v>0.25096450419999999</v>
      </c>
      <c r="P57" s="4">
        <f>Table3[[#This Row],[Lead Streams (in millions)]]+Table3[[#This Row],[Feature Streams (in millions)]]</f>
        <v>29480</v>
      </c>
      <c r="Q57" s="4">
        <f>_xlfn.RANK.EQ(Table3[[#This Row],[Total Stream]],Table3[Total Stream],0)</f>
        <v>56</v>
      </c>
      <c r="R57" s="4">
        <f>Table3[[#This Row],[Total Streams (in millions)]]-Table3[[#This Row],[Total Stream]]</f>
        <v>-8.9000000000014552</v>
      </c>
      <c r="S57" s="8">
        <f>IFERROR(Table3[[#This Row],[Collaborative Streams (in millions)]]/Table3[[#This Row],[Total Stream]],0)</f>
        <v>0.25088873812754409</v>
      </c>
      <c r="T57" t="str">
        <f>IF(Table3[[#This Row],[Total Streams (in millions)]]&gt;=50000,"High Performer",IF(Table3[[#This Row],[Total Streams (in millions)]]&gt;=20000,"Medium Performer","Low Performer"))</f>
        <v>Medium Performer</v>
      </c>
    </row>
    <row r="58" spans="1:20" x14ac:dyDescent="0.3">
      <c r="A58" s="9" t="s">
        <v>102</v>
      </c>
      <c r="B58" s="9" t="s">
        <v>14</v>
      </c>
      <c r="C58" s="9" t="s">
        <v>33</v>
      </c>
      <c r="D58" s="9" t="s">
        <v>16</v>
      </c>
      <c r="E58" s="9" t="s">
        <v>22</v>
      </c>
      <c r="F58" s="9" t="s">
        <v>18</v>
      </c>
      <c r="G58" s="10">
        <v>2010</v>
      </c>
      <c r="H58" s="10" t="str">
        <f>IF(Table3[[#This Row],[Debut Year]]&lt;=2000,"1999–2000",
IF(Table3[[#This Row],[Debut Year]]&lt;=2005,"2001–2005",
IF(Table3[[#This Row],[Debut Year]]&lt;=2010,"2006–2010",
IF(Table3[[#This Row],[Debut Year]]&lt;=2015,"2011–2015",
IF(Table3[[#This Row],[Debut Year]]&lt;=2020,"2016–2020",
"2021–2025")))))</f>
        <v>2006–2010</v>
      </c>
      <c r="I58" s="10">
        <v>29449</v>
      </c>
      <c r="J58" s="10">
        <v>29462.799999999999</v>
      </c>
      <c r="K58" s="10">
        <v>0</v>
      </c>
      <c r="L58" s="4">
        <v>29449</v>
      </c>
      <c r="M58" s="6">
        <f>Table2[[#This Row],[% of Solo Streams]]/100</f>
        <v>1</v>
      </c>
      <c r="N58" s="3">
        <v>0</v>
      </c>
      <c r="O58" s="6">
        <f>Table2[[#This Row],[% of Collaborative Streams]]/100</f>
        <v>0</v>
      </c>
      <c r="P58" s="4">
        <f>Table3[[#This Row],[Lead Streams (in millions)]]+Table3[[#This Row],[Feature Streams (in millions)]]</f>
        <v>29462.799999999999</v>
      </c>
      <c r="Q58" s="4">
        <f>_xlfn.RANK.EQ(Table3[[#This Row],[Total Stream]],Table3[Total Stream],0)</f>
        <v>57</v>
      </c>
      <c r="R58" s="4">
        <f>Table3[[#This Row],[Total Streams (in millions)]]-Table3[[#This Row],[Total Stream]]</f>
        <v>-13.799999999999272</v>
      </c>
      <c r="S58" s="8">
        <f>IFERROR(Table3[[#This Row],[Collaborative Streams (in millions)]]/Table3[[#This Row],[Total Stream]],0)</f>
        <v>0</v>
      </c>
      <c r="T58" t="str">
        <f>IF(Table3[[#This Row],[Total Streams (in millions)]]&gt;=50000,"High Performer",IF(Table3[[#This Row],[Total Streams (in millions)]]&gt;=20000,"Medium Performer","Low Performer"))</f>
        <v>Medium Performer</v>
      </c>
    </row>
    <row r="59" spans="1:20" x14ac:dyDescent="0.3">
      <c r="A59" s="11" t="s">
        <v>103</v>
      </c>
      <c r="B59" s="11" t="s">
        <v>14</v>
      </c>
      <c r="C59" s="11" t="s">
        <v>33</v>
      </c>
      <c r="D59" s="11" t="s">
        <v>16</v>
      </c>
      <c r="E59" s="11" t="s">
        <v>51</v>
      </c>
      <c r="F59" s="11" t="s">
        <v>48</v>
      </c>
      <c r="G59" s="12">
        <v>1973</v>
      </c>
      <c r="H59" s="12" t="str">
        <f>IF(Table3[[#This Row],[Debut Year]]&lt;=2000,"1999–2000",
IF(Table3[[#This Row],[Debut Year]]&lt;=2005,"2001–2005",
IF(Table3[[#This Row],[Debut Year]]&lt;=2010,"2006–2010",
IF(Table3[[#This Row],[Debut Year]]&lt;=2015,"2011–2015",
IF(Table3[[#This Row],[Debut Year]]&lt;=2020,"2016–2020",
"2021–2025")))))</f>
        <v>1999–2000</v>
      </c>
      <c r="I59" s="12">
        <v>29370</v>
      </c>
      <c r="J59" s="12">
        <v>29307.599999999999</v>
      </c>
      <c r="K59" s="12">
        <v>70.8</v>
      </c>
      <c r="L59" s="4">
        <v>26931.7</v>
      </c>
      <c r="M59" s="6">
        <f>Table2[[#This Row],[% of Solo Streams]]/100</f>
        <v>0.91697991149999991</v>
      </c>
      <c r="N59" s="3">
        <v>2438.3000000000002</v>
      </c>
      <c r="O59" s="6">
        <f>Table2[[#This Row],[% of Collaborative Streams]]/100</f>
        <v>8.3020088530000008E-2</v>
      </c>
      <c r="P59" s="4">
        <f>Table3[[#This Row],[Lead Streams (in millions)]]+Table3[[#This Row],[Feature Streams (in millions)]]</f>
        <v>29378.399999999998</v>
      </c>
      <c r="Q59" s="4">
        <f>_xlfn.RANK.EQ(Table3[[#This Row],[Total Stream]],Table3[Total Stream],0)</f>
        <v>58</v>
      </c>
      <c r="R59" s="4">
        <f>Table3[[#This Row],[Total Streams (in millions)]]-Table3[[#This Row],[Total Stream]]</f>
        <v>-8.3999999999978172</v>
      </c>
      <c r="S59" s="8">
        <f>IFERROR(Table3[[#This Row],[Collaborative Streams (in millions)]]/Table3[[#This Row],[Total Stream]],0)</f>
        <v>8.2996351060643209E-2</v>
      </c>
      <c r="T59" t="str">
        <f>IF(Table3[[#This Row],[Total Streams (in millions)]]&gt;=50000,"High Performer",IF(Table3[[#This Row],[Total Streams (in millions)]]&gt;=20000,"Medium Performer","Low Performer"))</f>
        <v>Medium Performer</v>
      </c>
    </row>
    <row r="60" spans="1:20" x14ac:dyDescent="0.3">
      <c r="A60" s="9" t="s">
        <v>104</v>
      </c>
      <c r="B60" s="9" t="s">
        <v>14</v>
      </c>
      <c r="C60" s="9" t="s">
        <v>33</v>
      </c>
      <c r="D60" s="9" t="s">
        <v>16</v>
      </c>
      <c r="E60" s="9" t="s">
        <v>22</v>
      </c>
      <c r="F60" s="9" t="s">
        <v>18</v>
      </c>
      <c r="G60" s="10">
        <v>2012</v>
      </c>
      <c r="H60" s="10" t="str">
        <f>IF(Table3[[#This Row],[Debut Year]]&lt;=2000,"1999–2000",
IF(Table3[[#This Row],[Debut Year]]&lt;=2005,"2001–2005",
IF(Table3[[#This Row],[Debut Year]]&lt;=2010,"2006–2010",
IF(Table3[[#This Row],[Debut Year]]&lt;=2015,"2011–2015",
IF(Table3[[#This Row],[Debut Year]]&lt;=2020,"2016–2020",
"2021–2025")))))</f>
        <v>2011–2015</v>
      </c>
      <c r="I60" s="10">
        <v>29197.200000000001</v>
      </c>
      <c r="J60" s="10">
        <v>24125.8</v>
      </c>
      <c r="K60" s="10">
        <v>5078.3</v>
      </c>
      <c r="L60" s="4">
        <v>17995.2</v>
      </c>
      <c r="M60" s="6">
        <f>Table2[[#This Row],[% of Solo Streams]]/100</f>
        <v>0.61633307299999995</v>
      </c>
      <c r="N60" s="3">
        <v>11202</v>
      </c>
      <c r="O60" s="6">
        <f>Table2[[#This Row],[% of Collaborative Streams]]/100</f>
        <v>0.38366692699999999</v>
      </c>
      <c r="P60" s="4">
        <f>Table3[[#This Row],[Lead Streams (in millions)]]+Table3[[#This Row],[Feature Streams (in millions)]]</f>
        <v>29204.1</v>
      </c>
      <c r="Q60" s="4">
        <f>_xlfn.RANK.EQ(Table3[[#This Row],[Total Stream]],Table3[Total Stream],0)</f>
        <v>59</v>
      </c>
      <c r="R60" s="4">
        <f>Table3[[#This Row],[Total Streams (in millions)]]-Table3[[#This Row],[Total Stream]]</f>
        <v>-6.8999999999978172</v>
      </c>
      <c r="S60" s="8">
        <f>IFERROR(Table3[[#This Row],[Collaborative Streams (in millions)]]/Table3[[#This Row],[Total Stream]],0)</f>
        <v>0.38357627867319999</v>
      </c>
      <c r="T60" t="str">
        <f>IF(Table3[[#This Row],[Total Streams (in millions)]]&gt;=50000,"High Performer",IF(Table3[[#This Row],[Total Streams (in millions)]]&gt;=20000,"Medium Performer","Low Performer"))</f>
        <v>Medium Performer</v>
      </c>
    </row>
    <row r="61" spans="1:20" x14ac:dyDescent="0.3">
      <c r="A61" s="11" t="s">
        <v>105</v>
      </c>
      <c r="B61" s="11" t="s">
        <v>78</v>
      </c>
      <c r="C61" s="11" t="s">
        <v>33</v>
      </c>
      <c r="D61" s="11" t="s">
        <v>16</v>
      </c>
      <c r="E61" s="11" t="s">
        <v>22</v>
      </c>
      <c r="F61" s="11" t="s">
        <v>48</v>
      </c>
      <c r="G61" s="12">
        <v>2011</v>
      </c>
      <c r="H61" s="12" t="str">
        <f>IF(Table3[[#This Row],[Debut Year]]&lt;=2000,"1999–2000",
IF(Table3[[#This Row],[Debut Year]]&lt;=2005,"2001–2005",
IF(Table3[[#This Row],[Debut Year]]&lt;=2010,"2006–2010",
IF(Table3[[#This Row],[Debut Year]]&lt;=2015,"2011–2015",
IF(Table3[[#This Row],[Debut Year]]&lt;=2020,"2016–2020",
"2021–2025")))))</f>
        <v>2011–2015</v>
      </c>
      <c r="I61" s="12">
        <v>28889.5</v>
      </c>
      <c r="J61" s="12">
        <v>28898.2</v>
      </c>
      <c r="K61" s="12">
        <v>0</v>
      </c>
      <c r="L61" s="4">
        <v>28801.9</v>
      </c>
      <c r="M61" s="6">
        <f>Table2[[#This Row],[% of Solo Streams]]/100</f>
        <v>0.99696775650000002</v>
      </c>
      <c r="N61" s="3">
        <v>87.6</v>
      </c>
      <c r="O61" s="6">
        <f>Table2[[#This Row],[% of Collaborative Streams]]/100</f>
        <v>3.032243549E-3</v>
      </c>
      <c r="P61" s="4">
        <f>Table3[[#This Row],[Lead Streams (in millions)]]+Table3[[#This Row],[Feature Streams (in millions)]]</f>
        <v>28898.2</v>
      </c>
      <c r="Q61" s="4">
        <f>_xlfn.RANK.EQ(Table3[[#This Row],[Total Stream]],Table3[Total Stream],0)</f>
        <v>60</v>
      </c>
      <c r="R61" s="4">
        <f>Table3[[#This Row],[Total Streams (in millions)]]-Table3[[#This Row],[Total Stream]]</f>
        <v>-8.7000000000007276</v>
      </c>
      <c r="S61" s="8">
        <f>IFERROR(Table3[[#This Row],[Collaborative Streams (in millions)]]/Table3[[#This Row],[Total Stream]],0)</f>
        <v>3.0313306711144635E-3</v>
      </c>
      <c r="T61" t="str">
        <f>IF(Table3[[#This Row],[Total Streams (in millions)]]&gt;=50000,"High Performer",IF(Table3[[#This Row],[Total Streams (in millions)]]&gt;=20000,"Medium Performer","Low Performer"))</f>
        <v>Medium Performer</v>
      </c>
    </row>
    <row r="62" spans="1:20" x14ac:dyDescent="0.3">
      <c r="A62" s="9" t="s">
        <v>106</v>
      </c>
      <c r="B62" s="9" t="s">
        <v>14</v>
      </c>
      <c r="C62" s="9" t="s">
        <v>21</v>
      </c>
      <c r="D62" s="9" t="s">
        <v>16</v>
      </c>
      <c r="E62" s="9" t="s">
        <v>17</v>
      </c>
      <c r="F62" s="9" t="s">
        <v>18</v>
      </c>
      <c r="G62" s="10">
        <v>2013</v>
      </c>
      <c r="H62" s="10" t="str">
        <f>IF(Table3[[#This Row],[Debut Year]]&lt;=2000,"1999–2000",
IF(Table3[[#This Row],[Debut Year]]&lt;=2005,"2001–2005",
IF(Table3[[#This Row],[Debut Year]]&lt;=2010,"2006–2010",
IF(Table3[[#This Row],[Debut Year]]&lt;=2015,"2011–2015",
IF(Table3[[#This Row],[Debut Year]]&lt;=2020,"2016–2020",
"2021–2025")))))</f>
        <v>2011–2015</v>
      </c>
      <c r="I62" s="10">
        <v>28848.7</v>
      </c>
      <c r="J62" s="10">
        <v>13945.2</v>
      </c>
      <c r="K62" s="10">
        <v>14911.9</v>
      </c>
      <c r="L62" s="4">
        <v>119.7</v>
      </c>
      <c r="M62" s="6">
        <f>Table2[[#This Row],[% of Solo Streams]]/100</f>
        <v>4.1492337610000004E-3</v>
      </c>
      <c r="N62" s="3">
        <v>28729</v>
      </c>
      <c r="O62" s="6">
        <f>Table2[[#This Row],[% of Collaborative Streams]]/100</f>
        <v>0.9958507661999999</v>
      </c>
      <c r="P62" s="4">
        <f>Table3[[#This Row],[Lead Streams (in millions)]]+Table3[[#This Row],[Feature Streams (in millions)]]</f>
        <v>28857.1</v>
      </c>
      <c r="Q62" s="4">
        <f>_xlfn.RANK.EQ(Table3[[#This Row],[Total Stream]],Table3[Total Stream],0)</f>
        <v>61</v>
      </c>
      <c r="R62" s="4">
        <f>Table3[[#This Row],[Total Streams (in millions)]]-Table3[[#This Row],[Total Stream]]</f>
        <v>-8.3999999999978172</v>
      </c>
      <c r="S62" s="8">
        <f>IFERROR(Table3[[#This Row],[Collaborative Streams (in millions)]]/Table3[[#This Row],[Total Stream]],0)</f>
        <v>0.99556088449636315</v>
      </c>
      <c r="T62" t="str">
        <f>IF(Table3[[#This Row],[Total Streams (in millions)]]&gt;=50000,"High Performer",IF(Table3[[#This Row],[Total Streams (in millions)]]&gt;=20000,"Medium Performer","Low Performer"))</f>
        <v>Medium Performer</v>
      </c>
    </row>
    <row r="63" spans="1:20" x14ac:dyDescent="0.3">
      <c r="A63" s="11" t="s">
        <v>107</v>
      </c>
      <c r="B63" s="11" t="s">
        <v>20</v>
      </c>
      <c r="C63" s="11" t="s">
        <v>21</v>
      </c>
      <c r="D63" s="11" t="s">
        <v>16</v>
      </c>
      <c r="E63" s="11" t="s">
        <v>22</v>
      </c>
      <c r="F63" s="11" t="s">
        <v>18</v>
      </c>
      <c r="G63" s="12">
        <v>2021</v>
      </c>
      <c r="H63" s="12" t="str">
        <f>IF(Table3[[#This Row],[Debut Year]]&lt;=2000,"1999–2000",
IF(Table3[[#This Row],[Debut Year]]&lt;=2005,"2001–2005",
IF(Table3[[#This Row],[Debut Year]]&lt;=2010,"2006–2010",
IF(Table3[[#This Row],[Debut Year]]&lt;=2015,"2011–2015",
IF(Table3[[#This Row],[Debut Year]]&lt;=2020,"2016–2020",
"2021–2025")))))</f>
        <v>2021–2025</v>
      </c>
      <c r="I63" s="12">
        <v>28799.7</v>
      </c>
      <c r="J63" s="12">
        <v>28797.599999999999</v>
      </c>
      <c r="K63" s="12">
        <v>2.2000000000000002</v>
      </c>
      <c r="L63" s="4">
        <v>26750.5</v>
      </c>
      <c r="M63" s="6">
        <f>Table2[[#This Row],[% of Solo Streams]]/100</f>
        <v>0.92884648100000011</v>
      </c>
      <c r="N63" s="3">
        <v>2049.1999999999998</v>
      </c>
      <c r="O63" s="6">
        <f>Table2[[#This Row],[% of Collaborative Streams]]/100</f>
        <v>7.1153518959999995E-2</v>
      </c>
      <c r="P63" s="4">
        <f>Table3[[#This Row],[Lead Streams (in millions)]]+Table3[[#This Row],[Feature Streams (in millions)]]</f>
        <v>28799.8</v>
      </c>
      <c r="Q63" s="4">
        <f>_xlfn.RANK.EQ(Table3[[#This Row],[Total Stream]],Table3[Total Stream],0)</f>
        <v>62</v>
      </c>
      <c r="R63" s="4">
        <f>Table3[[#This Row],[Total Streams (in millions)]]-Table3[[#This Row],[Total Stream]]</f>
        <v>-9.9999999998544808E-2</v>
      </c>
      <c r="S63" s="8">
        <f>IFERROR(Table3[[#This Row],[Collaborative Streams (in millions)]]/Table3[[#This Row],[Total Stream]],0)</f>
        <v>7.1153271897721512E-2</v>
      </c>
      <c r="T63" t="str">
        <f>IF(Table3[[#This Row],[Total Streams (in millions)]]&gt;=50000,"High Performer",IF(Table3[[#This Row],[Total Streams (in millions)]]&gt;=20000,"Medium Performer","Low Performer"))</f>
        <v>Medium Performer</v>
      </c>
    </row>
    <row r="64" spans="1:20" x14ac:dyDescent="0.3">
      <c r="A64" s="9" t="s">
        <v>108</v>
      </c>
      <c r="B64" s="9" t="s">
        <v>20</v>
      </c>
      <c r="C64" s="9" t="s">
        <v>33</v>
      </c>
      <c r="D64" s="9" t="s">
        <v>16</v>
      </c>
      <c r="E64" s="9" t="s">
        <v>22</v>
      </c>
      <c r="F64" s="9" t="s">
        <v>18</v>
      </c>
      <c r="G64" s="10">
        <v>2008</v>
      </c>
      <c r="H64" s="10" t="str">
        <f>IF(Table3[[#This Row],[Debut Year]]&lt;=2000,"1999–2000",
IF(Table3[[#This Row],[Debut Year]]&lt;=2005,"2001–2005",
IF(Table3[[#This Row],[Debut Year]]&lt;=2010,"2006–2010",
IF(Table3[[#This Row],[Debut Year]]&lt;=2015,"2011–2015",
IF(Table3[[#This Row],[Debut Year]]&lt;=2020,"2016–2020",
"2021–2025")))))</f>
        <v>2006–2010</v>
      </c>
      <c r="I64" s="10">
        <v>28690.5</v>
      </c>
      <c r="J64" s="10">
        <v>28699.5</v>
      </c>
      <c r="K64" s="10">
        <v>0</v>
      </c>
      <c r="L64" s="4">
        <v>28537.7</v>
      </c>
      <c r="M64" s="6">
        <f>Table2[[#This Row],[% of Solo Streams]]/100</f>
        <v>0.99467419530000001</v>
      </c>
      <c r="N64" s="3">
        <v>152.80000000000001</v>
      </c>
      <c r="O64" s="6">
        <f>Table2[[#This Row],[% of Collaborative Streams]]/100</f>
        <v>5.3258047090000002E-3</v>
      </c>
      <c r="P64" s="4">
        <f>Table3[[#This Row],[Lead Streams (in millions)]]+Table3[[#This Row],[Feature Streams (in millions)]]</f>
        <v>28699.5</v>
      </c>
      <c r="Q64" s="4">
        <f>_xlfn.RANK.EQ(Table3[[#This Row],[Total Stream]],Table3[Total Stream],0)</f>
        <v>63</v>
      </c>
      <c r="R64" s="4">
        <f>Table3[[#This Row],[Total Streams (in millions)]]-Table3[[#This Row],[Total Stream]]</f>
        <v>-9</v>
      </c>
      <c r="S64" s="8">
        <f>IFERROR(Table3[[#This Row],[Collaborative Streams (in millions)]]/Table3[[#This Row],[Total Stream]],0)</f>
        <v>5.3241345668043E-3</v>
      </c>
      <c r="T64" t="str">
        <f>IF(Table3[[#This Row],[Total Streams (in millions)]]&gt;=50000,"High Performer",IF(Table3[[#This Row],[Total Streams (in millions)]]&gt;=20000,"Medium Performer","Low Performer"))</f>
        <v>Medium Performer</v>
      </c>
    </row>
    <row r="65" spans="1:20" x14ac:dyDescent="0.3">
      <c r="A65" s="11" t="s">
        <v>109</v>
      </c>
      <c r="B65" s="11" t="s">
        <v>14</v>
      </c>
      <c r="C65" s="11" t="s">
        <v>71</v>
      </c>
      <c r="D65" s="11" t="s">
        <v>72</v>
      </c>
      <c r="E65" s="11" t="s">
        <v>22</v>
      </c>
      <c r="F65" s="11" t="s">
        <v>18</v>
      </c>
      <c r="G65" s="12">
        <v>2001</v>
      </c>
      <c r="H65" s="12" t="str">
        <f>IF(Table3[[#This Row],[Debut Year]]&lt;=2000,"1999–2000",
IF(Table3[[#This Row],[Debut Year]]&lt;=2005,"2001–2005",
IF(Table3[[#This Row],[Debut Year]]&lt;=2010,"2006–2010",
IF(Table3[[#This Row],[Debut Year]]&lt;=2015,"2011–2015",
IF(Table3[[#This Row],[Debut Year]]&lt;=2020,"2016–2020",
"2021–2025")))))</f>
        <v>2001–2005</v>
      </c>
      <c r="I65" s="12">
        <v>28543.9</v>
      </c>
      <c r="J65" s="12">
        <v>25181.4</v>
      </c>
      <c r="K65" s="12">
        <v>3362.5</v>
      </c>
      <c r="L65" s="4">
        <v>11.7</v>
      </c>
      <c r="M65" s="6">
        <f>Table2[[#This Row],[% of Solo Streams]]/100</f>
        <v>4.098949338E-4</v>
      </c>
      <c r="N65" s="3">
        <v>28532.2</v>
      </c>
      <c r="O65" s="6">
        <f>Table2[[#This Row],[% of Collaborative Streams]]/100</f>
        <v>0.99959010510000001</v>
      </c>
      <c r="P65" s="4">
        <f>Table3[[#This Row],[Lead Streams (in millions)]]+Table3[[#This Row],[Feature Streams (in millions)]]</f>
        <v>28543.9</v>
      </c>
      <c r="Q65" s="4">
        <f>_xlfn.RANK.EQ(Table3[[#This Row],[Total Stream]],Table3[Total Stream],0)</f>
        <v>64</v>
      </c>
      <c r="R65" s="4">
        <f>Table3[[#This Row],[Total Streams (in millions)]]-Table3[[#This Row],[Total Stream]]</f>
        <v>0</v>
      </c>
      <c r="S65" s="8">
        <f>IFERROR(Table3[[#This Row],[Collaborative Streams (in millions)]]/Table3[[#This Row],[Total Stream]],0)</f>
        <v>0.99959010506623125</v>
      </c>
      <c r="T65" t="str">
        <f>IF(Table3[[#This Row],[Total Streams (in millions)]]&gt;=50000,"High Performer",IF(Table3[[#This Row],[Total Streams (in millions)]]&gt;=20000,"Medium Performer","Low Performer"))</f>
        <v>Medium Performer</v>
      </c>
    </row>
    <row r="66" spans="1:20" x14ac:dyDescent="0.3">
      <c r="A66" s="9" t="s">
        <v>110</v>
      </c>
      <c r="B66" s="9" t="s">
        <v>20</v>
      </c>
      <c r="C66" s="9" t="s">
        <v>21</v>
      </c>
      <c r="D66" s="9" t="s">
        <v>16</v>
      </c>
      <c r="E66" s="9" t="s">
        <v>22</v>
      </c>
      <c r="F66" s="9" t="s">
        <v>18</v>
      </c>
      <c r="G66" s="10">
        <v>2001</v>
      </c>
      <c r="H66" s="10" t="str">
        <f>IF(Table3[[#This Row],[Debut Year]]&lt;=2000,"1999–2000",
IF(Table3[[#This Row],[Debut Year]]&lt;=2005,"2001–2005",
IF(Table3[[#This Row],[Debut Year]]&lt;=2010,"2006–2010",
IF(Table3[[#This Row],[Debut Year]]&lt;=2015,"2011–2015",
IF(Table3[[#This Row],[Debut Year]]&lt;=2020,"2016–2020",
"2021–2025")))))</f>
        <v>2001–2005</v>
      </c>
      <c r="I66" s="10">
        <v>28248</v>
      </c>
      <c r="J66" s="10">
        <v>25287.5</v>
      </c>
      <c r="K66" s="10">
        <v>2977.8</v>
      </c>
      <c r="L66" s="4">
        <v>19629.7</v>
      </c>
      <c r="M66" s="6">
        <f>Table2[[#This Row],[% of Solo Streams]]/100</f>
        <v>0.69490583400000006</v>
      </c>
      <c r="N66" s="3">
        <v>8618.2999999999993</v>
      </c>
      <c r="O66" s="6">
        <f>Table2[[#This Row],[% of Collaborative Streams]]/100</f>
        <v>0.305094166</v>
      </c>
      <c r="P66" s="4">
        <f>Table3[[#This Row],[Lead Streams (in millions)]]+Table3[[#This Row],[Feature Streams (in millions)]]</f>
        <v>28265.3</v>
      </c>
      <c r="Q66" s="4">
        <f>_xlfn.RANK.EQ(Table3[[#This Row],[Total Stream]],Table3[Total Stream],0)</f>
        <v>65</v>
      </c>
      <c r="R66" s="4">
        <f>Table3[[#This Row],[Total Streams (in millions)]]-Table3[[#This Row],[Total Stream]]</f>
        <v>-17.299999999999272</v>
      </c>
      <c r="S66" s="8">
        <f>IFERROR(Table3[[#This Row],[Collaborative Streams (in millions)]]/Table3[[#This Row],[Total Stream]],0)</f>
        <v>0.30490743066586945</v>
      </c>
      <c r="T66" t="str">
        <f>IF(Table3[[#This Row],[Total Streams (in millions)]]&gt;=50000,"High Performer",IF(Table3[[#This Row],[Total Streams (in millions)]]&gt;=20000,"Medium Performer","Low Performer"))</f>
        <v>Medium Performer</v>
      </c>
    </row>
    <row r="67" spans="1:20" x14ac:dyDescent="0.3">
      <c r="A67" s="11" t="s">
        <v>111</v>
      </c>
      <c r="B67" s="11" t="s">
        <v>14</v>
      </c>
      <c r="C67" s="11" t="s">
        <v>21</v>
      </c>
      <c r="D67" s="11" t="s">
        <v>16</v>
      </c>
      <c r="E67" s="11" t="s">
        <v>17</v>
      </c>
      <c r="F67" s="11" t="s">
        <v>18</v>
      </c>
      <c r="G67" s="12">
        <v>2013</v>
      </c>
      <c r="H67" s="12" t="str">
        <f>IF(Table3[[#This Row],[Debut Year]]&lt;=2000,"1999–2000",
IF(Table3[[#This Row],[Debut Year]]&lt;=2005,"2001–2005",
IF(Table3[[#This Row],[Debut Year]]&lt;=2010,"2006–2010",
IF(Table3[[#This Row],[Debut Year]]&lt;=2015,"2011–2015",
IF(Table3[[#This Row],[Debut Year]]&lt;=2020,"2016–2020",
"2021–2025")))))</f>
        <v>2011–2015</v>
      </c>
      <c r="I67" s="12">
        <v>28195.8</v>
      </c>
      <c r="J67" s="12">
        <v>12491.3</v>
      </c>
      <c r="K67" s="12">
        <v>15715.6</v>
      </c>
      <c r="L67" s="4">
        <v>7949.8</v>
      </c>
      <c r="M67" s="6">
        <f>Table2[[#This Row],[% of Solo Streams]]/100</f>
        <v>0.28194979390000002</v>
      </c>
      <c r="N67" s="3">
        <v>20246</v>
      </c>
      <c r="O67" s="6">
        <f>Table2[[#This Row],[% of Collaborative Streams]]/100</f>
        <v>0.71805020610000003</v>
      </c>
      <c r="P67" s="4">
        <f>Table3[[#This Row],[Lead Streams (in millions)]]+Table3[[#This Row],[Feature Streams (in millions)]]</f>
        <v>28206.9</v>
      </c>
      <c r="Q67" s="4">
        <f>_xlfn.RANK.EQ(Table3[[#This Row],[Total Stream]],Table3[Total Stream],0)</f>
        <v>66</v>
      </c>
      <c r="R67" s="4">
        <f>Table3[[#This Row],[Total Streams (in millions)]]-Table3[[#This Row],[Total Stream]]</f>
        <v>-11.100000000002183</v>
      </c>
      <c r="S67" s="8">
        <f>IFERROR(Table3[[#This Row],[Collaborative Streams (in millions)]]/Table3[[#This Row],[Total Stream]],0)</f>
        <v>0.71776763841471414</v>
      </c>
      <c r="T67" t="str">
        <f>IF(Table3[[#This Row],[Total Streams (in millions)]]&gt;=50000,"High Performer",IF(Table3[[#This Row],[Total Streams (in millions)]]&gt;=20000,"Medium Performer","Low Performer"))</f>
        <v>Medium Performer</v>
      </c>
    </row>
    <row r="68" spans="1:20" x14ac:dyDescent="0.3">
      <c r="A68" s="9" t="s">
        <v>112</v>
      </c>
      <c r="B68" s="9" t="s">
        <v>14</v>
      </c>
      <c r="C68" s="9" t="s">
        <v>33</v>
      </c>
      <c r="D68" s="9" t="s">
        <v>16</v>
      </c>
      <c r="E68" s="9" t="s">
        <v>51</v>
      </c>
      <c r="F68" s="9" t="s">
        <v>48</v>
      </c>
      <c r="G68" s="10">
        <v>2005</v>
      </c>
      <c r="H68" s="10" t="str">
        <f>IF(Table3[[#This Row],[Debut Year]]&lt;=2000,"1999–2000",
IF(Table3[[#This Row],[Debut Year]]&lt;=2005,"2001–2005",
IF(Table3[[#This Row],[Debut Year]]&lt;=2010,"2006–2010",
IF(Table3[[#This Row],[Debut Year]]&lt;=2015,"2011–2015",
IF(Table3[[#This Row],[Debut Year]]&lt;=2020,"2016–2020",
"2021–2025")))))</f>
        <v>2001–2005</v>
      </c>
      <c r="I68" s="10">
        <v>28155.4</v>
      </c>
      <c r="J68" s="10">
        <v>28166.2</v>
      </c>
      <c r="K68" s="10">
        <v>0</v>
      </c>
      <c r="L68" s="4">
        <v>28130.400000000001</v>
      </c>
      <c r="M68" s="6">
        <f>Table2[[#This Row],[% of Solo Streams]]/100</f>
        <v>0.99911207090000009</v>
      </c>
      <c r="N68" s="3">
        <v>25</v>
      </c>
      <c r="O68" s="6">
        <f>Table2[[#This Row],[% of Collaborative Streams]]/100</f>
        <v>8.8792913619999993E-4</v>
      </c>
      <c r="P68" s="4">
        <f>Table3[[#This Row],[Lead Streams (in millions)]]+Table3[[#This Row],[Feature Streams (in millions)]]</f>
        <v>28166.2</v>
      </c>
      <c r="Q68" s="4">
        <f>_xlfn.RANK.EQ(Table3[[#This Row],[Total Stream]],Table3[Total Stream],0)</f>
        <v>67</v>
      </c>
      <c r="R68" s="4">
        <f>Table3[[#This Row],[Total Streams (in millions)]]-Table3[[#This Row],[Total Stream]]</f>
        <v>-10.799999999999272</v>
      </c>
      <c r="S68" s="8">
        <f>IFERROR(Table3[[#This Row],[Collaborative Streams (in millions)]]/Table3[[#This Row],[Total Stream]],0)</f>
        <v>8.8758867010814381E-4</v>
      </c>
      <c r="T68" t="str">
        <f>IF(Table3[[#This Row],[Total Streams (in millions)]]&gt;=50000,"High Performer",IF(Table3[[#This Row],[Total Streams (in millions)]]&gt;=20000,"Medium Performer","Low Performer"))</f>
        <v>Medium Performer</v>
      </c>
    </row>
    <row r="69" spans="1:20" x14ac:dyDescent="0.3">
      <c r="A69" s="11" t="s">
        <v>113</v>
      </c>
      <c r="B69" s="11" t="s">
        <v>14</v>
      </c>
      <c r="C69" s="11" t="s">
        <v>21</v>
      </c>
      <c r="D69" s="11" t="s">
        <v>24</v>
      </c>
      <c r="E69" s="11" t="s">
        <v>82</v>
      </c>
      <c r="F69" s="11" t="s">
        <v>48</v>
      </c>
      <c r="G69" s="12">
        <v>2018</v>
      </c>
      <c r="H69" s="12" t="str">
        <f>IF(Table3[[#This Row],[Debut Year]]&lt;=2000,"1999–2000",
IF(Table3[[#This Row],[Debut Year]]&lt;=2005,"2001–2005",
IF(Table3[[#This Row],[Debut Year]]&lt;=2010,"2006–2010",
IF(Table3[[#This Row],[Debut Year]]&lt;=2015,"2011–2015",
IF(Table3[[#This Row],[Debut Year]]&lt;=2020,"2016–2020",
"2021–2025")))))</f>
        <v>2016–2020</v>
      </c>
      <c r="I69" s="12">
        <v>27466.799999999999</v>
      </c>
      <c r="J69" s="12">
        <v>19814.7</v>
      </c>
      <c r="K69" s="12">
        <v>7652.1</v>
      </c>
      <c r="L69" s="4">
        <v>11576.2</v>
      </c>
      <c r="M69" s="6">
        <f>Table2[[#This Row],[% of Solo Streams]]/100</f>
        <v>0.42146154629999999</v>
      </c>
      <c r="N69" s="3">
        <v>15890.6</v>
      </c>
      <c r="O69" s="6">
        <f>Table2[[#This Row],[% of Collaborative Streams]]/100</f>
        <v>0.57853845370000001</v>
      </c>
      <c r="P69" s="4">
        <f>Table3[[#This Row],[Lead Streams (in millions)]]+Table3[[#This Row],[Feature Streams (in millions)]]</f>
        <v>27466.800000000003</v>
      </c>
      <c r="Q69" s="4">
        <f>_xlfn.RANK.EQ(Table3[[#This Row],[Total Stream]],Table3[Total Stream],0)</f>
        <v>68</v>
      </c>
      <c r="R69" s="4">
        <f>Table3[[#This Row],[Total Streams (in millions)]]-Table3[[#This Row],[Total Stream]]</f>
        <v>0</v>
      </c>
      <c r="S69" s="8">
        <f>IFERROR(Table3[[#This Row],[Collaborative Streams (in millions)]]/Table3[[#This Row],[Total Stream]],0)</f>
        <v>0.57853845369682666</v>
      </c>
      <c r="T69" t="str">
        <f>IF(Table3[[#This Row],[Total Streams (in millions)]]&gt;=50000,"High Performer",IF(Table3[[#This Row],[Total Streams (in millions)]]&gt;=20000,"Medium Performer","Low Performer"))</f>
        <v>Medium Performer</v>
      </c>
    </row>
    <row r="70" spans="1:20" x14ac:dyDescent="0.3">
      <c r="A70" s="9" t="s">
        <v>114</v>
      </c>
      <c r="B70" s="9" t="s">
        <v>14</v>
      </c>
      <c r="C70" s="9" t="s">
        <v>89</v>
      </c>
      <c r="D70" s="9" t="s">
        <v>24</v>
      </c>
      <c r="E70" s="9" t="s">
        <v>90</v>
      </c>
      <c r="F70" s="9" t="s">
        <v>18</v>
      </c>
      <c r="G70" s="10">
        <v>2019</v>
      </c>
      <c r="H70" s="10" t="str">
        <f>IF(Table3[[#This Row],[Debut Year]]&lt;=2000,"1999–2000",
IF(Table3[[#This Row],[Debut Year]]&lt;=2005,"2001–2005",
IF(Table3[[#This Row],[Debut Year]]&lt;=2010,"2006–2010",
IF(Table3[[#This Row],[Debut Year]]&lt;=2015,"2011–2015",
IF(Table3[[#This Row],[Debut Year]]&lt;=2020,"2016–2020",
"2021–2025")))))</f>
        <v>2016–2020</v>
      </c>
      <c r="I70" s="10">
        <v>27406.799999999999</v>
      </c>
      <c r="J70" s="10">
        <v>18341.2</v>
      </c>
      <c r="K70" s="10">
        <v>9084.4</v>
      </c>
      <c r="L70" s="4">
        <v>13658.7</v>
      </c>
      <c r="M70" s="6">
        <f>Table2[[#This Row],[% of Solo Streams]]/100</f>
        <v>0.49836901789999999</v>
      </c>
      <c r="N70" s="3">
        <v>13748.1</v>
      </c>
      <c r="O70" s="6">
        <f>Table2[[#This Row],[% of Collaborative Streams]]/100</f>
        <v>0.50163098210000001</v>
      </c>
      <c r="P70" s="4">
        <f>Table3[[#This Row],[Lead Streams (in millions)]]+Table3[[#This Row],[Feature Streams (in millions)]]</f>
        <v>27425.599999999999</v>
      </c>
      <c r="Q70" s="4">
        <f>_xlfn.RANK.EQ(Table3[[#This Row],[Total Stream]],Table3[Total Stream],0)</f>
        <v>69</v>
      </c>
      <c r="R70" s="4">
        <f>Table3[[#This Row],[Total Streams (in millions)]]-Table3[[#This Row],[Total Stream]]</f>
        <v>-18.799999999999272</v>
      </c>
      <c r="S70" s="8">
        <f>IFERROR(Table3[[#This Row],[Collaborative Streams (in millions)]]/Table3[[#This Row],[Total Stream]],0)</f>
        <v>0.50128711860451558</v>
      </c>
      <c r="T70" t="str">
        <f>IF(Table3[[#This Row],[Total Streams (in millions)]]&gt;=50000,"High Performer",IF(Table3[[#This Row],[Total Streams (in millions)]]&gt;=20000,"Medium Performer","Low Performer"))</f>
        <v>Medium Performer</v>
      </c>
    </row>
    <row r="71" spans="1:20" x14ac:dyDescent="0.3">
      <c r="A71" s="11" t="s">
        <v>115</v>
      </c>
      <c r="B71" s="11" t="s">
        <v>14</v>
      </c>
      <c r="C71" s="11" t="s">
        <v>21</v>
      </c>
      <c r="D71" s="11" t="s">
        <v>16</v>
      </c>
      <c r="E71" s="11" t="s">
        <v>17</v>
      </c>
      <c r="F71" s="11" t="s">
        <v>18</v>
      </c>
      <c r="G71" s="12">
        <v>2009</v>
      </c>
      <c r="H71" s="12" t="str">
        <f>IF(Table3[[#This Row],[Debut Year]]&lt;=2000,"1999–2000",
IF(Table3[[#This Row],[Debut Year]]&lt;=2005,"2001–2005",
IF(Table3[[#This Row],[Debut Year]]&lt;=2010,"2006–2010",
IF(Table3[[#This Row],[Debut Year]]&lt;=2015,"2011–2015",
IF(Table3[[#This Row],[Debut Year]]&lt;=2020,"2016–2020",
"2021–2025")))))</f>
        <v>2006–2010</v>
      </c>
      <c r="I71" s="12">
        <v>27125.8</v>
      </c>
      <c r="J71" s="12">
        <v>23925.9</v>
      </c>
      <c r="K71" s="12">
        <v>3208.7</v>
      </c>
      <c r="L71" s="4">
        <v>11656.5</v>
      </c>
      <c r="M71" s="6">
        <f>Table2[[#This Row],[% of Solo Streams]]/100</f>
        <v>0.4297200451</v>
      </c>
      <c r="N71" s="3">
        <v>15469.3</v>
      </c>
      <c r="O71" s="6">
        <f>Table2[[#This Row],[% of Collaborative Streams]]/100</f>
        <v>0.57027995490000005</v>
      </c>
      <c r="P71" s="4">
        <f>Table3[[#This Row],[Lead Streams (in millions)]]+Table3[[#This Row],[Feature Streams (in millions)]]</f>
        <v>27134.600000000002</v>
      </c>
      <c r="Q71" s="4">
        <f>_xlfn.RANK.EQ(Table3[[#This Row],[Total Stream]],Table3[Total Stream],0)</f>
        <v>70</v>
      </c>
      <c r="R71" s="4">
        <f>Table3[[#This Row],[Total Streams (in millions)]]-Table3[[#This Row],[Total Stream]]</f>
        <v>-8.8000000000029104</v>
      </c>
      <c r="S71" s="8">
        <f>IFERROR(Table3[[#This Row],[Collaborative Streams (in millions)]]/Table3[[#This Row],[Total Stream]],0)</f>
        <v>0.57009500784975631</v>
      </c>
      <c r="T71" t="str">
        <f>IF(Table3[[#This Row],[Total Streams (in millions)]]&gt;=50000,"High Performer",IF(Table3[[#This Row],[Total Streams (in millions)]]&gt;=20000,"Medium Performer","Low Performer"))</f>
        <v>Medium Performer</v>
      </c>
    </row>
    <row r="72" spans="1:20" x14ac:dyDescent="0.3">
      <c r="A72" s="9" t="s">
        <v>116</v>
      </c>
      <c r="B72" s="9" t="s">
        <v>20</v>
      </c>
      <c r="C72" s="9" t="s">
        <v>21</v>
      </c>
      <c r="D72" s="9" t="s">
        <v>16</v>
      </c>
      <c r="E72" s="9" t="s">
        <v>22</v>
      </c>
      <c r="F72" s="9" t="s">
        <v>18</v>
      </c>
      <c r="G72" s="10">
        <v>2008</v>
      </c>
      <c r="H72" s="10" t="str">
        <f>IF(Table3[[#This Row],[Debut Year]]&lt;=2000,"1999–2000",
IF(Table3[[#This Row],[Debut Year]]&lt;=2005,"2001–2005",
IF(Table3[[#This Row],[Debut Year]]&lt;=2010,"2006–2010",
IF(Table3[[#This Row],[Debut Year]]&lt;=2015,"2011–2015",
IF(Table3[[#This Row],[Debut Year]]&lt;=2020,"2016–2020",
"2021–2025")))))</f>
        <v>2006–2010</v>
      </c>
      <c r="I72" s="10">
        <v>26895.1</v>
      </c>
      <c r="J72" s="10">
        <v>16017.5</v>
      </c>
      <c r="K72" s="10">
        <v>10884.4</v>
      </c>
      <c r="L72" s="4">
        <v>10921.5</v>
      </c>
      <c r="M72" s="6">
        <f>Table2[[#This Row],[% of Solo Streams]]/100</f>
        <v>0.40607768700000002</v>
      </c>
      <c r="N72" s="3">
        <v>15973.6</v>
      </c>
      <c r="O72" s="6">
        <f>Table2[[#This Row],[% of Collaborative Streams]]/100</f>
        <v>0.59392231299999998</v>
      </c>
      <c r="P72" s="4">
        <f>Table3[[#This Row],[Lead Streams (in millions)]]+Table3[[#This Row],[Feature Streams (in millions)]]</f>
        <v>26901.9</v>
      </c>
      <c r="Q72" s="4">
        <f>_xlfn.RANK.EQ(Table3[[#This Row],[Total Stream]],Table3[Total Stream],0)</f>
        <v>71</v>
      </c>
      <c r="R72" s="4">
        <f>Table3[[#This Row],[Total Streams (in millions)]]-Table3[[#This Row],[Total Stream]]</f>
        <v>-6.8000000000029104</v>
      </c>
      <c r="S72" s="8">
        <f>IFERROR(Table3[[#This Row],[Collaborative Streams (in millions)]]/Table3[[#This Row],[Total Stream]],0)</f>
        <v>0.59377218709459179</v>
      </c>
      <c r="T72" t="str">
        <f>IF(Table3[[#This Row],[Total Streams (in millions)]]&gt;=50000,"High Performer",IF(Table3[[#This Row],[Total Streams (in millions)]]&gt;=20000,"Medium Performer","Low Performer"))</f>
        <v>Medium Performer</v>
      </c>
    </row>
    <row r="73" spans="1:20" x14ac:dyDescent="0.3">
      <c r="A73" s="11" t="s">
        <v>117</v>
      </c>
      <c r="B73" s="11" t="s">
        <v>14</v>
      </c>
      <c r="C73" s="11" t="s">
        <v>21</v>
      </c>
      <c r="D73" s="11" t="s">
        <v>16</v>
      </c>
      <c r="E73" s="11" t="s">
        <v>27</v>
      </c>
      <c r="F73" s="11" t="s">
        <v>18</v>
      </c>
      <c r="G73" s="12">
        <v>2011</v>
      </c>
      <c r="H73" s="12" t="str">
        <f>IF(Table3[[#This Row],[Debut Year]]&lt;=2000,"1999–2000",
IF(Table3[[#This Row],[Debut Year]]&lt;=2005,"2001–2005",
IF(Table3[[#This Row],[Debut Year]]&lt;=2010,"2006–2010",
IF(Table3[[#This Row],[Debut Year]]&lt;=2015,"2011–2015",
IF(Table3[[#This Row],[Debut Year]]&lt;=2020,"2016–2020",
"2021–2025")))))</f>
        <v>2011–2015</v>
      </c>
      <c r="I73" s="12">
        <v>26465.200000000001</v>
      </c>
      <c r="J73" s="12">
        <v>5073.8</v>
      </c>
      <c r="K73" s="12">
        <v>21394.799999999999</v>
      </c>
      <c r="L73" s="4">
        <v>318.39999999999998</v>
      </c>
      <c r="M73" s="6">
        <f>Table2[[#This Row],[% of Solo Streams]]/100</f>
        <v>1.2030893399999999E-2</v>
      </c>
      <c r="N73" s="3">
        <v>26146.799999999999</v>
      </c>
      <c r="O73" s="6">
        <f>Table2[[#This Row],[% of Collaborative Streams]]/100</f>
        <v>0.98796910659999992</v>
      </c>
      <c r="P73" s="4">
        <f>Table3[[#This Row],[Lead Streams (in millions)]]+Table3[[#This Row],[Feature Streams (in millions)]]</f>
        <v>26468.6</v>
      </c>
      <c r="Q73" s="4">
        <f>_xlfn.RANK.EQ(Table3[[#This Row],[Total Stream]],Table3[Total Stream],0)</f>
        <v>72</v>
      </c>
      <c r="R73" s="4">
        <f>Table3[[#This Row],[Total Streams (in millions)]]-Table3[[#This Row],[Total Stream]]</f>
        <v>-3.3999999999978172</v>
      </c>
      <c r="S73" s="8">
        <f>IFERROR(Table3[[#This Row],[Collaborative Streams (in millions)]]/Table3[[#This Row],[Total Stream]],0)</f>
        <v>0.98784219792508865</v>
      </c>
      <c r="T73" t="str">
        <f>IF(Table3[[#This Row],[Total Streams (in millions)]]&gt;=50000,"High Performer",IF(Table3[[#This Row],[Total Streams (in millions)]]&gt;=20000,"Medium Performer","Low Performer"))</f>
        <v>Medium Performer</v>
      </c>
    </row>
    <row r="74" spans="1:20" x14ac:dyDescent="0.3">
      <c r="A74" s="9" t="s">
        <v>118</v>
      </c>
      <c r="B74" s="9" t="s">
        <v>14</v>
      </c>
      <c r="C74" s="9" t="s">
        <v>33</v>
      </c>
      <c r="D74" s="9" t="s">
        <v>16</v>
      </c>
      <c r="E74" s="9" t="s">
        <v>51</v>
      </c>
      <c r="F74" s="9" t="s">
        <v>48</v>
      </c>
      <c r="G74" s="10">
        <v>1962</v>
      </c>
      <c r="H74" s="10" t="str">
        <f>IF(Table3[[#This Row],[Debut Year]]&lt;=2000,"1999–2000",
IF(Table3[[#This Row],[Debut Year]]&lt;=2005,"2001–2005",
IF(Table3[[#This Row],[Debut Year]]&lt;=2010,"2006–2010",
IF(Table3[[#This Row],[Debut Year]]&lt;=2015,"2011–2015",
IF(Table3[[#This Row],[Debut Year]]&lt;=2020,"2016–2020",
"2021–2025")))))</f>
        <v>1999–2000</v>
      </c>
      <c r="I74" s="10">
        <v>26130.5</v>
      </c>
      <c r="J74" s="10">
        <v>26138.7</v>
      </c>
      <c r="K74" s="10">
        <v>2.2000000000000002</v>
      </c>
      <c r="L74" s="4">
        <v>26123</v>
      </c>
      <c r="M74" s="6">
        <f>Table2[[#This Row],[% of Solo Streams]]/100</f>
        <v>0.99971297910000001</v>
      </c>
      <c r="N74" s="3">
        <v>7.5</v>
      </c>
      <c r="O74" s="6">
        <f>Table2[[#This Row],[% of Collaborative Streams]]/100</f>
        <v>2.8702091429999999E-4</v>
      </c>
      <c r="P74" s="4">
        <f>Table3[[#This Row],[Lead Streams (in millions)]]+Table3[[#This Row],[Feature Streams (in millions)]]</f>
        <v>26140.9</v>
      </c>
      <c r="Q74" s="4">
        <f>_xlfn.RANK.EQ(Table3[[#This Row],[Total Stream]],Table3[Total Stream],0)</f>
        <v>73</v>
      </c>
      <c r="R74" s="4">
        <f>Table3[[#This Row],[Total Streams (in millions)]]-Table3[[#This Row],[Total Stream]]</f>
        <v>-10.400000000001455</v>
      </c>
      <c r="S74" s="8">
        <f>IFERROR(Table3[[#This Row],[Collaborative Streams (in millions)]]/Table3[[#This Row],[Total Stream]],0)</f>
        <v>2.8690672471108489E-4</v>
      </c>
      <c r="T74" t="str">
        <f>IF(Table3[[#This Row],[Total Streams (in millions)]]&gt;=50000,"High Performer",IF(Table3[[#This Row],[Total Streams (in millions)]]&gt;=20000,"Medium Performer","Low Performer"))</f>
        <v>Medium Performer</v>
      </c>
    </row>
    <row r="75" spans="1:20" x14ac:dyDescent="0.3">
      <c r="A75" s="11" t="s">
        <v>119</v>
      </c>
      <c r="B75" s="11" t="s">
        <v>14</v>
      </c>
      <c r="C75" s="11" t="s">
        <v>21</v>
      </c>
      <c r="D75" s="11" t="s">
        <v>16</v>
      </c>
      <c r="E75" s="11" t="s">
        <v>22</v>
      </c>
      <c r="F75" s="11" t="s">
        <v>18</v>
      </c>
      <c r="G75" s="12">
        <v>2004</v>
      </c>
      <c r="H75" s="12" t="str">
        <f>IF(Table3[[#This Row],[Debut Year]]&lt;=2000,"1999–2000",
IF(Table3[[#This Row],[Debut Year]]&lt;=2005,"2001–2005",
IF(Table3[[#This Row],[Debut Year]]&lt;=2010,"2006–2010",
IF(Table3[[#This Row],[Debut Year]]&lt;=2015,"2011–2015",
IF(Table3[[#This Row],[Debut Year]]&lt;=2020,"2016–2020",
"2021–2025")))))</f>
        <v>2001–2005</v>
      </c>
      <c r="I75" s="12">
        <v>25875.8</v>
      </c>
      <c r="J75" s="12">
        <v>18250.900000000001</v>
      </c>
      <c r="K75" s="12">
        <v>7641</v>
      </c>
      <c r="L75" s="4">
        <v>2321.6999999999998</v>
      </c>
      <c r="M75" s="6">
        <f>Table2[[#This Row],[% of Solo Streams]]/100</f>
        <v>8.9724762129999996E-2</v>
      </c>
      <c r="N75" s="3">
        <v>23554.1</v>
      </c>
      <c r="O75" s="6">
        <f>Table2[[#This Row],[% of Collaborative Streams]]/100</f>
        <v>0.91027523790000009</v>
      </c>
      <c r="P75" s="4">
        <f>Table3[[#This Row],[Lead Streams (in millions)]]+Table3[[#This Row],[Feature Streams (in millions)]]</f>
        <v>25891.9</v>
      </c>
      <c r="Q75" s="4">
        <f>_xlfn.RANK.EQ(Table3[[#This Row],[Total Stream]],Table3[Total Stream],0)</f>
        <v>74</v>
      </c>
      <c r="R75" s="4">
        <f>Table3[[#This Row],[Total Streams (in millions)]]-Table3[[#This Row],[Total Stream]]</f>
        <v>-16.100000000002183</v>
      </c>
      <c r="S75" s="8">
        <f>IFERROR(Table3[[#This Row],[Collaborative Streams (in millions)]]/Table3[[#This Row],[Total Stream]],0)</f>
        <v>0.90970921407853411</v>
      </c>
      <c r="T75" t="str">
        <f>IF(Table3[[#This Row],[Total Streams (in millions)]]&gt;=50000,"High Performer",IF(Table3[[#This Row],[Total Streams (in millions)]]&gt;=20000,"Medium Performer","Low Performer"))</f>
        <v>Medium Performer</v>
      </c>
    </row>
    <row r="76" spans="1:20" x14ac:dyDescent="0.3">
      <c r="A76" s="9" t="s">
        <v>120</v>
      </c>
      <c r="B76" s="9" t="s">
        <v>14</v>
      </c>
      <c r="C76" s="9" t="s">
        <v>21</v>
      </c>
      <c r="D76" s="9" t="s">
        <v>24</v>
      </c>
      <c r="E76" s="9" t="s">
        <v>25</v>
      </c>
      <c r="F76" s="9" t="s">
        <v>18</v>
      </c>
      <c r="G76" s="10">
        <v>1995</v>
      </c>
      <c r="H76" s="10" t="str">
        <f>IF(Table3[[#This Row],[Debut Year]]&lt;=2000,"1999–2000",
IF(Table3[[#This Row],[Debut Year]]&lt;=2005,"2001–2005",
IF(Table3[[#This Row],[Debut Year]]&lt;=2010,"2006–2010",
IF(Table3[[#This Row],[Debut Year]]&lt;=2015,"2011–2015",
IF(Table3[[#This Row],[Debut Year]]&lt;=2020,"2016–2020",
"2021–2025")))))</f>
        <v>1999–2000</v>
      </c>
      <c r="I76" s="10">
        <v>25875.4</v>
      </c>
      <c r="J76" s="10">
        <v>11175.4</v>
      </c>
      <c r="K76" s="10">
        <v>14672</v>
      </c>
      <c r="L76" s="4">
        <v>2972.5</v>
      </c>
      <c r="M76" s="6">
        <f>Table2[[#This Row],[% of Solo Streams]]/100</f>
        <v>0.11487745119999999</v>
      </c>
      <c r="N76" s="3">
        <v>22902.9</v>
      </c>
      <c r="O76" s="6">
        <f>Table2[[#This Row],[% of Collaborative Streams]]/100</f>
        <v>0.88512254879999996</v>
      </c>
      <c r="P76" s="4">
        <f>Table3[[#This Row],[Lead Streams (in millions)]]+Table3[[#This Row],[Feature Streams (in millions)]]</f>
        <v>25847.4</v>
      </c>
      <c r="Q76" s="4">
        <f>_xlfn.RANK.EQ(Table3[[#This Row],[Total Stream]],Table3[Total Stream],0)</f>
        <v>75</v>
      </c>
      <c r="R76" s="4">
        <f>Table3[[#This Row],[Total Streams (in millions)]]-Table3[[#This Row],[Total Stream]]</f>
        <v>28</v>
      </c>
      <c r="S76" s="8">
        <f>IFERROR(Table3[[#This Row],[Collaborative Streams (in millions)]]/Table3[[#This Row],[Total Stream]],0)</f>
        <v>0.88608138536177716</v>
      </c>
      <c r="T76" t="str">
        <f>IF(Table3[[#This Row],[Total Streams (in millions)]]&gt;=50000,"High Performer",IF(Table3[[#This Row],[Total Streams (in millions)]]&gt;=20000,"Medium Performer","Low Performer"))</f>
        <v>Medium Performer</v>
      </c>
    </row>
    <row r="77" spans="1:20" x14ac:dyDescent="0.3">
      <c r="A77" s="11" t="s">
        <v>121</v>
      </c>
      <c r="B77" s="11" t="s">
        <v>14</v>
      </c>
      <c r="C77" s="11" t="s">
        <v>21</v>
      </c>
      <c r="D77" s="11" t="s">
        <v>16</v>
      </c>
      <c r="E77" s="11" t="s">
        <v>17</v>
      </c>
      <c r="F77" s="11" t="s">
        <v>18</v>
      </c>
      <c r="G77" s="12">
        <v>2011</v>
      </c>
      <c r="H77" s="12" t="str">
        <f>IF(Table3[[#This Row],[Debut Year]]&lt;=2000,"1999–2000",
IF(Table3[[#This Row],[Debut Year]]&lt;=2005,"2001–2005",
IF(Table3[[#This Row],[Debut Year]]&lt;=2010,"2006–2010",
IF(Table3[[#This Row],[Debut Year]]&lt;=2015,"2011–2015",
IF(Table3[[#This Row],[Debut Year]]&lt;=2020,"2016–2020",
"2021–2025")))))</f>
        <v>2011–2015</v>
      </c>
      <c r="I77" s="12">
        <v>25818.400000000001</v>
      </c>
      <c r="J77" s="12">
        <v>15382.2</v>
      </c>
      <c r="K77" s="12">
        <v>10446.9</v>
      </c>
      <c r="L77" s="4">
        <v>10109.799999999999</v>
      </c>
      <c r="M77" s="6">
        <f>Table2[[#This Row],[% of Solo Streams]]/100</f>
        <v>0.3915734515</v>
      </c>
      <c r="N77" s="3">
        <v>15708.6</v>
      </c>
      <c r="O77" s="6">
        <f>Table2[[#This Row],[% of Collaborative Streams]]/100</f>
        <v>0.6084265485</v>
      </c>
      <c r="P77" s="4">
        <f>Table3[[#This Row],[Lead Streams (in millions)]]+Table3[[#This Row],[Feature Streams (in millions)]]</f>
        <v>25829.1</v>
      </c>
      <c r="Q77" s="4">
        <f>_xlfn.RANK.EQ(Table3[[#This Row],[Total Stream]],Table3[Total Stream],0)</f>
        <v>76</v>
      </c>
      <c r="R77" s="4">
        <f>Table3[[#This Row],[Total Streams (in millions)]]-Table3[[#This Row],[Total Stream]]</f>
        <v>-10.69999999999709</v>
      </c>
      <c r="S77" s="8">
        <f>IFERROR(Table3[[#This Row],[Collaborative Streams (in millions)]]/Table3[[#This Row],[Total Stream]],0)</f>
        <v>0.60817450085368829</v>
      </c>
      <c r="T77" t="str">
        <f>IF(Table3[[#This Row],[Total Streams (in millions)]]&gt;=50000,"High Performer",IF(Table3[[#This Row],[Total Streams (in millions)]]&gt;=20000,"Medium Performer","Low Performer"))</f>
        <v>Medium Performer</v>
      </c>
    </row>
    <row r="78" spans="1:20" x14ac:dyDescent="0.3">
      <c r="A78" s="9" t="s">
        <v>122</v>
      </c>
      <c r="B78" s="9" t="s">
        <v>20</v>
      </c>
      <c r="C78" s="9" t="s">
        <v>21</v>
      </c>
      <c r="D78" s="9" t="s">
        <v>16</v>
      </c>
      <c r="E78" s="9" t="s">
        <v>22</v>
      </c>
      <c r="F78" s="9" t="s">
        <v>18</v>
      </c>
      <c r="G78" s="10">
        <v>2014</v>
      </c>
      <c r="H78" s="10" t="str">
        <f>IF(Table3[[#This Row],[Debut Year]]&lt;=2000,"1999–2000",
IF(Table3[[#This Row],[Debut Year]]&lt;=2005,"2001–2005",
IF(Table3[[#This Row],[Debut Year]]&lt;=2010,"2006–2010",
IF(Table3[[#This Row],[Debut Year]]&lt;=2015,"2011–2015",
IF(Table3[[#This Row],[Debut Year]]&lt;=2020,"2016–2020",
"2021–2025")))))</f>
        <v>2011–2015</v>
      </c>
      <c r="I78" s="10">
        <v>25687.5</v>
      </c>
      <c r="J78" s="10">
        <v>13902.2</v>
      </c>
      <c r="K78" s="10">
        <v>11792.3</v>
      </c>
      <c r="L78" s="4">
        <v>12376.1</v>
      </c>
      <c r="M78" s="6">
        <f>Table2[[#This Row],[% of Solo Streams]]/100</f>
        <v>0.48179464719999998</v>
      </c>
      <c r="N78" s="3">
        <v>13311.4</v>
      </c>
      <c r="O78" s="6">
        <f>Table2[[#This Row],[% of Collaborative Streams]]/100</f>
        <v>0.51820535280000002</v>
      </c>
      <c r="P78" s="4">
        <f>Table3[[#This Row],[Lead Streams (in millions)]]+Table3[[#This Row],[Feature Streams (in millions)]]</f>
        <v>25694.5</v>
      </c>
      <c r="Q78" s="4">
        <f>_xlfn.RANK.EQ(Table3[[#This Row],[Total Stream]],Table3[Total Stream],0)</f>
        <v>77</v>
      </c>
      <c r="R78" s="4">
        <f>Table3[[#This Row],[Total Streams (in millions)]]-Table3[[#This Row],[Total Stream]]</f>
        <v>-7</v>
      </c>
      <c r="S78" s="8">
        <f>IFERROR(Table3[[#This Row],[Collaborative Streams (in millions)]]/Table3[[#This Row],[Total Stream]],0)</f>
        <v>0.51806417715853581</v>
      </c>
      <c r="T78" t="str">
        <f>IF(Table3[[#This Row],[Total Streams (in millions)]]&gt;=50000,"High Performer",IF(Table3[[#This Row],[Total Streams (in millions)]]&gt;=20000,"Medium Performer","Low Performer"))</f>
        <v>Medium Performer</v>
      </c>
    </row>
    <row r="79" spans="1:20" x14ac:dyDescent="0.3">
      <c r="A79" s="11" t="s">
        <v>123</v>
      </c>
      <c r="B79" s="11" t="s">
        <v>14</v>
      </c>
      <c r="C79" s="11" t="s">
        <v>21</v>
      </c>
      <c r="D79" s="11" t="s">
        <v>16</v>
      </c>
      <c r="E79" s="11" t="s">
        <v>17</v>
      </c>
      <c r="F79" s="11" t="s">
        <v>18</v>
      </c>
      <c r="G79" s="12">
        <v>2006</v>
      </c>
      <c r="H79" s="12" t="str">
        <f>IF(Table3[[#This Row],[Debut Year]]&lt;=2000,"1999–2000",
IF(Table3[[#This Row],[Debut Year]]&lt;=2005,"2001–2005",
IF(Table3[[#This Row],[Debut Year]]&lt;=2010,"2006–2010",
IF(Table3[[#This Row],[Debut Year]]&lt;=2015,"2011–2015",
IF(Table3[[#This Row],[Debut Year]]&lt;=2020,"2016–2020",
"2021–2025")))))</f>
        <v>2006–2010</v>
      </c>
      <c r="I79" s="12">
        <v>25289.9</v>
      </c>
      <c r="J79" s="12">
        <v>11748.9</v>
      </c>
      <c r="K79" s="12">
        <v>13549.3</v>
      </c>
      <c r="L79" s="4">
        <v>4844.5</v>
      </c>
      <c r="M79" s="6">
        <f>Table2[[#This Row],[% of Solo Streams]]/100</f>
        <v>0.19155868550000002</v>
      </c>
      <c r="N79" s="3">
        <v>20445.400000000001</v>
      </c>
      <c r="O79" s="6">
        <f>Table2[[#This Row],[% of Collaborative Streams]]/100</f>
        <v>0.80844131450000001</v>
      </c>
      <c r="P79" s="4">
        <f>Table3[[#This Row],[Lead Streams (in millions)]]+Table3[[#This Row],[Feature Streams (in millions)]]</f>
        <v>25298.199999999997</v>
      </c>
      <c r="Q79" s="4">
        <f>_xlfn.RANK.EQ(Table3[[#This Row],[Total Stream]],Table3[Total Stream],0)</f>
        <v>78</v>
      </c>
      <c r="R79" s="4">
        <f>Table3[[#This Row],[Total Streams (in millions)]]-Table3[[#This Row],[Total Stream]]</f>
        <v>-8.2999999999956344</v>
      </c>
      <c r="S79" s="8">
        <f>IFERROR(Table3[[#This Row],[Collaborative Streams (in millions)]]/Table3[[#This Row],[Total Stream]],0)</f>
        <v>0.80817607576823658</v>
      </c>
      <c r="T79" t="str">
        <f>IF(Table3[[#This Row],[Total Streams (in millions)]]&gt;=50000,"High Performer",IF(Table3[[#This Row],[Total Streams (in millions)]]&gt;=20000,"Medium Performer","Low Performer"))</f>
        <v>Medium Performer</v>
      </c>
    </row>
    <row r="80" spans="1:20" x14ac:dyDescent="0.3">
      <c r="A80" s="9" t="s">
        <v>124</v>
      </c>
      <c r="B80" s="9" t="s">
        <v>14</v>
      </c>
      <c r="C80" s="9" t="s">
        <v>21</v>
      </c>
      <c r="D80" s="9" t="s">
        <v>16</v>
      </c>
      <c r="E80" s="9" t="s">
        <v>22</v>
      </c>
      <c r="F80" s="9" t="s">
        <v>18</v>
      </c>
      <c r="G80" s="10">
        <v>1964</v>
      </c>
      <c r="H80" s="10" t="str">
        <f>IF(Table3[[#This Row],[Debut Year]]&lt;=2000,"1999–2000",
IF(Table3[[#This Row],[Debut Year]]&lt;=2005,"2001–2005",
IF(Table3[[#This Row],[Debut Year]]&lt;=2010,"2006–2010",
IF(Table3[[#This Row],[Debut Year]]&lt;=2015,"2011–2015",
IF(Table3[[#This Row],[Debut Year]]&lt;=2020,"2016–2020",
"2021–2025")))))</f>
        <v>1999–2000</v>
      </c>
      <c r="I80" s="10">
        <v>25264.400000000001</v>
      </c>
      <c r="J80" s="10">
        <v>24355.5</v>
      </c>
      <c r="K80" s="10">
        <v>908.9</v>
      </c>
      <c r="L80" s="4">
        <v>22915.3</v>
      </c>
      <c r="M80" s="6">
        <f>Table2[[#This Row],[% of Solo Streams]]/100</f>
        <v>0.90701936319999998</v>
      </c>
      <c r="N80" s="3">
        <v>2349.1</v>
      </c>
      <c r="O80" s="6">
        <f>Table2[[#This Row],[% of Collaborative Streams]]/100</f>
        <v>9.2980636790000001E-2</v>
      </c>
      <c r="P80" s="4">
        <f>Table3[[#This Row],[Lead Streams (in millions)]]+Table3[[#This Row],[Feature Streams (in millions)]]</f>
        <v>25264.400000000001</v>
      </c>
      <c r="Q80" s="4">
        <f>_xlfn.RANK.EQ(Table3[[#This Row],[Total Stream]],Table3[Total Stream],0)</f>
        <v>79</v>
      </c>
      <c r="R80" s="4">
        <f>Table3[[#This Row],[Total Streams (in millions)]]-Table3[[#This Row],[Total Stream]]</f>
        <v>0</v>
      </c>
      <c r="S80" s="8">
        <f>IFERROR(Table3[[#This Row],[Collaborative Streams (in millions)]]/Table3[[#This Row],[Total Stream]],0)</f>
        <v>9.2980636785358048E-2</v>
      </c>
      <c r="T80" t="str">
        <f>IF(Table3[[#This Row],[Total Streams (in millions)]]&gt;=50000,"High Performer",IF(Table3[[#This Row],[Total Streams (in millions)]]&gt;=20000,"Medium Performer","Low Performer"))</f>
        <v>Medium Performer</v>
      </c>
    </row>
    <row r="81" spans="1:20" x14ac:dyDescent="0.3">
      <c r="A81" s="11" t="s">
        <v>125</v>
      </c>
      <c r="B81" s="11" t="s">
        <v>20</v>
      </c>
      <c r="C81" s="11" t="s">
        <v>21</v>
      </c>
      <c r="D81" s="11" t="s">
        <v>16</v>
      </c>
      <c r="E81" s="11" t="s">
        <v>22</v>
      </c>
      <c r="F81" s="11" t="s">
        <v>18</v>
      </c>
      <c r="G81" s="12">
        <v>2014</v>
      </c>
      <c r="H81" s="12" t="str">
        <f>IF(Table3[[#This Row],[Debut Year]]&lt;=2000,"1999–2000",
IF(Table3[[#This Row],[Debut Year]]&lt;=2005,"2001–2005",
IF(Table3[[#This Row],[Debut Year]]&lt;=2010,"2006–2010",
IF(Table3[[#This Row],[Debut Year]]&lt;=2015,"2011–2015",
IF(Table3[[#This Row],[Debut Year]]&lt;=2020,"2016–2020",
"2021–2025")))))</f>
        <v>2011–2015</v>
      </c>
      <c r="I81" s="12">
        <v>24888.6</v>
      </c>
      <c r="J81" s="12">
        <v>22789.599999999999</v>
      </c>
      <c r="K81" s="12">
        <v>2114.3000000000002</v>
      </c>
      <c r="L81" s="4">
        <v>22549.4</v>
      </c>
      <c r="M81" s="6">
        <f>Table2[[#This Row],[% of Solo Streams]]/100</f>
        <v>0.90601319479999998</v>
      </c>
      <c r="N81" s="3">
        <v>2339.1999999999998</v>
      </c>
      <c r="O81" s="6">
        <f>Table2[[#This Row],[% of Collaborative Streams]]/100</f>
        <v>9.3986805199999995E-2</v>
      </c>
      <c r="P81" s="4">
        <f>Table3[[#This Row],[Lead Streams (in millions)]]+Table3[[#This Row],[Feature Streams (in millions)]]</f>
        <v>24903.899999999998</v>
      </c>
      <c r="Q81" s="4">
        <f>_xlfn.RANK.EQ(Table3[[#This Row],[Total Stream]],Table3[Total Stream],0)</f>
        <v>80</v>
      </c>
      <c r="R81" s="4">
        <f>Table3[[#This Row],[Total Streams (in millions)]]-Table3[[#This Row],[Total Stream]]</f>
        <v>-15.299999999999272</v>
      </c>
      <c r="S81" s="8">
        <f>IFERROR(Table3[[#This Row],[Collaborative Streams (in millions)]]/Table3[[#This Row],[Total Stream]],0)</f>
        <v>9.3929063319399778E-2</v>
      </c>
      <c r="T81" t="str">
        <f>IF(Table3[[#This Row],[Total Streams (in millions)]]&gt;=50000,"High Performer",IF(Table3[[#This Row],[Total Streams (in millions)]]&gt;=20000,"Medium Performer","Low Performer"))</f>
        <v>Medium Performer</v>
      </c>
    </row>
    <row r="82" spans="1:20" x14ac:dyDescent="0.3">
      <c r="A82" s="9" t="s">
        <v>126</v>
      </c>
      <c r="B82" s="9" t="s">
        <v>14</v>
      </c>
      <c r="C82" s="9" t="s">
        <v>21</v>
      </c>
      <c r="D82" s="9" t="s">
        <v>16</v>
      </c>
      <c r="E82" s="9" t="s">
        <v>27</v>
      </c>
      <c r="F82" s="9" t="s">
        <v>18</v>
      </c>
      <c r="G82" s="10">
        <v>2011</v>
      </c>
      <c r="H82" s="10" t="str">
        <f>IF(Table3[[#This Row],[Debut Year]]&lt;=2000,"1999–2000",
IF(Table3[[#This Row],[Debut Year]]&lt;=2005,"2001–2005",
IF(Table3[[#This Row],[Debut Year]]&lt;=2010,"2006–2010",
IF(Table3[[#This Row],[Debut Year]]&lt;=2015,"2011–2015",
IF(Table3[[#This Row],[Debut Year]]&lt;=2020,"2016–2020",
"2021–2025")))))</f>
        <v>2011–2015</v>
      </c>
      <c r="I82" s="10">
        <v>24807.4</v>
      </c>
      <c r="J82" s="10">
        <v>20425.400000000001</v>
      </c>
      <c r="K82" s="10">
        <v>4391.5</v>
      </c>
      <c r="L82" s="4">
        <v>18809.3</v>
      </c>
      <c r="M82" s="6">
        <f>Table2[[#This Row],[% of Solo Streams]]/100</f>
        <v>0.75821327510000003</v>
      </c>
      <c r="N82" s="3">
        <v>5998.1</v>
      </c>
      <c r="O82" s="6">
        <f>Table2[[#This Row],[% of Collaborative Streams]]/100</f>
        <v>0.2417867249</v>
      </c>
      <c r="P82" s="4">
        <f>Table3[[#This Row],[Lead Streams (in millions)]]+Table3[[#This Row],[Feature Streams (in millions)]]</f>
        <v>24816.9</v>
      </c>
      <c r="Q82" s="4">
        <f>_xlfn.RANK.EQ(Table3[[#This Row],[Total Stream]],Table3[Total Stream],0)</f>
        <v>81</v>
      </c>
      <c r="R82" s="4">
        <f>Table3[[#This Row],[Total Streams (in millions)]]-Table3[[#This Row],[Total Stream]]</f>
        <v>-9.5</v>
      </c>
      <c r="S82" s="8">
        <f>IFERROR(Table3[[#This Row],[Collaborative Streams (in millions)]]/Table3[[#This Row],[Total Stream]],0)</f>
        <v>0.2416941680870697</v>
      </c>
      <c r="T82" t="str">
        <f>IF(Table3[[#This Row],[Total Streams (in millions)]]&gt;=50000,"High Performer",IF(Table3[[#This Row],[Total Streams (in millions)]]&gt;=20000,"Medium Performer","Low Performer"))</f>
        <v>Medium Performer</v>
      </c>
    </row>
    <row r="83" spans="1:20" x14ac:dyDescent="0.3">
      <c r="A83" s="11" t="s">
        <v>127</v>
      </c>
      <c r="B83" s="11" t="s">
        <v>14</v>
      </c>
      <c r="C83" s="11" t="s">
        <v>128</v>
      </c>
      <c r="D83" s="11" t="s">
        <v>129</v>
      </c>
      <c r="E83" s="11" t="s">
        <v>130</v>
      </c>
      <c r="F83" s="11" t="s">
        <v>48</v>
      </c>
      <c r="G83" s="12">
        <v>1979</v>
      </c>
      <c r="H83" s="12" t="str">
        <f>IF(Table3[[#This Row],[Debut Year]]&lt;=2000,"1999–2000",
IF(Table3[[#This Row],[Debut Year]]&lt;=2005,"2001–2005",
IF(Table3[[#This Row],[Debut Year]]&lt;=2010,"2006–2010",
IF(Table3[[#This Row],[Debut Year]]&lt;=2015,"2011–2015",
IF(Table3[[#This Row],[Debut Year]]&lt;=2020,"2016–2020",
"2021–2025")))))</f>
        <v>1999–2000</v>
      </c>
      <c r="I83" s="12">
        <v>24607</v>
      </c>
      <c r="J83" s="12">
        <v>24525.4</v>
      </c>
      <c r="K83" s="12">
        <v>81.599999999999994</v>
      </c>
      <c r="L83" s="4">
        <v>24410.799999999999</v>
      </c>
      <c r="M83" s="6">
        <f>Table2[[#This Row],[% of Solo Streams]]/100</f>
        <v>0.99202665909999999</v>
      </c>
      <c r="N83" s="3">
        <v>196.2</v>
      </c>
      <c r="O83" s="6">
        <f>Table2[[#This Row],[% of Collaborative Streams]]/100</f>
        <v>7.973340919E-3</v>
      </c>
      <c r="P83" s="4">
        <f>Table3[[#This Row],[Lead Streams (in millions)]]+Table3[[#This Row],[Feature Streams (in millions)]]</f>
        <v>24607</v>
      </c>
      <c r="Q83" s="4">
        <f>_xlfn.RANK.EQ(Table3[[#This Row],[Total Stream]],Table3[Total Stream],0)</f>
        <v>82</v>
      </c>
      <c r="R83" s="4">
        <f>Table3[[#This Row],[Total Streams (in millions)]]-Table3[[#This Row],[Total Stream]]</f>
        <v>0</v>
      </c>
      <c r="S83" s="8">
        <f>IFERROR(Table3[[#This Row],[Collaborative Streams (in millions)]]/Table3[[#This Row],[Total Stream]],0)</f>
        <v>7.973340919250619E-3</v>
      </c>
      <c r="T83" t="str">
        <f>IF(Table3[[#This Row],[Total Streams (in millions)]]&gt;=50000,"High Performer",IF(Table3[[#This Row],[Total Streams (in millions)]]&gt;=20000,"Medium Performer","Low Performer"))</f>
        <v>Medium Performer</v>
      </c>
    </row>
    <row r="84" spans="1:20" x14ac:dyDescent="0.3">
      <c r="A84" s="9" t="s">
        <v>131</v>
      </c>
      <c r="B84" s="9" t="s">
        <v>14</v>
      </c>
      <c r="C84" s="9" t="s">
        <v>21</v>
      </c>
      <c r="D84" s="9" t="s">
        <v>16</v>
      </c>
      <c r="E84" s="9" t="s">
        <v>17</v>
      </c>
      <c r="F84" s="9" t="s">
        <v>18</v>
      </c>
      <c r="G84" s="10">
        <v>1996</v>
      </c>
      <c r="H84" s="10" t="str">
        <f>IF(Table3[[#This Row],[Debut Year]]&lt;=2000,"1999–2000",
IF(Table3[[#This Row],[Debut Year]]&lt;=2005,"2001–2005",
IF(Table3[[#This Row],[Debut Year]]&lt;=2010,"2006–2010",
IF(Table3[[#This Row],[Debut Year]]&lt;=2015,"2011–2015",
IF(Table3[[#This Row],[Debut Year]]&lt;=2020,"2016–2020",
"2021–2025")))))</f>
        <v>1999–2000</v>
      </c>
      <c r="I84" s="10">
        <v>24440.1</v>
      </c>
      <c r="J84" s="10">
        <v>13311.3</v>
      </c>
      <c r="K84" s="10">
        <v>11139.9</v>
      </c>
      <c r="L84" s="4">
        <v>2764.3</v>
      </c>
      <c r="M84" s="6">
        <f>Table2[[#This Row],[% of Solo Streams]]/100</f>
        <v>0.1131051019</v>
      </c>
      <c r="N84" s="3">
        <v>21675.8</v>
      </c>
      <c r="O84" s="6">
        <f>Table2[[#This Row],[% of Collaborative Streams]]/100</f>
        <v>0.8868948981</v>
      </c>
      <c r="P84" s="4">
        <f>Table3[[#This Row],[Lead Streams (in millions)]]+Table3[[#This Row],[Feature Streams (in millions)]]</f>
        <v>24451.199999999997</v>
      </c>
      <c r="Q84" s="4">
        <f>_xlfn.RANK.EQ(Table3[[#This Row],[Total Stream]],Table3[Total Stream],0)</f>
        <v>83</v>
      </c>
      <c r="R84" s="4">
        <f>Table3[[#This Row],[Total Streams (in millions)]]-Table3[[#This Row],[Total Stream]]</f>
        <v>-11.099999999998545</v>
      </c>
      <c r="S84" s="8">
        <f>IFERROR(Table3[[#This Row],[Collaborative Streams (in millions)]]/Table3[[#This Row],[Total Stream]],0)</f>
        <v>0.88649227849757894</v>
      </c>
      <c r="T84" t="str">
        <f>IF(Table3[[#This Row],[Total Streams (in millions)]]&gt;=50000,"High Performer",IF(Table3[[#This Row],[Total Streams (in millions)]]&gt;=20000,"Medium Performer","Low Performer"))</f>
        <v>Medium Performer</v>
      </c>
    </row>
    <row r="85" spans="1:20" x14ac:dyDescent="0.3">
      <c r="A85" s="11" t="s">
        <v>132</v>
      </c>
      <c r="B85" s="11" t="s">
        <v>14</v>
      </c>
      <c r="C85" s="11" t="s">
        <v>21</v>
      </c>
      <c r="D85" s="11" t="s">
        <v>16</v>
      </c>
      <c r="E85" s="11" t="s">
        <v>17</v>
      </c>
      <c r="F85" s="11" t="s">
        <v>18</v>
      </c>
      <c r="G85" s="12">
        <v>2011</v>
      </c>
      <c r="H85" s="12" t="str">
        <f>IF(Table3[[#This Row],[Debut Year]]&lt;=2000,"1999–2000",
IF(Table3[[#This Row],[Debut Year]]&lt;=2005,"2001–2005",
IF(Table3[[#This Row],[Debut Year]]&lt;=2010,"2006–2010",
IF(Table3[[#This Row],[Debut Year]]&lt;=2015,"2011–2015",
IF(Table3[[#This Row],[Debut Year]]&lt;=2020,"2016–2020",
"2021–2025")))))</f>
        <v>2011–2015</v>
      </c>
      <c r="I85" s="12">
        <v>24217.200000000001</v>
      </c>
      <c r="J85" s="12">
        <v>14721.3</v>
      </c>
      <c r="K85" s="12">
        <v>9504.2999999999993</v>
      </c>
      <c r="L85" s="4">
        <v>6253.7</v>
      </c>
      <c r="M85" s="6">
        <f>Table2[[#This Row],[% of Solo Streams]]/100</f>
        <v>0.2582338173</v>
      </c>
      <c r="N85" s="3">
        <v>17963.5</v>
      </c>
      <c r="O85" s="6">
        <f>Table2[[#This Row],[% of Collaborative Streams]]/100</f>
        <v>0.74176618270000005</v>
      </c>
      <c r="P85" s="4">
        <f>Table3[[#This Row],[Lead Streams (in millions)]]+Table3[[#This Row],[Feature Streams (in millions)]]</f>
        <v>24225.599999999999</v>
      </c>
      <c r="Q85" s="4">
        <f>_xlfn.RANK.EQ(Table3[[#This Row],[Total Stream]],Table3[Total Stream],0)</f>
        <v>84</v>
      </c>
      <c r="R85" s="4">
        <f>Table3[[#This Row],[Total Streams (in millions)]]-Table3[[#This Row],[Total Stream]]</f>
        <v>-8.3999999999978172</v>
      </c>
      <c r="S85" s="8">
        <f>IFERROR(Table3[[#This Row],[Collaborative Streams (in millions)]]/Table3[[#This Row],[Total Stream]],0)</f>
        <v>0.74150898223367023</v>
      </c>
      <c r="T85" t="str">
        <f>IF(Table3[[#This Row],[Total Streams (in millions)]]&gt;=50000,"High Performer",IF(Table3[[#This Row],[Total Streams (in millions)]]&gt;=20000,"Medium Performer","Low Performer"))</f>
        <v>Medium Performer</v>
      </c>
    </row>
    <row r="86" spans="1:20" x14ac:dyDescent="0.3">
      <c r="A86" s="9" t="s">
        <v>133</v>
      </c>
      <c r="B86" s="9" t="s">
        <v>20</v>
      </c>
      <c r="C86" s="9" t="s">
        <v>21</v>
      </c>
      <c r="D86" s="9" t="s">
        <v>16</v>
      </c>
      <c r="E86" s="9" t="s">
        <v>22</v>
      </c>
      <c r="F86" s="9" t="s">
        <v>18</v>
      </c>
      <c r="G86" s="10">
        <v>2006</v>
      </c>
      <c r="H86" s="10" t="str">
        <f>IF(Table3[[#This Row],[Debut Year]]&lt;=2000,"1999–2000",
IF(Table3[[#This Row],[Debut Year]]&lt;=2005,"2001–2005",
IF(Table3[[#This Row],[Debut Year]]&lt;=2010,"2006–2010",
IF(Table3[[#This Row],[Debut Year]]&lt;=2015,"2011–2015",
IF(Table3[[#This Row],[Debut Year]]&lt;=2020,"2016–2020",
"2021–2025")))))</f>
        <v>2006–2010</v>
      </c>
      <c r="I86" s="10">
        <v>23907.599999999999</v>
      </c>
      <c r="J86" s="10">
        <v>20739</v>
      </c>
      <c r="K86" s="10">
        <v>3175.7</v>
      </c>
      <c r="L86" s="4">
        <v>18453.900000000001</v>
      </c>
      <c r="M86" s="6">
        <f>Table2[[#This Row],[% of Solo Streams]]/100</f>
        <v>0.77188425440000008</v>
      </c>
      <c r="N86" s="3">
        <v>5453.7</v>
      </c>
      <c r="O86" s="6">
        <f>Table2[[#This Row],[% of Collaborative Streams]]/100</f>
        <v>0.2281157456</v>
      </c>
      <c r="P86" s="4">
        <f>Table3[[#This Row],[Lead Streams (in millions)]]+Table3[[#This Row],[Feature Streams (in millions)]]</f>
        <v>23914.7</v>
      </c>
      <c r="Q86" s="4">
        <f>_xlfn.RANK.EQ(Table3[[#This Row],[Total Stream]],Table3[Total Stream],0)</f>
        <v>85</v>
      </c>
      <c r="R86" s="4">
        <f>Table3[[#This Row],[Total Streams (in millions)]]-Table3[[#This Row],[Total Stream]]</f>
        <v>-7.1000000000021828</v>
      </c>
      <c r="S86" s="8">
        <f>IFERROR(Table3[[#This Row],[Collaborative Streams (in millions)]]/Table3[[#This Row],[Total Stream]],0)</f>
        <v>0.22804802067347696</v>
      </c>
      <c r="T86" t="str">
        <f>IF(Table3[[#This Row],[Total Streams (in millions)]]&gt;=50000,"High Performer",IF(Table3[[#This Row],[Total Streams (in millions)]]&gt;=20000,"Medium Performer","Low Performer"))</f>
        <v>Medium Performer</v>
      </c>
    </row>
    <row r="87" spans="1:20" x14ac:dyDescent="0.3">
      <c r="A87" s="11" t="s">
        <v>134</v>
      </c>
      <c r="B87" s="11" t="s">
        <v>14</v>
      </c>
      <c r="C87" s="11" t="s">
        <v>21</v>
      </c>
      <c r="D87" s="11" t="s">
        <v>16</v>
      </c>
      <c r="E87" s="11" t="s">
        <v>60</v>
      </c>
      <c r="F87" s="11" t="s">
        <v>48</v>
      </c>
      <c r="G87" s="12">
        <v>2012</v>
      </c>
      <c r="H87" s="12" t="str">
        <f>IF(Table3[[#This Row],[Debut Year]]&lt;=2000,"1999–2000",
IF(Table3[[#This Row],[Debut Year]]&lt;=2005,"2001–2005",
IF(Table3[[#This Row],[Debut Year]]&lt;=2010,"2006–2010",
IF(Table3[[#This Row],[Debut Year]]&lt;=2015,"2011–2015",
IF(Table3[[#This Row],[Debut Year]]&lt;=2020,"2016–2020",
"2021–2025")))))</f>
        <v>2011–2015</v>
      </c>
      <c r="I87" s="12">
        <v>23845.1</v>
      </c>
      <c r="J87" s="12">
        <v>22661.5</v>
      </c>
      <c r="K87" s="12">
        <v>1189.8</v>
      </c>
      <c r="L87" s="4">
        <v>3830.9</v>
      </c>
      <c r="M87" s="6">
        <f>Table2[[#This Row],[% of Solo Streams]]/100</f>
        <v>0.16065774520000001</v>
      </c>
      <c r="N87" s="3">
        <v>20014.2</v>
      </c>
      <c r="O87" s="6">
        <f>Table2[[#This Row],[% of Collaborative Streams]]/100</f>
        <v>0.83934225479999991</v>
      </c>
      <c r="P87" s="4">
        <f>Table3[[#This Row],[Lead Streams (in millions)]]+Table3[[#This Row],[Feature Streams (in millions)]]</f>
        <v>23851.3</v>
      </c>
      <c r="Q87" s="4">
        <f>_xlfn.RANK.EQ(Table3[[#This Row],[Total Stream]],Table3[Total Stream],0)</f>
        <v>86</v>
      </c>
      <c r="R87" s="4">
        <f>Table3[[#This Row],[Total Streams (in millions)]]-Table3[[#This Row],[Total Stream]]</f>
        <v>-6.2000000000007276</v>
      </c>
      <c r="S87" s="8">
        <f>IFERROR(Table3[[#This Row],[Collaborative Streams (in millions)]]/Table3[[#This Row],[Total Stream]],0)</f>
        <v>0.83912407290168678</v>
      </c>
      <c r="T87" t="str">
        <f>IF(Table3[[#This Row],[Total Streams (in millions)]]&gt;=50000,"High Performer",IF(Table3[[#This Row],[Total Streams (in millions)]]&gt;=20000,"Medium Performer","Low Performer"))</f>
        <v>Medium Performer</v>
      </c>
    </row>
    <row r="88" spans="1:20" x14ac:dyDescent="0.3">
      <c r="A88" s="9" t="s">
        <v>135</v>
      </c>
      <c r="B88" s="9" t="s">
        <v>14</v>
      </c>
      <c r="C88" s="9" t="s">
        <v>21</v>
      </c>
      <c r="D88" s="9" t="s">
        <v>16</v>
      </c>
      <c r="E88" s="9" t="s">
        <v>60</v>
      </c>
      <c r="F88" s="9" t="s">
        <v>18</v>
      </c>
      <c r="G88" s="10">
        <v>2015</v>
      </c>
      <c r="H88" s="10" t="str">
        <f>IF(Table3[[#This Row],[Debut Year]]&lt;=2000,"1999–2000",
IF(Table3[[#This Row],[Debut Year]]&lt;=2005,"2001–2005",
IF(Table3[[#This Row],[Debut Year]]&lt;=2010,"2006–2010",
IF(Table3[[#This Row],[Debut Year]]&lt;=2015,"2011–2015",
IF(Table3[[#This Row],[Debut Year]]&lt;=2020,"2016–2020",
"2021–2025")))))</f>
        <v>2011–2015</v>
      </c>
      <c r="I88" s="10">
        <v>23705.9</v>
      </c>
      <c r="J88" s="10">
        <v>17589.400000000001</v>
      </c>
      <c r="K88" s="10">
        <v>6122.5</v>
      </c>
      <c r="L88" s="4">
        <v>1704.1</v>
      </c>
      <c r="M88" s="6">
        <f>Table2[[#This Row],[% of Solo Streams]]/100</f>
        <v>7.188505815E-2</v>
      </c>
      <c r="N88" s="3">
        <v>22001.8</v>
      </c>
      <c r="O88" s="6">
        <f>Table2[[#This Row],[% of Collaborative Streams]]/100</f>
        <v>0.92811494179999998</v>
      </c>
      <c r="P88" s="4">
        <f>Table3[[#This Row],[Lead Streams (in millions)]]+Table3[[#This Row],[Feature Streams (in millions)]]</f>
        <v>23711.9</v>
      </c>
      <c r="Q88" s="4">
        <f>_xlfn.RANK.EQ(Table3[[#This Row],[Total Stream]],Table3[Total Stream],0)</f>
        <v>87</v>
      </c>
      <c r="R88" s="4">
        <f>Table3[[#This Row],[Total Streams (in millions)]]-Table3[[#This Row],[Total Stream]]</f>
        <v>-6</v>
      </c>
      <c r="S88" s="8">
        <f>IFERROR(Table3[[#This Row],[Collaborative Streams (in millions)]]/Table3[[#This Row],[Total Stream]],0)</f>
        <v>0.92788009396125992</v>
      </c>
      <c r="T88" t="str">
        <f>IF(Table3[[#This Row],[Total Streams (in millions)]]&gt;=50000,"High Performer",IF(Table3[[#This Row],[Total Streams (in millions)]]&gt;=20000,"Medium Performer","Low Performer"))</f>
        <v>Medium Performer</v>
      </c>
    </row>
    <row r="89" spans="1:20" x14ac:dyDescent="0.3">
      <c r="A89" s="11" t="s">
        <v>136</v>
      </c>
      <c r="B89" s="11" t="s">
        <v>20</v>
      </c>
      <c r="C89" s="11" t="s">
        <v>21</v>
      </c>
      <c r="D89" s="11" t="s">
        <v>16</v>
      </c>
      <c r="E89" s="11" t="s">
        <v>17</v>
      </c>
      <c r="F89" s="11" t="s">
        <v>18</v>
      </c>
      <c r="G89" s="12">
        <v>2015</v>
      </c>
      <c r="H89" s="12" t="str">
        <f>IF(Table3[[#This Row],[Debut Year]]&lt;=2000,"1999–2000",
IF(Table3[[#This Row],[Debut Year]]&lt;=2005,"2001–2005",
IF(Table3[[#This Row],[Debut Year]]&lt;=2010,"2006–2010",
IF(Table3[[#This Row],[Debut Year]]&lt;=2015,"2011–2015",
IF(Table3[[#This Row],[Debut Year]]&lt;=2020,"2016–2020",
"2021–2025")))))</f>
        <v>2011–2015</v>
      </c>
      <c r="I89" s="12">
        <v>22494.9</v>
      </c>
      <c r="J89" s="12">
        <v>10833.6</v>
      </c>
      <c r="K89" s="12">
        <v>11666.6</v>
      </c>
      <c r="L89" s="4">
        <v>4407.8</v>
      </c>
      <c r="M89" s="6">
        <f>Table2[[#This Row],[% of Solo Streams]]/100</f>
        <v>0.19594663679999999</v>
      </c>
      <c r="N89" s="3">
        <v>18087.099999999999</v>
      </c>
      <c r="O89" s="6">
        <f>Table2[[#This Row],[% of Collaborative Streams]]/100</f>
        <v>0.80405336319999998</v>
      </c>
      <c r="P89" s="4">
        <f>Table3[[#This Row],[Lead Streams (in millions)]]+Table3[[#This Row],[Feature Streams (in millions)]]</f>
        <v>22500.2</v>
      </c>
      <c r="Q89" s="4">
        <f>_xlfn.RANK.EQ(Table3[[#This Row],[Total Stream]],Table3[Total Stream],0)</f>
        <v>88</v>
      </c>
      <c r="R89" s="4">
        <f>Table3[[#This Row],[Total Streams (in millions)]]-Table3[[#This Row],[Total Stream]]</f>
        <v>-5.2999999999992724</v>
      </c>
      <c r="S89" s="8">
        <f>IFERROR(Table3[[#This Row],[Collaborative Streams (in millions)]]/Table3[[#This Row],[Total Stream]],0)</f>
        <v>0.80386396565363849</v>
      </c>
      <c r="T89" t="str">
        <f>IF(Table3[[#This Row],[Total Streams (in millions)]]&gt;=50000,"High Performer",IF(Table3[[#This Row],[Total Streams (in millions)]]&gt;=20000,"Medium Performer","Low Performer"))</f>
        <v>Medium Performer</v>
      </c>
    </row>
    <row r="90" spans="1:20" x14ac:dyDescent="0.3">
      <c r="A90" s="9" t="s">
        <v>137</v>
      </c>
      <c r="B90" s="9" t="s">
        <v>14</v>
      </c>
      <c r="C90" s="9" t="s">
        <v>21</v>
      </c>
      <c r="D90" s="9" t="s">
        <v>16</v>
      </c>
      <c r="E90" s="9" t="s">
        <v>57</v>
      </c>
      <c r="F90" s="9" t="s">
        <v>48</v>
      </c>
      <c r="G90" s="10">
        <v>2009</v>
      </c>
      <c r="H90" s="10" t="str">
        <f>IF(Table3[[#This Row],[Debut Year]]&lt;=2000,"1999–2000",
IF(Table3[[#This Row],[Debut Year]]&lt;=2005,"2001–2005",
IF(Table3[[#This Row],[Debut Year]]&lt;=2010,"2006–2010",
IF(Table3[[#This Row],[Debut Year]]&lt;=2015,"2011–2015",
IF(Table3[[#This Row],[Debut Year]]&lt;=2020,"2016–2020",
"2021–2025")))))</f>
        <v>2006–2010</v>
      </c>
      <c r="I90" s="10">
        <v>22475.8</v>
      </c>
      <c r="J90" s="10">
        <v>22215.200000000001</v>
      </c>
      <c r="K90" s="10">
        <v>269.10000000000002</v>
      </c>
      <c r="L90" s="4">
        <v>22142.6</v>
      </c>
      <c r="M90" s="6">
        <f>Table2[[#This Row],[% of Solo Streams]]/100</f>
        <v>0.9851751661999999</v>
      </c>
      <c r="N90" s="3">
        <v>333.2</v>
      </c>
      <c r="O90" s="6">
        <f>Table2[[#This Row],[% of Collaborative Streams]]/100</f>
        <v>1.4824833820000001E-2</v>
      </c>
      <c r="P90" s="4">
        <f>Table3[[#This Row],[Lead Streams (in millions)]]+Table3[[#This Row],[Feature Streams (in millions)]]</f>
        <v>22484.3</v>
      </c>
      <c r="Q90" s="4">
        <f>_xlfn.RANK.EQ(Table3[[#This Row],[Total Stream]],Table3[Total Stream],0)</f>
        <v>89</v>
      </c>
      <c r="R90" s="4">
        <f>Table3[[#This Row],[Total Streams (in millions)]]-Table3[[#This Row],[Total Stream]]</f>
        <v>-8.5</v>
      </c>
      <c r="S90" s="8">
        <f>IFERROR(Table3[[#This Row],[Collaborative Streams (in millions)]]/Table3[[#This Row],[Total Stream]],0)</f>
        <v>1.4819229417860463E-2</v>
      </c>
      <c r="T90" t="str">
        <f>IF(Table3[[#This Row],[Total Streams (in millions)]]&gt;=50000,"High Performer",IF(Table3[[#This Row],[Total Streams (in millions)]]&gt;=20000,"Medium Performer","Low Performer"))</f>
        <v>Medium Performer</v>
      </c>
    </row>
    <row r="91" spans="1:20" x14ac:dyDescent="0.3">
      <c r="A91" s="11" t="s">
        <v>138</v>
      </c>
      <c r="B91" s="11" t="s">
        <v>78</v>
      </c>
      <c r="C91" s="11" t="s">
        <v>21</v>
      </c>
      <c r="D91" s="11" t="s">
        <v>16</v>
      </c>
      <c r="E91" s="11" t="s">
        <v>139</v>
      </c>
      <c r="F91" s="11" t="s">
        <v>48</v>
      </c>
      <c r="G91" s="12">
        <v>1949</v>
      </c>
      <c r="H91" s="12" t="str">
        <f>IF(Table3[[#This Row],[Debut Year]]&lt;=2000,"1999–2000",
IF(Table3[[#This Row],[Debut Year]]&lt;=2005,"2001–2005",
IF(Table3[[#This Row],[Debut Year]]&lt;=2010,"2006–2010",
IF(Table3[[#This Row],[Debut Year]]&lt;=2015,"2011–2015",
IF(Table3[[#This Row],[Debut Year]]&lt;=2020,"2016–2020",
"2021–2025")))))</f>
        <v>1999–2000</v>
      </c>
      <c r="I91" s="12">
        <v>22236.1</v>
      </c>
      <c r="J91" s="12">
        <v>287.8</v>
      </c>
      <c r="K91" s="12">
        <v>21966.6</v>
      </c>
      <c r="L91" s="4">
        <v>0</v>
      </c>
      <c r="M91" s="6">
        <f>Table2[[#This Row],[% of Solo Streams]]/100</f>
        <v>0</v>
      </c>
      <c r="N91" s="3">
        <v>22236.1</v>
      </c>
      <c r="O91" s="6">
        <f>Table2[[#This Row],[% of Collaborative Streams]]/100</f>
        <v>1</v>
      </c>
      <c r="P91" s="4">
        <f>Table3[[#This Row],[Lead Streams (in millions)]]+Table3[[#This Row],[Feature Streams (in millions)]]</f>
        <v>22254.399999999998</v>
      </c>
      <c r="Q91" s="4">
        <f>_xlfn.RANK.EQ(Table3[[#This Row],[Total Stream]],Table3[Total Stream],0)</f>
        <v>90</v>
      </c>
      <c r="R91" s="4">
        <f>Table3[[#This Row],[Total Streams (in millions)]]-Table3[[#This Row],[Total Stream]]</f>
        <v>-18.299999999999272</v>
      </c>
      <c r="S91" s="8">
        <f>IFERROR(Table3[[#This Row],[Collaborative Streams (in millions)]]/Table3[[#This Row],[Total Stream]],0)</f>
        <v>0.99917769070386087</v>
      </c>
      <c r="T91" t="str">
        <f>IF(Table3[[#This Row],[Total Streams (in millions)]]&gt;=50000,"High Performer",IF(Table3[[#This Row],[Total Streams (in millions)]]&gt;=20000,"Medium Performer","Low Performer"))</f>
        <v>Medium Performer</v>
      </c>
    </row>
    <row r="92" spans="1:20" x14ac:dyDescent="0.3">
      <c r="A92" s="9" t="s">
        <v>140</v>
      </c>
      <c r="B92" s="9" t="s">
        <v>14</v>
      </c>
      <c r="C92" s="9" t="s">
        <v>21</v>
      </c>
      <c r="D92" s="9" t="s">
        <v>24</v>
      </c>
      <c r="E92" s="9" t="s">
        <v>25</v>
      </c>
      <c r="F92" s="9" t="s">
        <v>18</v>
      </c>
      <c r="G92" s="10">
        <v>2004</v>
      </c>
      <c r="H92" s="10" t="str">
        <f>IF(Table3[[#This Row],[Debut Year]]&lt;=2000,"1999–2000",
IF(Table3[[#This Row],[Debut Year]]&lt;=2005,"2001–2005",
IF(Table3[[#This Row],[Debut Year]]&lt;=2010,"2006–2010",
IF(Table3[[#This Row],[Debut Year]]&lt;=2015,"2011–2015",
IF(Table3[[#This Row],[Debut Year]]&lt;=2020,"2016–2020",
"2021–2025")))))</f>
        <v>2001–2005</v>
      </c>
      <c r="I92" s="10">
        <v>21937.3</v>
      </c>
      <c r="J92" s="10">
        <v>8927.4</v>
      </c>
      <c r="K92" s="10">
        <v>13023.3</v>
      </c>
      <c r="L92" s="4">
        <v>3007</v>
      </c>
      <c r="M92" s="6">
        <f>Table2[[#This Row],[% of Solo Streams]]/100</f>
        <v>0.1370724747</v>
      </c>
      <c r="N92" s="3">
        <v>18930.3</v>
      </c>
      <c r="O92" s="6">
        <f>Table2[[#This Row],[% of Collaborative Streams]]/100</f>
        <v>0.86292752530000005</v>
      </c>
      <c r="P92" s="4">
        <f>Table3[[#This Row],[Lead Streams (in millions)]]+Table3[[#This Row],[Feature Streams (in millions)]]</f>
        <v>21950.699999999997</v>
      </c>
      <c r="Q92" s="4">
        <f>_xlfn.RANK.EQ(Table3[[#This Row],[Total Stream]],Table3[Total Stream],0)</f>
        <v>91</v>
      </c>
      <c r="R92" s="4">
        <f>Table3[[#This Row],[Total Streams (in millions)]]-Table3[[#This Row],[Total Stream]]</f>
        <v>-13.399999999997817</v>
      </c>
      <c r="S92" s="8">
        <f>IFERROR(Table3[[#This Row],[Collaborative Streams (in millions)]]/Table3[[#This Row],[Total Stream]],0)</f>
        <v>0.86240074348426254</v>
      </c>
      <c r="T92" t="str">
        <f>IF(Table3[[#This Row],[Total Streams (in millions)]]&gt;=50000,"High Performer",IF(Table3[[#This Row],[Total Streams (in millions)]]&gt;=20000,"Medium Performer","Low Performer"))</f>
        <v>Medium Performer</v>
      </c>
    </row>
    <row r="93" spans="1:20" x14ac:dyDescent="0.3">
      <c r="A93" s="11" t="s">
        <v>141</v>
      </c>
      <c r="B93" s="11" t="s">
        <v>78</v>
      </c>
      <c r="C93" s="11" t="s">
        <v>21</v>
      </c>
      <c r="D93" s="11" t="s">
        <v>16</v>
      </c>
      <c r="E93" s="11" t="s">
        <v>51</v>
      </c>
      <c r="F93" s="11" t="s">
        <v>48</v>
      </c>
      <c r="G93" s="12">
        <v>1984</v>
      </c>
      <c r="H93" s="12" t="str">
        <f>IF(Table3[[#This Row],[Debut Year]]&lt;=2000,"1999–2000",
IF(Table3[[#This Row],[Debut Year]]&lt;=2005,"2001–2005",
IF(Table3[[#This Row],[Debut Year]]&lt;=2010,"2006–2010",
IF(Table3[[#This Row],[Debut Year]]&lt;=2015,"2011–2015",
IF(Table3[[#This Row],[Debut Year]]&lt;=2020,"2016–2020",
"2021–2025")))))</f>
        <v>1999–2000</v>
      </c>
      <c r="I93" s="12">
        <v>21873.8</v>
      </c>
      <c r="J93" s="12">
        <v>21884.2</v>
      </c>
      <c r="K93" s="12">
        <v>0</v>
      </c>
      <c r="L93" s="4">
        <v>21872.400000000001</v>
      </c>
      <c r="M93" s="6">
        <f>Table2[[#This Row],[% of Solo Streams]]/100</f>
        <v>0.99993599649999998</v>
      </c>
      <c r="N93" s="3">
        <v>1.4</v>
      </c>
      <c r="O93" s="6">
        <f>Table2[[#This Row],[% of Collaborative Streams]]/100</f>
        <v>6.4003511049999997E-5</v>
      </c>
      <c r="P93" s="4">
        <f>Table3[[#This Row],[Lead Streams (in millions)]]+Table3[[#This Row],[Feature Streams (in millions)]]</f>
        <v>21884.2</v>
      </c>
      <c r="Q93" s="4">
        <f>_xlfn.RANK.EQ(Table3[[#This Row],[Total Stream]],Table3[Total Stream],0)</f>
        <v>92</v>
      </c>
      <c r="R93" s="4">
        <f>Table3[[#This Row],[Total Streams (in millions)]]-Table3[[#This Row],[Total Stream]]</f>
        <v>-10.400000000001455</v>
      </c>
      <c r="S93" s="8">
        <f>IFERROR(Table3[[#This Row],[Collaborative Streams (in millions)]]/Table3[[#This Row],[Total Stream]],0)</f>
        <v>6.3973094744153311E-5</v>
      </c>
      <c r="T93" t="str">
        <f>IF(Table3[[#This Row],[Total Streams (in millions)]]&gt;=50000,"High Performer",IF(Table3[[#This Row],[Total Streams (in millions)]]&gt;=20000,"Medium Performer","Low Performer"))</f>
        <v>Medium Performer</v>
      </c>
    </row>
    <row r="94" spans="1:20" x14ac:dyDescent="0.3">
      <c r="A94" s="9" t="s">
        <v>142</v>
      </c>
      <c r="B94" s="9" t="s">
        <v>20</v>
      </c>
      <c r="C94" s="9" t="s">
        <v>143</v>
      </c>
      <c r="D94" s="9" t="s">
        <v>16</v>
      </c>
      <c r="E94" s="9" t="s">
        <v>22</v>
      </c>
      <c r="F94" s="9" t="s">
        <v>18</v>
      </c>
      <c r="G94" s="10">
        <v>2012</v>
      </c>
      <c r="H94" s="10" t="str">
        <f>IF(Table3[[#This Row],[Debut Year]]&lt;=2000,"1999–2000",
IF(Table3[[#This Row],[Debut Year]]&lt;=2005,"2001–2005",
IF(Table3[[#This Row],[Debut Year]]&lt;=2010,"2006–2010",
IF(Table3[[#This Row],[Debut Year]]&lt;=2015,"2011–2015",
IF(Table3[[#This Row],[Debut Year]]&lt;=2020,"2016–2020",
"2021–2025")))))</f>
        <v>2011–2015</v>
      </c>
      <c r="I94" s="10">
        <v>21546.2</v>
      </c>
      <c r="J94" s="10">
        <v>12365.6</v>
      </c>
      <c r="K94" s="10">
        <v>9186</v>
      </c>
      <c r="L94" s="4">
        <v>6409.3</v>
      </c>
      <c r="M94" s="6">
        <f>Table2[[#This Row],[% of Solo Streams]]/100</f>
        <v>0.29746776689999999</v>
      </c>
      <c r="N94" s="3">
        <v>15136.9</v>
      </c>
      <c r="O94" s="6">
        <f>Table2[[#This Row],[% of Collaborative Streams]]/100</f>
        <v>0.7025322330999999</v>
      </c>
      <c r="P94" s="4">
        <f>Table3[[#This Row],[Lead Streams (in millions)]]+Table3[[#This Row],[Feature Streams (in millions)]]</f>
        <v>21551.599999999999</v>
      </c>
      <c r="Q94" s="4">
        <f>_xlfn.RANK.EQ(Table3[[#This Row],[Total Stream]],Table3[Total Stream],0)</f>
        <v>93</v>
      </c>
      <c r="R94" s="4">
        <f>Table3[[#This Row],[Total Streams (in millions)]]-Table3[[#This Row],[Total Stream]]</f>
        <v>-5.3999999999978172</v>
      </c>
      <c r="S94" s="8">
        <f>IFERROR(Table3[[#This Row],[Collaborative Streams (in millions)]]/Table3[[#This Row],[Total Stream]],0)</f>
        <v>0.70235620557174416</v>
      </c>
      <c r="T94" t="str">
        <f>IF(Table3[[#This Row],[Total Streams (in millions)]]&gt;=50000,"High Performer",IF(Table3[[#This Row],[Total Streams (in millions)]]&gt;=20000,"Medium Performer","Low Performer"))</f>
        <v>Medium Performer</v>
      </c>
    </row>
    <row r="95" spans="1:20" x14ac:dyDescent="0.3">
      <c r="A95" s="11" t="s">
        <v>144</v>
      </c>
      <c r="B95" s="11" t="s">
        <v>14</v>
      </c>
      <c r="C95" s="11" t="s">
        <v>21</v>
      </c>
      <c r="D95" s="11" t="s">
        <v>16</v>
      </c>
      <c r="E95" s="11" t="s">
        <v>17</v>
      </c>
      <c r="F95" s="11" t="s">
        <v>48</v>
      </c>
      <c r="G95" s="12">
        <v>2014</v>
      </c>
      <c r="H95" s="12" t="str">
        <f>IF(Table3[[#This Row],[Debut Year]]&lt;=2000,"1999–2000",
IF(Table3[[#This Row],[Debut Year]]&lt;=2005,"2001–2005",
IF(Table3[[#This Row],[Debut Year]]&lt;=2010,"2006–2010",
IF(Table3[[#This Row],[Debut Year]]&lt;=2015,"2011–2015",
IF(Table3[[#This Row],[Debut Year]]&lt;=2020,"2016–2020",
"2021–2025")))))</f>
        <v>2011–2015</v>
      </c>
      <c r="I95" s="12">
        <v>21202.3</v>
      </c>
      <c r="J95" s="12">
        <v>20357.3</v>
      </c>
      <c r="K95" s="12">
        <v>851.6</v>
      </c>
      <c r="L95" s="4">
        <v>16646.900000000001</v>
      </c>
      <c r="M95" s="6">
        <f>Table2[[#This Row],[% of Solo Streams]]/100</f>
        <v>0.78514595110000007</v>
      </c>
      <c r="N95" s="3">
        <v>4555.3999999999996</v>
      </c>
      <c r="O95" s="6">
        <f>Table2[[#This Row],[% of Collaborative Streams]]/100</f>
        <v>0.21485404890000001</v>
      </c>
      <c r="P95" s="4">
        <f>Table3[[#This Row],[Lead Streams (in millions)]]+Table3[[#This Row],[Feature Streams (in millions)]]</f>
        <v>21208.899999999998</v>
      </c>
      <c r="Q95" s="4">
        <f>_xlfn.RANK.EQ(Table3[[#This Row],[Total Stream]],Table3[Total Stream],0)</f>
        <v>94</v>
      </c>
      <c r="R95" s="4">
        <f>Table3[[#This Row],[Total Streams (in millions)]]-Table3[[#This Row],[Total Stream]]</f>
        <v>-6.5999999999985448</v>
      </c>
      <c r="S95" s="8">
        <f>IFERROR(Table3[[#This Row],[Collaborative Streams (in millions)]]/Table3[[#This Row],[Total Stream]],0)</f>
        <v>0.21478718839732377</v>
      </c>
      <c r="T95" t="str">
        <f>IF(Table3[[#This Row],[Total Streams (in millions)]]&gt;=50000,"High Performer",IF(Table3[[#This Row],[Total Streams (in millions)]]&gt;=20000,"Medium Performer","Low Performer"))</f>
        <v>Medium Performer</v>
      </c>
    </row>
    <row r="96" spans="1:20" x14ac:dyDescent="0.3">
      <c r="A96" s="9" t="s">
        <v>145</v>
      </c>
      <c r="B96" s="9" t="s">
        <v>78</v>
      </c>
      <c r="C96" s="9" t="s">
        <v>21</v>
      </c>
      <c r="D96" s="9" t="s">
        <v>16</v>
      </c>
      <c r="E96" s="9" t="s">
        <v>22</v>
      </c>
      <c r="F96" s="9" t="s">
        <v>48</v>
      </c>
      <c r="G96" s="10">
        <v>2007</v>
      </c>
      <c r="H96" s="10" t="str">
        <f>IF(Table3[[#This Row],[Debut Year]]&lt;=2000,"1999–2000",
IF(Table3[[#This Row],[Debut Year]]&lt;=2005,"2001–2005",
IF(Table3[[#This Row],[Debut Year]]&lt;=2010,"2006–2010",
IF(Table3[[#This Row],[Debut Year]]&lt;=2015,"2011–2015",
IF(Table3[[#This Row],[Debut Year]]&lt;=2020,"2016–2020",
"2021–2025")))))</f>
        <v>2006–2010</v>
      </c>
      <c r="I96" s="10">
        <v>21182.2</v>
      </c>
      <c r="J96" s="10">
        <v>19519.400000000001</v>
      </c>
      <c r="K96" s="10">
        <v>1669.7</v>
      </c>
      <c r="L96" s="4">
        <v>17506.599999999999</v>
      </c>
      <c r="M96" s="6">
        <f>Table2[[#This Row],[% of Solo Streams]]/100</f>
        <v>0.8264769475999999</v>
      </c>
      <c r="N96" s="3">
        <v>3675.6</v>
      </c>
      <c r="O96" s="6">
        <f>Table2[[#This Row],[% of Collaborative Streams]]/100</f>
        <v>0.17352305239999999</v>
      </c>
      <c r="P96" s="4">
        <f>Table3[[#This Row],[Lead Streams (in millions)]]+Table3[[#This Row],[Feature Streams (in millions)]]</f>
        <v>21189.100000000002</v>
      </c>
      <c r="Q96" s="4">
        <f>_xlfn.RANK.EQ(Table3[[#This Row],[Total Stream]],Table3[Total Stream],0)</f>
        <v>95</v>
      </c>
      <c r="R96" s="4">
        <f>Table3[[#This Row],[Total Streams (in millions)]]-Table3[[#This Row],[Total Stream]]</f>
        <v>-6.9000000000014552</v>
      </c>
      <c r="S96" s="8">
        <f>IFERROR(Table3[[#This Row],[Collaborative Streams (in millions)]]/Table3[[#This Row],[Total Stream]],0)</f>
        <v>0.17346654647908594</v>
      </c>
      <c r="T96" t="str">
        <f>IF(Table3[[#This Row],[Total Streams (in millions)]]&gt;=50000,"High Performer",IF(Table3[[#This Row],[Total Streams (in millions)]]&gt;=20000,"Medium Performer","Low Performer"))</f>
        <v>Medium Performer</v>
      </c>
    </row>
    <row r="97" spans="1:20" x14ac:dyDescent="0.3">
      <c r="A97" s="11" t="s">
        <v>146</v>
      </c>
      <c r="B97" s="11" t="s">
        <v>14</v>
      </c>
      <c r="C97" s="11" t="s">
        <v>147</v>
      </c>
      <c r="D97" s="11" t="s">
        <v>16</v>
      </c>
      <c r="E97" s="11" t="s">
        <v>60</v>
      </c>
      <c r="F97" s="11" t="s">
        <v>18</v>
      </c>
      <c r="G97" s="12">
        <v>2006</v>
      </c>
      <c r="H97" s="12" t="str">
        <f>IF(Table3[[#This Row],[Debut Year]]&lt;=2000,"1999–2000",
IF(Table3[[#This Row],[Debut Year]]&lt;=2005,"2001–2005",
IF(Table3[[#This Row],[Debut Year]]&lt;=2010,"2006–2010",
IF(Table3[[#This Row],[Debut Year]]&lt;=2015,"2011–2015",
IF(Table3[[#This Row],[Debut Year]]&lt;=2020,"2016–2020",
"2021–2025")))))</f>
        <v>2006–2010</v>
      </c>
      <c r="I97" s="12">
        <v>21003.5</v>
      </c>
      <c r="J97" s="12">
        <v>20142.3</v>
      </c>
      <c r="K97" s="12">
        <v>867.4</v>
      </c>
      <c r="L97" s="4">
        <v>14179.7</v>
      </c>
      <c r="M97" s="6">
        <f>Table2[[#This Row],[% of Solo Streams]]/100</f>
        <v>0.675111291</v>
      </c>
      <c r="N97" s="3">
        <v>6823.8</v>
      </c>
      <c r="O97" s="6">
        <f>Table2[[#This Row],[% of Collaborative Streams]]/100</f>
        <v>0.324888709</v>
      </c>
      <c r="P97" s="4">
        <f>Table3[[#This Row],[Lead Streams (in millions)]]+Table3[[#This Row],[Feature Streams (in millions)]]</f>
        <v>21009.7</v>
      </c>
      <c r="Q97" s="4">
        <f>_xlfn.RANK.EQ(Table3[[#This Row],[Total Stream]],Table3[Total Stream],0)</f>
        <v>96</v>
      </c>
      <c r="R97" s="4">
        <f>Table3[[#This Row],[Total Streams (in millions)]]-Table3[[#This Row],[Total Stream]]</f>
        <v>-6.2000000000007276</v>
      </c>
      <c r="S97" s="8">
        <f>IFERROR(Table3[[#This Row],[Collaborative Streams (in millions)]]/Table3[[#This Row],[Total Stream]],0)</f>
        <v>0.3247928337862987</v>
      </c>
      <c r="T97" t="str">
        <f>IF(Table3[[#This Row],[Total Streams (in millions)]]&gt;=50000,"High Performer",IF(Table3[[#This Row],[Total Streams (in millions)]]&gt;=20000,"Medium Performer","Low Performer"))</f>
        <v>Medium Performer</v>
      </c>
    </row>
    <row r="98" spans="1:20" x14ac:dyDescent="0.3">
      <c r="A98" s="9" t="s">
        <v>148</v>
      </c>
      <c r="B98" s="9" t="s">
        <v>14</v>
      </c>
      <c r="C98" s="9" t="s">
        <v>21</v>
      </c>
      <c r="D98" s="9" t="s">
        <v>16</v>
      </c>
      <c r="E98" s="9" t="s">
        <v>60</v>
      </c>
      <c r="F98" s="9" t="s">
        <v>18</v>
      </c>
      <c r="G98" s="10">
        <v>2002</v>
      </c>
      <c r="H98" s="10" t="str">
        <f>IF(Table3[[#This Row],[Debut Year]]&lt;=2000,"1999–2000",
IF(Table3[[#This Row],[Debut Year]]&lt;=2005,"2001–2005",
IF(Table3[[#This Row],[Debut Year]]&lt;=2010,"2006–2010",
IF(Table3[[#This Row],[Debut Year]]&lt;=2015,"2011–2015",
IF(Table3[[#This Row],[Debut Year]]&lt;=2020,"2016–2020",
"2021–2025")))))</f>
        <v>2001–2005</v>
      </c>
      <c r="I98" s="10">
        <v>20670.8</v>
      </c>
      <c r="J98" s="10">
        <v>5352.4</v>
      </c>
      <c r="K98" s="10">
        <v>15318.4</v>
      </c>
      <c r="L98" s="4">
        <v>32.5</v>
      </c>
      <c r="M98" s="6">
        <f>Table2[[#This Row],[% of Solo Streams]]/100</f>
        <v>1.572266192E-3</v>
      </c>
      <c r="N98" s="3">
        <v>20638.3</v>
      </c>
      <c r="O98" s="6">
        <f>Table2[[#This Row],[% of Collaborative Streams]]/100</f>
        <v>0.99842773379999994</v>
      </c>
      <c r="P98" s="4">
        <f>Table3[[#This Row],[Lead Streams (in millions)]]+Table3[[#This Row],[Feature Streams (in millions)]]</f>
        <v>20670.8</v>
      </c>
      <c r="Q98" s="4">
        <f>_xlfn.RANK.EQ(Table3[[#This Row],[Total Stream]],Table3[Total Stream],0)</f>
        <v>97</v>
      </c>
      <c r="R98" s="4">
        <f>Table3[[#This Row],[Total Streams (in millions)]]-Table3[[#This Row],[Total Stream]]</f>
        <v>0</v>
      </c>
      <c r="S98" s="8">
        <f>IFERROR(Table3[[#This Row],[Collaborative Streams (in millions)]]/Table3[[#This Row],[Total Stream]],0)</f>
        <v>0.99842773380807714</v>
      </c>
      <c r="T98" t="str">
        <f>IF(Table3[[#This Row],[Total Streams (in millions)]]&gt;=50000,"High Performer",IF(Table3[[#This Row],[Total Streams (in millions)]]&gt;=20000,"Medium Performer","Low Performer"))</f>
        <v>Medium Performer</v>
      </c>
    </row>
    <row r="99" spans="1:20" x14ac:dyDescent="0.3">
      <c r="A99" s="11" t="s">
        <v>149</v>
      </c>
      <c r="B99" s="11" t="s">
        <v>14</v>
      </c>
      <c r="C99" s="11" t="s">
        <v>21</v>
      </c>
      <c r="D99" s="11" t="s">
        <v>16</v>
      </c>
      <c r="E99" s="11" t="s">
        <v>17</v>
      </c>
      <c r="F99" s="11" t="s">
        <v>18</v>
      </c>
      <c r="G99" s="12">
        <v>1993</v>
      </c>
      <c r="H99" s="12" t="str">
        <f>IF(Table3[[#This Row],[Debut Year]]&lt;=2000,"1999–2000",
IF(Table3[[#This Row],[Debut Year]]&lt;=2005,"2001–2005",
IF(Table3[[#This Row],[Debut Year]]&lt;=2010,"2006–2010",
IF(Table3[[#This Row],[Debut Year]]&lt;=2015,"2011–2015",
IF(Table3[[#This Row],[Debut Year]]&lt;=2020,"2016–2020",
"2021–2025")))))</f>
        <v>1999–2000</v>
      </c>
      <c r="I99" s="12">
        <v>20644.8</v>
      </c>
      <c r="J99" s="12">
        <v>7762</v>
      </c>
      <c r="K99" s="12">
        <v>12890.7</v>
      </c>
      <c r="L99" s="4">
        <v>1744.2</v>
      </c>
      <c r="M99" s="6">
        <f>Table2[[#This Row],[% of Solo Streams]]/100</f>
        <v>8.4486166009999988E-2</v>
      </c>
      <c r="N99" s="3">
        <v>18900.599999999999</v>
      </c>
      <c r="O99" s="6">
        <f>Table2[[#This Row],[% of Collaborative Streams]]/100</f>
        <v>0.91551383400000008</v>
      </c>
      <c r="P99" s="4">
        <f>Table3[[#This Row],[Lead Streams (in millions)]]+Table3[[#This Row],[Feature Streams (in millions)]]</f>
        <v>20652.7</v>
      </c>
      <c r="Q99" s="4">
        <f>_xlfn.RANK.EQ(Table3[[#This Row],[Total Stream]],Table3[Total Stream],0)</f>
        <v>98</v>
      </c>
      <c r="R99" s="4">
        <f>Table3[[#This Row],[Total Streams (in millions)]]-Table3[[#This Row],[Total Stream]]</f>
        <v>-7.9000000000014552</v>
      </c>
      <c r="S99" s="8">
        <f>IFERROR(Table3[[#This Row],[Collaborative Streams (in millions)]]/Table3[[#This Row],[Total Stream]],0)</f>
        <v>0.91516363477898766</v>
      </c>
      <c r="T99" t="str">
        <f>IF(Table3[[#This Row],[Total Streams (in millions)]]&gt;=50000,"High Performer",IF(Table3[[#This Row],[Total Streams (in millions)]]&gt;=20000,"Medium Performer","Low Performer"))</f>
        <v>Medium Performer</v>
      </c>
    </row>
    <row r="100" spans="1:20" x14ac:dyDescent="0.3">
      <c r="A100" s="9" t="s">
        <v>150</v>
      </c>
      <c r="B100" s="9" t="s">
        <v>14</v>
      </c>
      <c r="C100" s="9" t="s">
        <v>21</v>
      </c>
      <c r="D100" s="9" t="s">
        <v>24</v>
      </c>
      <c r="E100" s="9" t="s">
        <v>151</v>
      </c>
      <c r="F100" s="9" t="s">
        <v>18</v>
      </c>
      <c r="G100" s="10">
        <v>2011</v>
      </c>
      <c r="H100" s="10" t="str">
        <f>IF(Table3[[#This Row],[Debut Year]]&lt;=2000,"1999–2000",
IF(Table3[[#This Row],[Debut Year]]&lt;=2005,"2001–2005",
IF(Table3[[#This Row],[Debut Year]]&lt;=2010,"2006–2010",
IF(Table3[[#This Row],[Debut Year]]&lt;=2015,"2011–2015",
IF(Table3[[#This Row],[Debut Year]]&lt;=2020,"2016–2020",
"2021–2025")))))</f>
        <v>2011–2015</v>
      </c>
      <c r="I100" s="10">
        <v>20549.2</v>
      </c>
      <c r="J100" s="10">
        <v>14249.8</v>
      </c>
      <c r="K100" s="10">
        <v>6311</v>
      </c>
      <c r="L100" s="4">
        <v>8225.7000000000007</v>
      </c>
      <c r="M100" s="6">
        <f>Table2[[#This Row],[% of Solo Streams]]/100</f>
        <v>0.40029295539999998</v>
      </c>
      <c r="N100" s="3">
        <v>12323.5</v>
      </c>
      <c r="O100" s="6">
        <f>Table2[[#This Row],[% of Collaborative Streams]]/100</f>
        <v>0.59970704460000002</v>
      </c>
      <c r="P100" s="4">
        <f>Table3[[#This Row],[Lead Streams (in millions)]]+Table3[[#This Row],[Feature Streams (in millions)]]</f>
        <v>20560.8</v>
      </c>
      <c r="Q100" s="4">
        <f>_xlfn.RANK.EQ(Table3[[#This Row],[Total Stream]],Table3[Total Stream],0)</f>
        <v>99</v>
      </c>
      <c r="R100" s="4">
        <f>Table3[[#This Row],[Total Streams (in millions)]]-Table3[[#This Row],[Total Stream]]</f>
        <v>-11.599999999998545</v>
      </c>
      <c r="S100" s="8">
        <f>IFERROR(Table3[[#This Row],[Collaborative Streams (in millions)]]/Table3[[#This Row],[Total Stream]],0)</f>
        <v>0.59936870160694133</v>
      </c>
      <c r="T100" t="str">
        <f>IF(Table3[[#This Row],[Total Streams (in millions)]]&gt;=50000,"High Performer",IF(Table3[[#This Row],[Total Streams (in millions)]]&gt;=20000,"Medium Performer","Low Performer"))</f>
        <v>Medium Performer</v>
      </c>
    </row>
    <row r="101" spans="1:20" x14ac:dyDescent="0.3">
      <c r="A101" s="11" t="s">
        <v>152</v>
      </c>
      <c r="B101" s="11" t="s">
        <v>14</v>
      </c>
      <c r="C101" s="11" t="s">
        <v>21</v>
      </c>
      <c r="D101" s="11" t="s">
        <v>16</v>
      </c>
      <c r="E101" s="11" t="s">
        <v>17</v>
      </c>
      <c r="F101" s="11" t="s">
        <v>18</v>
      </c>
      <c r="G101" s="12">
        <v>2003</v>
      </c>
      <c r="H101" s="12" t="str">
        <f>IF(Table3[[#This Row],[Debut Year]]&lt;=2000,"1999–2000",
IF(Table3[[#This Row],[Debut Year]]&lt;=2005,"2001–2005",
IF(Table3[[#This Row],[Debut Year]]&lt;=2010,"2006–2010",
IF(Table3[[#This Row],[Debut Year]]&lt;=2015,"2011–2015",
IF(Table3[[#This Row],[Debut Year]]&lt;=2020,"2016–2020",
"2021–2025")))))</f>
        <v>2001–2005</v>
      </c>
      <c r="I101" s="12">
        <v>20444.599999999999</v>
      </c>
      <c r="J101" s="12">
        <v>14112.2</v>
      </c>
      <c r="K101" s="12">
        <v>6342</v>
      </c>
      <c r="L101" s="4">
        <v>8484.4</v>
      </c>
      <c r="M101" s="6">
        <f>Table2[[#This Row],[% of Solo Streams]]/100</f>
        <v>0.4149946685</v>
      </c>
      <c r="N101" s="3">
        <v>11960.2</v>
      </c>
      <c r="O101" s="6">
        <f>Table2[[#This Row],[% of Collaborative Streams]]/100</f>
        <v>0.5850053315</v>
      </c>
      <c r="P101" s="4">
        <f>Table3[[#This Row],[Lead Streams (in millions)]]+Table3[[#This Row],[Feature Streams (in millions)]]</f>
        <v>20454.2</v>
      </c>
      <c r="Q101" s="4">
        <f>_xlfn.RANK.EQ(Table3[[#This Row],[Total Stream]],Table3[Total Stream],0)</f>
        <v>100</v>
      </c>
      <c r="R101" s="4">
        <f>Table3[[#This Row],[Total Streams (in millions)]]-Table3[[#This Row],[Total Stream]]</f>
        <v>-9.6000000000021828</v>
      </c>
      <c r="S101" s="8">
        <f>IFERROR(Table3[[#This Row],[Collaborative Streams (in millions)]]/Table3[[#This Row],[Total Stream]],0)</f>
        <v>0.58473076434179783</v>
      </c>
      <c r="T101" t="str">
        <f>IF(Table3[[#This Row],[Total Streams (in millions)]]&gt;=50000,"High Performer",IF(Table3[[#This Row],[Total Streams (in millions)]]&gt;=20000,"Medium Performer","Low Performer"))</f>
        <v>Medium Performer</v>
      </c>
    </row>
    <row r="102" spans="1:20" x14ac:dyDescent="0.3">
      <c r="A102" s="9" t="s">
        <v>153</v>
      </c>
      <c r="B102" s="9" t="s">
        <v>14</v>
      </c>
      <c r="C102" s="9" t="s">
        <v>89</v>
      </c>
      <c r="D102" s="9" t="s">
        <v>24</v>
      </c>
      <c r="E102" s="9" t="s">
        <v>90</v>
      </c>
      <c r="F102" s="9" t="s">
        <v>18</v>
      </c>
      <c r="G102" s="10">
        <v>2018</v>
      </c>
      <c r="H102" s="10" t="str">
        <f>IF(Table3[[#This Row],[Debut Year]]&lt;=2000,"1999–2000",
IF(Table3[[#This Row],[Debut Year]]&lt;=2005,"2001–2005",
IF(Table3[[#This Row],[Debut Year]]&lt;=2010,"2006–2010",
IF(Table3[[#This Row],[Debut Year]]&lt;=2015,"2011–2015",
IF(Table3[[#This Row],[Debut Year]]&lt;=2020,"2016–2020",
"2021–2025")))))</f>
        <v>2016–2020</v>
      </c>
      <c r="I102" s="10">
        <v>20300.7</v>
      </c>
      <c r="J102" s="10">
        <v>13993.4</v>
      </c>
      <c r="K102" s="10">
        <v>6316.3</v>
      </c>
      <c r="L102" s="4">
        <v>7574.2</v>
      </c>
      <c r="M102" s="6">
        <f>Table2[[#This Row],[% of Solo Streams]]/100</f>
        <v>0.37310043500000001</v>
      </c>
      <c r="N102" s="3">
        <v>12726.5</v>
      </c>
      <c r="O102" s="6">
        <f>Table2[[#This Row],[% of Collaborative Streams]]/100</f>
        <v>0.62689956499999999</v>
      </c>
      <c r="P102" s="4">
        <f>Table3[[#This Row],[Lead Streams (in millions)]]+Table3[[#This Row],[Feature Streams (in millions)]]</f>
        <v>20309.7</v>
      </c>
      <c r="Q102" s="4">
        <f>_xlfn.RANK.EQ(Table3[[#This Row],[Total Stream]],Table3[Total Stream],0)</f>
        <v>101</v>
      </c>
      <c r="R102" s="4">
        <f>Table3[[#This Row],[Total Streams (in millions)]]-Table3[[#This Row],[Total Stream]]</f>
        <v>-9</v>
      </c>
      <c r="S102" s="8">
        <f>IFERROR(Table3[[#This Row],[Collaborative Streams (in millions)]]/Table3[[#This Row],[Total Stream]],0)</f>
        <v>0.62662176201519471</v>
      </c>
      <c r="T102" t="str">
        <f>IF(Table3[[#This Row],[Total Streams (in millions)]]&gt;=50000,"High Performer",IF(Table3[[#This Row],[Total Streams (in millions)]]&gt;=20000,"Medium Performer","Low Performer"))</f>
        <v>Medium Performer</v>
      </c>
    </row>
    <row r="103" spans="1:20" x14ac:dyDescent="0.3">
      <c r="A103" s="11" t="s">
        <v>154</v>
      </c>
      <c r="B103" s="11" t="s">
        <v>14</v>
      </c>
      <c r="C103" s="11" t="s">
        <v>21</v>
      </c>
      <c r="D103" s="11" t="s">
        <v>16</v>
      </c>
      <c r="E103" s="11" t="s">
        <v>17</v>
      </c>
      <c r="F103" s="11" t="s">
        <v>18</v>
      </c>
      <c r="G103" s="12">
        <v>2015</v>
      </c>
      <c r="H103" s="12" t="str">
        <f>IF(Table3[[#This Row],[Debut Year]]&lt;=2000,"1999–2000",
IF(Table3[[#This Row],[Debut Year]]&lt;=2005,"2001–2005",
IF(Table3[[#This Row],[Debut Year]]&lt;=2010,"2006–2010",
IF(Table3[[#This Row],[Debut Year]]&lt;=2015,"2011–2015",
IF(Table3[[#This Row],[Debut Year]]&lt;=2020,"2016–2020",
"2021–2025")))))</f>
        <v>2011–2015</v>
      </c>
      <c r="I103" s="12">
        <v>20138.099999999999</v>
      </c>
      <c r="J103" s="12">
        <v>15305.8</v>
      </c>
      <c r="K103" s="12">
        <v>4841.7</v>
      </c>
      <c r="L103" s="4">
        <v>13558.6</v>
      </c>
      <c r="M103" s="6">
        <f>Table2[[#This Row],[% of Solo Streams]]/100</f>
        <v>0.67328099470000002</v>
      </c>
      <c r="N103" s="3">
        <v>6579.5</v>
      </c>
      <c r="O103" s="6">
        <f>Table2[[#This Row],[% of Collaborative Streams]]/100</f>
        <v>0.32671900530000003</v>
      </c>
      <c r="P103" s="4">
        <f>Table3[[#This Row],[Lead Streams (in millions)]]+Table3[[#This Row],[Feature Streams (in millions)]]</f>
        <v>20147.5</v>
      </c>
      <c r="Q103" s="4">
        <f>_xlfn.RANK.EQ(Table3[[#This Row],[Total Stream]],Table3[Total Stream],0)</f>
        <v>102</v>
      </c>
      <c r="R103" s="4">
        <f>Table3[[#This Row],[Total Streams (in millions)]]-Table3[[#This Row],[Total Stream]]</f>
        <v>-9.4000000000014552</v>
      </c>
      <c r="S103" s="8">
        <f>IFERROR(Table3[[#This Row],[Collaborative Streams (in millions)]]/Table3[[#This Row],[Total Stream]],0)</f>
        <v>0.32656657153492991</v>
      </c>
      <c r="T103" t="str">
        <f>IF(Table3[[#This Row],[Total Streams (in millions)]]&gt;=50000,"High Performer",IF(Table3[[#This Row],[Total Streams (in millions)]]&gt;=20000,"Medium Performer","Low Performer"))</f>
        <v>Medium Performer</v>
      </c>
    </row>
    <row r="104" spans="1:20" x14ac:dyDescent="0.3">
      <c r="A104" s="9" t="s">
        <v>155</v>
      </c>
      <c r="B104" s="9" t="s">
        <v>14</v>
      </c>
      <c r="C104" s="9" t="s">
        <v>21</v>
      </c>
      <c r="D104" s="9" t="s">
        <v>16</v>
      </c>
      <c r="E104" s="9" t="s">
        <v>17</v>
      </c>
      <c r="F104" s="9" t="s">
        <v>18</v>
      </c>
      <c r="G104" s="10">
        <v>2007</v>
      </c>
      <c r="H104" s="10" t="str">
        <f>IF(Table3[[#This Row],[Debut Year]]&lt;=2000,"1999–2000",
IF(Table3[[#This Row],[Debut Year]]&lt;=2005,"2001–2005",
IF(Table3[[#This Row],[Debut Year]]&lt;=2010,"2006–2010",
IF(Table3[[#This Row],[Debut Year]]&lt;=2015,"2011–2015",
IF(Table3[[#This Row],[Debut Year]]&lt;=2020,"2016–2020",
"2021–2025")))))</f>
        <v>2006–2010</v>
      </c>
      <c r="I104" s="10">
        <v>20091.099999999999</v>
      </c>
      <c r="J104" s="10">
        <v>18765.5</v>
      </c>
      <c r="K104" s="10">
        <v>1328</v>
      </c>
      <c r="L104" s="4">
        <v>12865.2</v>
      </c>
      <c r="M104" s="6">
        <f>Table2[[#This Row],[% of Solo Streams]]/100</f>
        <v>0.64034323660000003</v>
      </c>
      <c r="N104" s="3">
        <v>7225.9</v>
      </c>
      <c r="O104" s="6">
        <f>Table2[[#This Row],[% of Collaborative Streams]]/100</f>
        <v>0.35965676340000002</v>
      </c>
      <c r="P104" s="4">
        <f>Table3[[#This Row],[Lead Streams (in millions)]]+Table3[[#This Row],[Feature Streams (in millions)]]</f>
        <v>20093.5</v>
      </c>
      <c r="Q104" s="4">
        <f>_xlfn.RANK.EQ(Table3[[#This Row],[Total Stream]],Table3[Total Stream],0)</f>
        <v>103</v>
      </c>
      <c r="R104" s="4">
        <f>Table3[[#This Row],[Total Streams (in millions)]]-Table3[[#This Row],[Total Stream]]</f>
        <v>-2.4000000000014552</v>
      </c>
      <c r="S104" s="8">
        <f>IFERROR(Table3[[#This Row],[Collaborative Streams (in millions)]]/Table3[[#This Row],[Total Stream]],0)</f>
        <v>0.35961380545947691</v>
      </c>
      <c r="T104" t="str">
        <f>IF(Table3[[#This Row],[Total Streams (in millions)]]&gt;=50000,"High Performer",IF(Table3[[#This Row],[Total Streams (in millions)]]&gt;=20000,"Medium Performer","Low Performer"))</f>
        <v>Medium Performer</v>
      </c>
    </row>
    <row r="105" spans="1:20" x14ac:dyDescent="0.3">
      <c r="A105" s="11" t="s">
        <v>156</v>
      </c>
      <c r="B105" s="11" t="s">
        <v>14</v>
      </c>
      <c r="C105" s="11" t="s">
        <v>21</v>
      </c>
      <c r="D105" s="11" t="s">
        <v>16</v>
      </c>
      <c r="E105" s="11" t="s">
        <v>17</v>
      </c>
      <c r="F105" s="11" t="s">
        <v>18</v>
      </c>
      <c r="G105" s="12">
        <v>2015</v>
      </c>
      <c r="H105" s="12" t="str">
        <f>IF(Table3[[#This Row],[Debut Year]]&lt;=2000,"1999–2000",
IF(Table3[[#This Row],[Debut Year]]&lt;=2005,"2001–2005",
IF(Table3[[#This Row],[Debut Year]]&lt;=2010,"2006–2010",
IF(Table3[[#This Row],[Debut Year]]&lt;=2015,"2011–2015",
IF(Table3[[#This Row],[Debut Year]]&lt;=2020,"2016–2020",
"2021–2025")))))</f>
        <v>2011–2015</v>
      </c>
      <c r="I105" s="12">
        <v>19977.5</v>
      </c>
      <c r="J105" s="12">
        <v>9365.1</v>
      </c>
      <c r="K105" s="12">
        <v>10617.1</v>
      </c>
      <c r="L105" s="4">
        <v>5320.2</v>
      </c>
      <c r="M105" s="6">
        <f>Table2[[#This Row],[% of Solo Streams]]/100</f>
        <v>0.26630959830000001</v>
      </c>
      <c r="N105" s="3">
        <v>14657.3</v>
      </c>
      <c r="O105" s="6">
        <f>Table2[[#This Row],[% of Collaborative Streams]]/100</f>
        <v>0.73369040170000011</v>
      </c>
      <c r="P105" s="4">
        <f>Table3[[#This Row],[Lead Streams (in millions)]]+Table3[[#This Row],[Feature Streams (in millions)]]</f>
        <v>19982.2</v>
      </c>
      <c r="Q105" s="4">
        <f>_xlfn.RANK.EQ(Table3[[#This Row],[Total Stream]],Table3[Total Stream],0)</f>
        <v>104</v>
      </c>
      <c r="R105" s="4">
        <f>Table3[[#This Row],[Total Streams (in millions)]]-Table3[[#This Row],[Total Stream]]</f>
        <v>-4.7000000000007276</v>
      </c>
      <c r="S105" s="8">
        <f>IFERROR(Table3[[#This Row],[Collaborative Streams (in millions)]]/Table3[[#This Row],[Total Stream]],0)</f>
        <v>0.73351783086947375</v>
      </c>
      <c r="T105" t="str">
        <f>IF(Table3[[#This Row],[Total Streams (in millions)]]&gt;=50000,"High Performer",IF(Table3[[#This Row],[Total Streams (in millions)]]&gt;=20000,"Medium Performer","Low Performer"))</f>
        <v>Low Performer</v>
      </c>
    </row>
    <row r="106" spans="1:20" x14ac:dyDescent="0.3">
      <c r="A106" s="9" t="s">
        <v>157</v>
      </c>
      <c r="B106" s="9" t="s">
        <v>14</v>
      </c>
      <c r="C106" s="9" t="s">
        <v>21</v>
      </c>
      <c r="D106" s="9" t="s">
        <v>16</v>
      </c>
      <c r="E106" s="9" t="s">
        <v>17</v>
      </c>
      <c r="F106" s="9" t="s">
        <v>18</v>
      </c>
      <c r="G106" s="10">
        <v>2017</v>
      </c>
      <c r="H106" s="10" t="str">
        <f>IF(Table3[[#This Row],[Debut Year]]&lt;=2000,"1999–2000",
IF(Table3[[#This Row],[Debut Year]]&lt;=2005,"2001–2005",
IF(Table3[[#This Row],[Debut Year]]&lt;=2010,"2006–2010",
IF(Table3[[#This Row],[Debut Year]]&lt;=2015,"2011–2015",
IF(Table3[[#This Row],[Debut Year]]&lt;=2020,"2016–2020",
"2021–2025")))))</f>
        <v>2016–2020</v>
      </c>
      <c r="I106" s="10">
        <v>19830.5</v>
      </c>
      <c r="J106" s="10">
        <v>12351.9</v>
      </c>
      <c r="K106" s="10">
        <v>7494</v>
      </c>
      <c r="L106" s="4">
        <v>8302.6</v>
      </c>
      <c r="M106" s="6">
        <f>Table2[[#This Row],[% of Solo Streams]]/100</f>
        <v>0.4186782986</v>
      </c>
      <c r="N106" s="3">
        <v>11527.9</v>
      </c>
      <c r="O106" s="6">
        <f>Table2[[#This Row],[% of Collaborative Streams]]/100</f>
        <v>0.58132170139999995</v>
      </c>
      <c r="P106" s="4">
        <f>Table3[[#This Row],[Lead Streams (in millions)]]+Table3[[#This Row],[Feature Streams (in millions)]]</f>
        <v>19845.900000000001</v>
      </c>
      <c r="Q106" s="4">
        <f>_xlfn.RANK.EQ(Table3[[#This Row],[Total Stream]],Table3[Total Stream],0)</f>
        <v>105</v>
      </c>
      <c r="R106" s="4">
        <f>Table3[[#This Row],[Total Streams (in millions)]]-Table3[[#This Row],[Total Stream]]</f>
        <v>-15.400000000001455</v>
      </c>
      <c r="S106" s="8">
        <f>IFERROR(Table3[[#This Row],[Collaborative Streams (in millions)]]/Table3[[#This Row],[Total Stream]],0)</f>
        <v>0.58087060803490886</v>
      </c>
      <c r="T106" t="str">
        <f>IF(Table3[[#This Row],[Total Streams (in millions)]]&gt;=50000,"High Performer",IF(Table3[[#This Row],[Total Streams (in millions)]]&gt;=20000,"Medium Performer","Low Performer"))</f>
        <v>Low Performer</v>
      </c>
    </row>
    <row r="107" spans="1:20" x14ac:dyDescent="0.3">
      <c r="A107" s="11" t="s">
        <v>158</v>
      </c>
      <c r="B107" s="11" t="s">
        <v>14</v>
      </c>
      <c r="C107" s="11" t="s">
        <v>21</v>
      </c>
      <c r="D107" s="11" t="s">
        <v>16</v>
      </c>
      <c r="E107" s="11" t="s">
        <v>98</v>
      </c>
      <c r="F107" s="11" t="s">
        <v>18</v>
      </c>
      <c r="G107" s="12">
        <v>2019</v>
      </c>
      <c r="H107" s="12" t="str">
        <f>IF(Table3[[#This Row],[Debut Year]]&lt;=2000,"1999–2000",
IF(Table3[[#This Row],[Debut Year]]&lt;=2005,"2001–2005",
IF(Table3[[#This Row],[Debut Year]]&lt;=2010,"2006–2010",
IF(Table3[[#This Row],[Debut Year]]&lt;=2015,"2011–2015",
IF(Table3[[#This Row],[Debut Year]]&lt;=2020,"2016–2020",
"2021–2025")))))</f>
        <v>2016–2020</v>
      </c>
      <c r="I107" s="12">
        <v>19727.2</v>
      </c>
      <c r="J107" s="12">
        <v>19690.8</v>
      </c>
      <c r="K107" s="12">
        <v>47.3</v>
      </c>
      <c r="L107" s="4">
        <v>15838.7</v>
      </c>
      <c r="M107" s="6">
        <f>Table2[[#This Row],[% of Solo Streams]]/100</f>
        <v>0.80288637009999997</v>
      </c>
      <c r="N107" s="3">
        <v>3888.5</v>
      </c>
      <c r="O107" s="6">
        <f>Table2[[#This Row],[% of Collaborative Streams]]/100</f>
        <v>0.1971136299</v>
      </c>
      <c r="P107" s="4">
        <f>Table3[[#This Row],[Lead Streams (in millions)]]+Table3[[#This Row],[Feature Streams (in millions)]]</f>
        <v>19738.099999999999</v>
      </c>
      <c r="Q107" s="4">
        <f>_xlfn.RANK.EQ(Table3[[#This Row],[Total Stream]],Table3[Total Stream],0)</f>
        <v>106</v>
      </c>
      <c r="R107" s="4">
        <f>Table3[[#This Row],[Total Streams (in millions)]]-Table3[[#This Row],[Total Stream]]</f>
        <v>-10.899999999997817</v>
      </c>
      <c r="S107" s="8">
        <f>IFERROR(Table3[[#This Row],[Collaborative Streams (in millions)]]/Table3[[#This Row],[Total Stream]],0)</f>
        <v>0.19700477756217671</v>
      </c>
      <c r="T107" t="str">
        <f>IF(Table3[[#This Row],[Total Streams (in millions)]]&gt;=50000,"High Performer",IF(Table3[[#This Row],[Total Streams (in millions)]]&gt;=20000,"Medium Performer","Low Performer"))</f>
        <v>Low Performer</v>
      </c>
    </row>
    <row r="108" spans="1:20" x14ac:dyDescent="0.3">
      <c r="A108" s="9" t="s">
        <v>159</v>
      </c>
      <c r="B108" s="9" t="s">
        <v>14</v>
      </c>
      <c r="C108" s="9" t="s">
        <v>160</v>
      </c>
      <c r="D108" s="9" t="s">
        <v>16</v>
      </c>
      <c r="E108" s="9" t="s">
        <v>60</v>
      </c>
      <c r="F108" s="9" t="s">
        <v>18</v>
      </c>
      <c r="G108" s="10">
        <v>2013</v>
      </c>
      <c r="H108" s="10" t="str">
        <f>IF(Table3[[#This Row],[Debut Year]]&lt;=2000,"1999–2000",
IF(Table3[[#This Row],[Debut Year]]&lt;=2005,"2001–2005",
IF(Table3[[#This Row],[Debut Year]]&lt;=2010,"2006–2010",
IF(Table3[[#This Row],[Debut Year]]&lt;=2015,"2011–2015",
IF(Table3[[#This Row],[Debut Year]]&lt;=2020,"2016–2020",
"2021–2025")))))</f>
        <v>2011–2015</v>
      </c>
      <c r="I108" s="10">
        <v>19707.8</v>
      </c>
      <c r="J108" s="10">
        <v>17829.8</v>
      </c>
      <c r="K108" s="10">
        <v>1883.3</v>
      </c>
      <c r="L108" s="4">
        <v>250.7</v>
      </c>
      <c r="M108" s="6">
        <f>Table2[[#This Row],[% of Solo Streams]]/100</f>
        <v>1.2720851639999999E-2</v>
      </c>
      <c r="N108" s="3">
        <v>19457.099999999999</v>
      </c>
      <c r="O108" s="6">
        <f>Table2[[#This Row],[% of Collaborative Streams]]/100</f>
        <v>0.98727914839999997</v>
      </c>
      <c r="P108" s="4">
        <f>Table3[[#This Row],[Lead Streams (in millions)]]+Table3[[#This Row],[Feature Streams (in millions)]]</f>
        <v>19713.099999999999</v>
      </c>
      <c r="Q108" s="4">
        <f>_xlfn.RANK.EQ(Table3[[#This Row],[Total Stream]],Table3[Total Stream],0)</f>
        <v>107</v>
      </c>
      <c r="R108" s="4">
        <f>Table3[[#This Row],[Total Streams (in millions)]]-Table3[[#This Row],[Total Stream]]</f>
        <v>-5.2999999999992724</v>
      </c>
      <c r="S108" s="8">
        <f>IFERROR(Table3[[#This Row],[Collaborative Streams (in millions)]]/Table3[[#This Row],[Total Stream]],0)</f>
        <v>0.98701371169425411</v>
      </c>
      <c r="T108" t="str">
        <f>IF(Table3[[#This Row],[Total Streams (in millions)]]&gt;=50000,"High Performer",IF(Table3[[#This Row],[Total Streams (in millions)]]&gt;=20000,"Medium Performer","Low Performer"))</f>
        <v>Low Performer</v>
      </c>
    </row>
    <row r="109" spans="1:20" x14ac:dyDescent="0.3">
      <c r="A109" s="11" t="s">
        <v>161</v>
      </c>
      <c r="B109" s="11" t="s">
        <v>14</v>
      </c>
      <c r="C109" s="11" t="s">
        <v>162</v>
      </c>
      <c r="D109" s="11" t="s">
        <v>24</v>
      </c>
      <c r="E109" s="11" t="s">
        <v>25</v>
      </c>
      <c r="F109" s="11" t="s">
        <v>18</v>
      </c>
      <c r="G109" s="12">
        <v>2014</v>
      </c>
      <c r="H109" s="12" t="str">
        <f>IF(Table3[[#This Row],[Debut Year]]&lt;=2000,"1999–2000",
IF(Table3[[#This Row],[Debut Year]]&lt;=2005,"2001–2005",
IF(Table3[[#This Row],[Debut Year]]&lt;=2010,"2006–2010",
IF(Table3[[#This Row],[Debut Year]]&lt;=2015,"2011–2015",
IF(Table3[[#This Row],[Debut Year]]&lt;=2020,"2016–2020",
"2021–2025")))))</f>
        <v>2011–2015</v>
      </c>
      <c r="I109" s="12">
        <v>19528.3</v>
      </c>
      <c r="J109" s="12">
        <v>7512.9</v>
      </c>
      <c r="K109" s="12">
        <v>12015.4</v>
      </c>
      <c r="L109" s="4">
        <v>2397.8000000000002</v>
      </c>
      <c r="M109" s="6">
        <f>Table2[[#This Row],[% of Solo Streams]]/100</f>
        <v>0.12278590559999999</v>
      </c>
      <c r="N109" s="3">
        <v>17130.5</v>
      </c>
      <c r="O109" s="6">
        <f>Table2[[#This Row],[% of Collaborative Streams]]/100</f>
        <v>0.87721409439999998</v>
      </c>
      <c r="P109" s="4">
        <f>Table3[[#This Row],[Lead Streams (in millions)]]+Table3[[#This Row],[Feature Streams (in millions)]]</f>
        <v>19528.3</v>
      </c>
      <c r="Q109" s="4">
        <f>_xlfn.RANK.EQ(Table3[[#This Row],[Total Stream]],Table3[Total Stream],0)</f>
        <v>108</v>
      </c>
      <c r="R109" s="4">
        <f>Table3[[#This Row],[Total Streams (in millions)]]-Table3[[#This Row],[Total Stream]]</f>
        <v>0</v>
      </c>
      <c r="S109" s="8">
        <f>IFERROR(Table3[[#This Row],[Collaborative Streams (in millions)]]/Table3[[#This Row],[Total Stream]],0)</f>
        <v>0.87721409441682074</v>
      </c>
      <c r="T109" t="str">
        <f>IF(Table3[[#This Row],[Total Streams (in millions)]]&gt;=50000,"High Performer",IF(Table3[[#This Row],[Total Streams (in millions)]]&gt;=20000,"Medium Performer","Low Performer"))</f>
        <v>Low Performer</v>
      </c>
    </row>
    <row r="110" spans="1:20" x14ac:dyDescent="0.3">
      <c r="A110" s="9" t="s">
        <v>163</v>
      </c>
      <c r="B110" s="9" t="s">
        <v>14</v>
      </c>
      <c r="C110" s="9" t="s">
        <v>21</v>
      </c>
      <c r="D110" s="9" t="s">
        <v>16</v>
      </c>
      <c r="E110" s="9" t="s">
        <v>57</v>
      </c>
      <c r="F110" s="9" t="s">
        <v>48</v>
      </c>
      <c r="G110" s="10">
        <v>2011</v>
      </c>
      <c r="H110" s="10" t="str">
        <f>IF(Table3[[#This Row],[Debut Year]]&lt;=2000,"1999–2000",
IF(Table3[[#This Row],[Debut Year]]&lt;=2005,"2001–2005",
IF(Table3[[#This Row],[Debut Year]]&lt;=2010,"2006–2010",
IF(Table3[[#This Row],[Debut Year]]&lt;=2015,"2011–2015",
IF(Table3[[#This Row],[Debut Year]]&lt;=2020,"2016–2020",
"2021–2025")))))</f>
        <v>2011–2015</v>
      </c>
      <c r="I110" s="10">
        <v>19440.5</v>
      </c>
      <c r="J110" s="10">
        <v>19435.599999999999</v>
      </c>
      <c r="K110" s="10">
        <v>14.3</v>
      </c>
      <c r="L110" s="4">
        <v>18793.5</v>
      </c>
      <c r="M110" s="6">
        <f>Table2[[#This Row],[% of Solo Streams]]/100</f>
        <v>0.96671896300000004</v>
      </c>
      <c r="N110" s="3">
        <v>647</v>
      </c>
      <c r="O110" s="6">
        <f>Table2[[#This Row],[% of Collaborative Streams]]/100</f>
        <v>3.328103701E-2</v>
      </c>
      <c r="P110" s="4">
        <f>Table3[[#This Row],[Lead Streams (in millions)]]+Table3[[#This Row],[Feature Streams (in millions)]]</f>
        <v>19449.899999999998</v>
      </c>
      <c r="Q110" s="4">
        <f>_xlfn.RANK.EQ(Table3[[#This Row],[Total Stream]],Table3[Total Stream],0)</f>
        <v>109</v>
      </c>
      <c r="R110" s="4">
        <f>Table3[[#This Row],[Total Streams (in millions)]]-Table3[[#This Row],[Total Stream]]</f>
        <v>-9.3999999999978172</v>
      </c>
      <c r="S110" s="8">
        <f>IFERROR(Table3[[#This Row],[Collaborative Streams (in millions)]]/Table3[[#This Row],[Total Stream]],0)</f>
        <v>3.3264952519036092E-2</v>
      </c>
      <c r="T110" t="str">
        <f>IF(Table3[[#This Row],[Total Streams (in millions)]]&gt;=50000,"High Performer",IF(Table3[[#This Row],[Total Streams (in millions)]]&gt;=20000,"Medium Performer","Low Performer"))</f>
        <v>Low Performer</v>
      </c>
    </row>
    <row r="111" spans="1:20" x14ac:dyDescent="0.3">
      <c r="A111" s="11" t="s">
        <v>164</v>
      </c>
      <c r="B111" s="11" t="s">
        <v>14</v>
      </c>
      <c r="C111" s="11" t="s">
        <v>21</v>
      </c>
      <c r="D111" s="11" t="s">
        <v>16</v>
      </c>
      <c r="E111" s="11" t="s">
        <v>17</v>
      </c>
      <c r="F111" s="11" t="s">
        <v>18</v>
      </c>
      <c r="G111" s="12">
        <v>2008</v>
      </c>
      <c r="H111" s="12" t="str">
        <f>IF(Table3[[#This Row],[Debut Year]]&lt;=2000,"1999–2000",
IF(Table3[[#This Row],[Debut Year]]&lt;=2005,"2001–2005",
IF(Table3[[#This Row],[Debut Year]]&lt;=2010,"2006–2010",
IF(Table3[[#This Row],[Debut Year]]&lt;=2015,"2011–2015",
IF(Table3[[#This Row],[Debut Year]]&lt;=2020,"2016–2020",
"2021–2025")))))</f>
        <v>2006–2010</v>
      </c>
      <c r="I111" s="12">
        <v>19383.5</v>
      </c>
      <c r="J111" s="12">
        <v>2977.3</v>
      </c>
      <c r="K111" s="12">
        <v>16406.099999999999</v>
      </c>
      <c r="L111" s="4">
        <v>809.7</v>
      </c>
      <c r="M111" s="6">
        <f>Table2[[#This Row],[% of Solo Streams]]/100</f>
        <v>4.177264168E-2</v>
      </c>
      <c r="N111" s="3">
        <v>18573.8</v>
      </c>
      <c r="O111" s="6">
        <f>Table2[[#This Row],[% of Collaborative Streams]]/100</f>
        <v>0.95822735829999994</v>
      </c>
      <c r="P111" s="4">
        <f>Table3[[#This Row],[Lead Streams (in millions)]]+Table3[[#This Row],[Feature Streams (in millions)]]</f>
        <v>19383.399999999998</v>
      </c>
      <c r="Q111" s="4">
        <f>_xlfn.RANK.EQ(Table3[[#This Row],[Total Stream]],Table3[Total Stream],0)</f>
        <v>110</v>
      </c>
      <c r="R111" s="4">
        <f>Table3[[#This Row],[Total Streams (in millions)]]-Table3[[#This Row],[Total Stream]]</f>
        <v>0.10000000000218279</v>
      </c>
      <c r="S111" s="8">
        <f>IFERROR(Table3[[#This Row],[Collaborative Streams (in millions)]]/Table3[[#This Row],[Total Stream]],0)</f>
        <v>0.95823230186654562</v>
      </c>
      <c r="T111" t="str">
        <f>IF(Table3[[#This Row],[Total Streams (in millions)]]&gt;=50000,"High Performer",IF(Table3[[#This Row],[Total Streams (in millions)]]&gt;=20000,"Medium Performer","Low Performer"))</f>
        <v>Low Performer</v>
      </c>
    </row>
    <row r="112" spans="1:20" x14ac:dyDescent="0.3">
      <c r="A112" s="9" t="s">
        <v>165</v>
      </c>
      <c r="B112" s="9" t="s">
        <v>14</v>
      </c>
      <c r="C112" s="9" t="s">
        <v>166</v>
      </c>
      <c r="D112" s="9" t="s">
        <v>167</v>
      </c>
      <c r="E112" s="9" t="s">
        <v>168</v>
      </c>
      <c r="F112" s="9" t="s">
        <v>48</v>
      </c>
      <c r="G112" s="10">
        <v>2008</v>
      </c>
      <c r="H112" s="10" t="str">
        <f>IF(Table3[[#This Row],[Debut Year]]&lt;=2000,"1999–2000",
IF(Table3[[#This Row],[Debut Year]]&lt;=2005,"2001–2005",
IF(Table3[[#This Row],[Debut Year]]&lt;=2010,"2006–2010",
IF(Table3[[#This Row],[Debut Year]]&lt;=2015,"2011–2015",
IF(Table3[[#This Row],[Debut Year]]&lt;=2020,"2016–2020",
"2021–2025")))))</f>
        <v>2006–2010</v>
      </c>
      <c r="I112" s="10">
        <v>19231.7</v>
      </c>
      <c r="J112" s="10">
        <v>15881.4</v>
      </c>
      <c r="K112" s="10">
        <v>3360.5</v>
      </c>
      <c r="L112" s="4">
        <v>15399.4</v>
      </c>
      <c r="M112" s="6">
        <f>Table2[[#This Row],[% of Solo Streams]]/100</f>
        <v>0.80073004469999998</v>
      </c>
      <c r="N112" s="3">
        <v>3832.3</v>
      </c>
      <c r="O112" s="6">
        <f>Table2[[#This Row],[% of Collaborative Streams]]/100</f>
        <v>0.1992699553</v>
      </c>
      <c r="P112" s="4">
        <f>Table3[[#This Row],[Lead Streams (in millions)]]+Table3[[#This Row],[Feature Streams (in millions)]]</f>
        <v>19241.900000000001</v>
      </c>
      <c r="Q112" s="4">
        <f>_xlfn.RANK.EQ(Table3[[#This Row],[Total Stream]],Table3[Total Stream],0)</f>
        <v>111</v>
      </c>
      <c r="R112" s="4">
        <f>Table3[[#This Row],[Total Streams (in millions)]]-Table3[[#This Row],[Total Stream]]</f>
        <v>-10.200000000000728</v>
      </c>
      <c r="S112" s="8">
        <f>IFERROR(Table3[[#This Row],[Collaborative Streams (in millions)]]/Table3[[#This Row],[Total Stream]],0)</f>
        <v>0.19916432368944853</v>
      </c>
      <c r="T112" t="str">
        <f>IF(Table3[[#This Row],[Total Streams (in millions)]]&gt;=50000,"High Performer",IF(Table3[[#This Row],[Total Streams (in millions)]]&gt;=20000,"Medium Performer","Low Performer"))</f>
        <v>Low Performer</v>
      </c>
    </row>
    <row r="113" spans="1:20" x14ac:dyDescent="0.3">
      <c r="A113" s="11" t="s">
        <v>169</v>
      </c>
      <c r="B113" s="11" t="s">
        <v>14</v>
      </c>
      <c r="C113" s="11" t="s">
        <v>21</v>
      </c>
      <c r="D113" s="11" t="s">
        <v>16</v>
      </c>
      <c r="E113" s="11" t="s">
        <v>98</v>
      </c>
      <c r="F113" s="11" t="s">
        <v>18</v>
      </c>
      <c r="G113" s="12">
        <v>2014</v>
      </c>
      <c r="H113" s="12" t="str">
        <f>IF(Table3[[#This Row],[Debut Year]]&lt;=2000,"1999–2000",
IF(Table3[[#This Row],[Debut Year]]&lt;=2005,"2001–2005",
IF(Table3[[#This Row],[Debut Year]]&lt;=2010,"2006–2010",
IF(Table3[[#This Row],[Debut Year]]&lt;=2015,"2011–2015",
IF(Table3[[#This Row],[Debut Year]]&lt;=2020,"2016–2020",
"2021–2025")))))</f>
        <v>2011–2015</v>
      </c>
      <c r="I113" s="12">
        <v>19101.599999999999</v>
      </c>
      <c r="J113" s="12">
        <v>17465.400000000001</v>
      </c>
      <c r="K113" s="12">
        <v>1647.2</v>
      </c>
      <c r="L113" s="4">
        <v>16648</v>
      </c>
      <c r="M113" s="6">
        <f>Table2[[#This Row],[% of Solo Streams]]/100</f>
        <v>0.87155002719999997</v>
      </c>
      <c r="N113" s="3">
        <v>2453.6</v>
      </c>
      <c r="O113" s="6">
        <f>Table2[[#This Row],[% of Collaborative Streams]]/100</f>
        <v>0.12844997280000001</v>
      </c>
      <c r="P113" s="4">
        <f>Table3[[#This Row],[Lead Streams (in millions)]]+Table3[[#This Row],[Feature Streams (in millions)]]</f>
        <v>19112.600000000002</v>
      </c>
      <c r="Q113" s="4">
        <f>_xlfn.RANK.EQ(Table3[[#This Row],[Total Stream]],Table3[Total Stream],0)</f>
        <v>112</v>
      </c>
      <c r="R113" s="4">
        <f>Table3[[#This Row],[Total Streams (in millions)]]-Table3[[#This Row],[Total Stream]]</f>
        <v>-11.000000000003638</v>
      </c>
      <c r="S113" s="8">
        <f>IFERROR(Table3[[#This Row],[Collaborative Streams (in millions)]]/Table3[[#This Row],[Total Stream]],0)</f>
        <v>0.12837604512206605</v>
      </c>
      <c r="T113" t="str">
        <f>IF(Table3[[#This Row],[Total Streams (in millions)]]&gt;=50000,"High Performer",IF(Table3[[#This Row],[Total Streams (in millions)]]&gt;=20000,"Medium Performer","Low Performer"))</f>
        <v>Low Performer</v>
      </c>
    </row>
    <row r="114" spans="1:20" x14ac:dyDescent="0.3">
      <c r="A114" s="9" t="s">
        <v>170</v>
      </c>
      <c r="B114" s="9" t="s">
        <v>14</v>
      </c>
      <c r="C114" s="9" t="s">
        <v>33</v>
      </c>
      <c r="D114" s="9" t="s">
        <v>16</v>
      </c>
      <c r="E114" s="9" t="s">
        <v>51</v>
      </c>
      <c r="F114" s="9" t="s">
        <v>18</v>
      </c>
      <c r="G114" s="10">
        <v>1969</v>
      </c>
      <c r="H114" s="10" t="str">
        <f>IF(Table3[[#This Row],[Debut Year]]&lt;=2000,"1999–2000",
IF(Table3[[#This Row],[Debut Year]]&lt;=2005,"2001–2005",
IF(Table3[[#This Row],[Debut Year]]&lt;=2010,"2006–2010",
IF(Table3[[#This Row],[Debut Year]]&lt;=2015,"2011–2015",
IF(Table3[[#This Row],[Debut Year]]&lt;=2020,"2016–2020",
"2021–2025")))))</f>
        <v>1999–2000</v>
      </c>
      <c r="I114" s="10">
        <v>19090.400000000001</v>
      </c>
      <c r="J114" s="10">
        <v>17435.400000000001</v>
      </c>
      <c r="K114" s="10">
        <v>1662.4</v>
      </c>
      <c r="L114" s="4">
        <v>12211.1</v>
      </c>
      <c r="M114" s="6">
        <f>Table2[[#This Row],[% of Solo Streams]]/100</f>
        <v>0.63964610479999995</v>
      </c>
      <c r="N114" s="3">
        <v>6879.3</v>
      </c>
      <c r="O114" s="6">
        <f>Table2[[#This Row],[% of Collaborative Streams]]/100</f>
        <v>0.36035389520000005</v>
      </c>
      <c r="P114" s="4">
        <f>Table3[[#This Row],[Lead Streams (in millions)]]+Table3[[#This Row],[Feature Streams (in millions)]]</f>
        <v>19097.800000000003</v>
      </c>
      <c r="Q114" s="4">
        <f>_xlfn.RANK.EQ(Table3[[#This Row],[Total Stream]],Table3[Total Stream],0)</f>
        <v>113</v>
      </c>
      <c r="R114" s="4">
        <f>Table3[[#This Row],[Total Streams (in millions)]]-Table3[[#This Row],[Total Stream]]</f>
        <v>-7.4000000000014552</v>
      </c>
      <c r="S114" s="8">
        <f>IFERROR(Table3[[#This Row],[Collaborative Streams (in millions)]]/Table3[[#This Row],[Total Stream]],0)</f>
        <v>0.36021426551749414</v>
      </c>
      <c r="T114" t="str">
        <f>IF(Table3[[#This Row],[Total Streams (in millions)]]&gt;=50000,"High Performer",IF(Table3[[#This Row],[Total Streams (in millions)]]&gt;=20000,"Medium Performer","Low Performer"))</f>
        <v>Low Performer</v>
      </c>
    </row>
    <row r="115" spans="1:20" x14ac:dyDescent="0.3">
      <c r="A115" s="11" t="s">
        <v>171</v>
      </c>
      <c r="B115" s="11" t="s">
        <v>14</v>
      </c>
      <c r="C115" s="11" t="s">
        <v>42</v>
      </c>
      <c r="D115" s="11" t="s">
        <v>24</v>
      </c>
      <c r="E115" s="11" t="s">
        <v>82</v>
      </c>
      <c r="F115" s="11" t="s">
        <v>18</v>
      </c>
      <c r="G115" s="12">
        <v>2016</v>
      </c>
      <c r="H115" s="12" t="str">
        <f>IF(Table3[[#This Row],[Debut Year]]&lt;=2000,"1999–2000",
IF(Table3[[#This Row],[Debut Year]]&lt;=2005,"2001–2005",
IF(Table3[[#This Row],[Debut Year]]&lt;=2010,"2006–2010",
IF(Table3[[#This Row],[Debut Year]]&lt;=2015,"2011–2015",
IF(Table3[[#This Row],[Debut Year]]&lt;=2020,"2016–2020",
"2021–2025")))))</f>
        <v>2016–2020</v>
      </c>
      <c r="I115" s="12">
        <v>18912.7</v>
      </c>
      <c r="J115" s="12">
        <v>8490.9</v>
      </c>
      <c r="K115" s="12">
        <v>10429.4</v>
      </c>
      <c r="L115" s="4">
        <v>5716.7</v>
      </c>
      <c r="M115" s="6">
        <f>Table2[[#This Row],[% of Solo Streams]]/100</f>
        <v>0.30226778830000001</v>
      </c>
      <c r="N115" s="3">
        <v>13196</v>
      </c>
      <c r="O115" s="6">
        <f>Table2[[#This Row],[% of Collaborative Streams]]/100</f>
        <v>0.69773221169999999</v>
      </c>
      <c r="P115" s="4">
        <f>Table3[[#This Row],[Lead Streams (in millions)]]+Table3[[#This Row],[Feature Streams (in millions)]]</f>
        <v>18920.3</v>
      </c>
      <c r="Q115" s="4">
        <f>_xlfn.RANK.EQ(Table3[[#This Row],[Total Stream]],Table3[Total Stream],0)</f>
        <v>114</v>
      </c>
      <c r="R115" s="4">
        <f>Table3[[#This Row],[Total Streams (in millions)]]-Table3[[#This Row],[Total Stream]]</f>
        <v>-7.5999999999985448</v>
      </c>
      <c r="S115" s="8">
        <f>IFERROR(Table3[[#This Row],[Collaborative Streams (in millions)]]/Table3[[#This Row],[Total Stream]],0)</f>
        <v>0.69745194315100711</v>
      </c>
      <c r="T115" t="str">
        <f>IF(Table3[[#This Row],[Total Streams (in millions)]]&gt;=50000,"High Performer",IF(Table3[[#This Row],[Total Streams (in millions)]]&gt;=20000,"Medium Performer","Low Performer"))</f>
        <v>Low Performer</v>
      </c>
    </row>
    <row r="116" spans="1:20" x14ac:dyDescent="0.3">
      <c r="A116" s="9" t="s">
        <v>172</v>
      </c>
      <c r="B116" s="9" t="s">
        <v>14</v>
      </c>
      <c r="C116" s="9" t="s">
        <v>21</v>
      </c>
      <c r="D116" s="9" t="s">
        <v>16</v>
      </c>
      <c r="E116" s="9" t="s">
        <v>17</v>
      </c>
      <c r="F116" s="9" t="s">
        <v>18</v>
      </c>
      <c r="G116" s="10">
        <v>2016</v>
      </c>
      <c r="H116" s="10" t="str">
        <f>IF(Table3[[#This Row],[Debut Year]]&lt;=2000,"1999–2000",
IF(Table3[[#This Row],[Debut Year]]&lt;=2005,"2001–2005",
IF(Table3[[#This Row],[Debut Year]]&lt;=2010,"2006–2010",
IF(Table3[[#This Row],[Debut Year]]&lt;=2015,"2011–2015",
IF(Table3[[#This Row],[Debut Year]]&lt;=2020,"2016–2020",
"2021–2025")))))</f>
        <v>2016–2020</v>
      </c>
      <c r="I116" s="10">
        <v>18889.599999999999</v>
      </c>
      <c r="J116" s="10">
        <v>11762.8</v>
      </c>
      <c r="K116" s="10">
        <v>7126.8</v>
      </c>
      <c r="L116" s="4">
        <v>5822.1</v>
      </c>
      <c r="M116" s="6">
        <f>Table2[[#This Row],[% of Solo Streams]]/100</f>
        <v>0.30821722009999997</v>
      </c>
      <c r="N116" s="3">
        <v>13067.5</v>
      </c>
      <c r="O116" s="6">
        <f>Table2[[#This Row],[% of Collaborative Streams]]/100</f>
        <v>0.69178277990000003</v>
      </c>
      <c r="P116" s="4">
        <f>Table3[[#This Row],[Lead Streams (in millions)]]+Table3[[#This Row],[Feature Streams (in millions)]]</f>
        <v>18889.599999999999</v>
      </c>
      <c r="Q116" s="4">
        <f>_xlfn.RANK.EQ(Table3[[#This Row],[Total Stream]],Table3[Total Stream],0)</f>
        <v>115</v>
      </c>
      <c r="R116" s="4">
        <f>Table3[[#This Row],[Total Streams (in millions)]]-Table3[[#This Row],[Total Stream]]</f>
        <v>0</v>
      </c>
      <c r="S116" s="8">
        <f>IFERROR(Table3[[#This Row],[Collaborative Streams (in millions)]]/Table3[[#This Row],[Total Stream]],0)</f>
        <v>0.69178277994240223</v>
      </c>
      <c r="T116" t="str">
        <f>IF(Table3[[#This Row],[Total Streams (in millions)]]&gt;=50000,"High Performer",IF(Table3[[#This Row],[Total Streams (in millions)]]&gt;=20000,"Medium Performer","Low Performer"))</f>
        <v>Low Performer</v>
      </c>
    </row>
    <row r="117" spans="1:20" x14ac:dyDescent="0.3">
      <c r="A117" s="11" t="s">
        <v>173</v>
      </c>
      <c r="B117" s="11" t="s">
        <v>20</v>
      </c>
      <c r="C117" s="11" t="s">
        <v>15</v>
      </c>
      <c r="D117" s="11" t="s">
        <v>16</v>
      </c>
      <c r="E117" s="11" t="s">
        <v>22</v>
      </c>
      <c r="F117" s="11" t="s">
        <v>18</v>
      </c>
      <c r="G117" s="12">
        <v>2017</v>
      </c>
      <c r="H117" s="12" t="str">
        <f>IF(Table3[[#This Row],[Debut Year]]&lt;=2000,"1999–2000",
IF(Table3[[#This Row],[Debut Year]]&lt;=2005,"2001–2005",
IF(Table3[[#This Row],[Debut Year]]&lt;=2010,"2006–2010",
IF(Table3[[#This Row],[Debut Year]]&lt;=2015,"2011–2015",
IF(Table3[[#This Row],[Debut Year]]&lt;=2020,"2016–2020",
"2021–2025")))))</f>
        <v>2016–2020</v>
      </c>
      <c r="I117" s="12">
        <v>18707.3</v>
      </c>
      <c r="J117" s="12">
        <v>16893.7</v>
      </c>
      <c r="K117" s="12">
        <v>1823.3</v>
      </c>
      <c r="L117" s="4">
        <v>15280.9</v>
      </c>
      <c r="M117" s="6">
        <f>Table2[[#This Row],[% of Solo Streams]]/100</f>
        <v>0.81684155380000012</v>
      </c>
      <c r="N117" s="3">
        <v>3426.4</v>
      </c>
      <c r="O117" s="6">
        <f>Table2[[#This Row],[% of Collaborative Streams]]/100</f>
        <v>0.18315844619999999</v>
      </c>
      <c r="P117" s="4">
        <f>Table3[[#This Row],[Lead Streams (in millions)]]+Table3[[#This Row],[Feature Streams (in millions)]]</f>
        <v>18717</v>
      </c>
      <c r="Q117" s="4">
        <f>_xlfn.RANK.EQ(Table3[[#This Row],[Total Stream]],Table3[Total Stream],0)</f>
        <v>116</v>
      </c>
      <c r="R117" s="4">
        <f>Table3[[#This Row],[Total Streams (in millions)]]-Table3[[#This Row],[Total Stream]]</f>
        <v>-9.7000000000007276</v>
      </c>
      <c r="S117" s="8">
        <f>IFERROR(Table3[[#This Row],[Collaborative Streams (in millions)]]/Table3[[#This Row],[Total Stream]],0)</f>
        <v>0.18306352513757548</v>
      </c>
      <c r="T117" t="str">
        <f>IF(Table3[[#This Row],[Total Streams (in millions)]]&gt;=50000,"High Performer",IF(Table3[[#This Row],[Total Streams (in millions)]]&gt;=20000,"Medium Performer","Low Performer"))</f>
        <v>Low Performer</v>
      </c>
    </row>
    <row r="118" spans="1:20" x14ac:dyDescent="0.3">
      <c r="A118" s="9" t="s">
        <v>174</v>
      </c>
      <c r="B118" s="9" t="s">
        <v>14</v>
      </c>
      <c r="C118" s="9" t="s">
        <v>21</v>
      </c>
      <c r="D118" s="9" t="s">
        <v>16</v>
      </c>
      <c r="E118" s="9" t="s">
        <v>17</v>
      </c>
      <c r="F118" s="9" t="s">
        <v>18</v>
      </c>
      <c r="G118" s="10">
        <v>2014</v>
      </c>
      <c r="H118" s="10" t="str">
        <f>IF(Table3[[#This Row],[Debut Year]]&lt;=2000,"1999–2000",
IF(Table3[[#This Row],[Debut Year]]&lt;=2005,"2001–2005",
IF(Table3[[#This Row],[Debut Year]]&lt;=2010,"2006–2010",
IF(Table3[[#This Row],[Debut Year]]&lt;=2015,"2011–2015",
IF(Table3[[#This Row],[Debut Year]]&lt;=2020,"2016–2020",
"2021–2025")))))</f>
        <v>2011–2015</v>
      </c>
      <c r="I118" s="10">
        <v>18649.5</v>
      </c>
      <c r="J118" s="10">
        <v>17855.2</v>
      </c>
      <c r="K118" s="10">
        <v>801</v>
      </c>
      <c r="L118" s="4">
        <v>9452.7000000000007</v>
      </c>
      <c r="M118" s="6">
        <f>Table2[[#This Row],[% of Solo Streams]]/100</f>
        <v>0.50686077370000004</v>
      </c>
      <c r="N118" s="3">
        <v>9196.7999999999993</v>
      </c>
      <c r="O118" s="6">
        <f>Table2[[#This Row],[% of Collaborative Streams]]/100</f>
        <v>0.49313922630000001</v>
      </c>
      <c r="P118" s="4">
        <f>Table3[[#This Row],[Lead Streams (in millions)]]+Table3[[#This Row],[Feature Streams (in millions)]]</f>
        <v>18656.2</v>
      </c>
      <c r="Q118" s="4">
        <f>_xlfn.RANK.EQ(Table3[[#This Row],[Total Stream]],Table3[Total Stream],0)</f>
        <v>117</v>
      </c>
      <c r="R118" s="4">
        <f>Table3[[#This Row],[Total Streams (in millions)]]-Table3[[#This Row],[Total Stream]]</f>
        <v>-6.7000000000007276</v>
      </c>
      <c r="S118" s="8">
        <f>IFERROR(Table3[[#This Row],[Collaborative Streams (in millions)]]/Table3[[#This Row],[Total Stream]],0)</f>
        <v>0.49296212519162524</v>
      </c>
      <c r="T118" t="str">
        <f>IF(Table3[[#This Row],[Total Streams (in millions)]]&gt;=50000,"High Performer",IF(Table3[[#This Row],[Total Streams (in millions)]]&gt;=20000,"Medium Performer","Low Performer"))</f>
        <v>Low Performer</v>
      </c>
    </row>
    <row r="119" spans="1:20" x14ac:dyDescent="0.3">
      <c r="A119" s="11" t="s">
        <v>175</v>
      </c>
      <c r="B119" s="11" t="s">
        <v>14</v>
      </c>
      <c r="C119" s="11" t="s">
        <v>21</v>
      </c>
      <c r="D119" s="11" t="s">
        <v>16</v>
      </c>
      <c r="E119" s="11" t="s">
        <v>51</v>
      </c>
      <c r="F119" s="11" t="s">
        <v>48</v>
      </c>
      <c r="G119" s="12">
        <v>1983</v>
      </c>
      <c r="H119" s="12" t="str">
        <f>IF(Table3[[#This Row],[Debut Year]]&lt;=2000,"1999–2000",
IF(Table3[[#This Row],[Debut Year]]&lt;=2005,"2001–2005",
IF(Table3[[#This Row],[Debut Year]]&lt;=2010,"2006–2010",
IF(Table3[[#This Row],[Debut Year]]&lt;=2015,"2011–2015",
IF(Table3[[#This Row],[Debut Year]]&lt;=2020,"2016–2020",
"2021–2025")))))</f>
        <v>1999–2000</v>
      </c>
      <c r="I119" s="12">
        <v>18627</v>
      </c>
      <c r="J119" s="12">
        <v>18557</v>
      </c>
      <c r="K119" s="12">
        <v>77.900000000000006</v>
      </c>
      <c r="L119" s="4">
        <v>18283.099999999999</v>
      </c>
      <c r="M119" s="6">
        <f>Table2[[#This Row],[% of Solo Streams]]/100</f>
        <v>0.98153755300000001</v>
      </c>
      <c r="N119" s="3">
        <v>343.9</v>
      </c>
      <c r="O119" s="6">
        <f>Table2[[#This Row],[% of Collaborative Streams]]/100</f>
        <v>1.8462446990000003E-2</v>
      </c>
      <c r="P119" s="4">
        <f>Table3[[#This Row],[Lead Streams (in millions)]]+Table3[[#This Row],[Feature Streams (in millions)]]</f>
        <v>18634.900000000001</v>
      </c>
      <c r="Q119" s="4">
        <f>_xlfn.RANK.EQ(Table3[[#This Row],[Total Stream]],Table3[Total Stream],0)</f>
        <v>118</v>
      </c>
      <c r="R119" s="4">
        <f>Table3[[#This Row],[Total Streams (in millions)]]-Table3[[#This Row],[Total Stream]]</f>
        <v>-7.9000000000014552</v>
      </c>
      <c r="S119" s="8">
        <f>IFERROR(Table3[[#This Row],[Collaborative Streams (in millions)]]/Table3[[#This Row],[Total Stream]],0)</f>
        <v>1.8454620094553766E-2</v>
      </c>
      <c r="T119" t="str">
        <f>IF(Table3[[#This Row],[Total Streams (in millions)]]&gt;=50000,"High Performer",IF(Table3[[#This Row],[Total Streams (in millions)]]&gt;=20000,"Medium Performer","Low Performer"))</f>
        <v>Low Performer</v>
      </c>
    </row>
    <row r="120" spans="1:20" x14ac:dyDescent="0.3">
      <c r="A120" s="9" t="s">
        <v>176</v>
      </c>
      <c r="B120" s="9" t="s">
        <v>14</v>
      </c>
      <c r="C120" s="9" t="s">
        <v>21</v>
      </c>
      <c r="D120" s="9" t="s">
        <v>24</v>
      </c>
      <c r="E120" s="9" t="s">
        <v>25</v>
      </c>
      <c r="F120" s="9" t="s">
        <v>18</v>
      </c>
      <c r="G120" s="10">
        <v>2003</v>
      </c>
      <c r="H120" s="10" t="str">
        <f>IF(Table3[[#This Row],[Debut Year]]&lt;=2000,"1999–2000",
IF(Table3[[#This Row],[Debut Year]]&lt;=2005,"2001–2005",
IF(Table3[[#This Row],[Debut Year]]&lt;=2010,"2006–2010",
IF(Table3[[#This Row],[Debut Year]]&lt;=2015,"2011–2015",
IF(Table3[[#This Row],[Debut Year]]&lt;=2020,"2016–2020",
"2021–2025")))))</f>
        <v>2001–2005</v>
      </c>
      <c r="I120" s="10">
        <v>18580.599999999999</v>
      </c>
      <c r="J120" s="10">
        <v>14990.8</v>
      </c>
      <c r="K120" s="10">
        <v>3601.2</v>
      </c>
      <c r="L120" s="4">
        <v>8321.9</v>
      </c>
      <c r="M120" s="6">
        <f>Table2[[#This Row],[% of Solo Streams]]/100</f>
        <v>0.44788112329999996</v>
      </c>
      <c r="N120" s="3">
        <v>10258.700000000001</v>
      </c>
      <c r="O120" s="6">
        <f>Table2[[#This Row],[% of Collaborative Streams]]/100</f>
        <v>0.55211887670000004</v>
      </c>
      <c r="P120" s="4">
        <f>Table3[[#This Row],[Lead Streams (in millions)]]+Table3[[#This Row],[Feature Streams (in millions)]]</f>
        <v>18592</v>
      </c>
      <c r="Q120" s="4">
        <f>_xlfn.RANK.EQ(Table3[[#This Row],[Total Stream]],Table3[Total Stream],0)</f>
        <v>119</v>
      </c>
      <c r="R120" s="4">
        <f>Table3[[#This Row],[Total Streams (in millions)]]-Table3[[#This Row],[Total Stream]]</f>
        <v>-11.400000000001455</v>
      </c>
      <c r="S120" s="8">
        <f>IFERROR(Table3[[#This Row],[Collaborative Streams (in millions)]]/Table3[[#This Row],[Total Stream]],0)</f>
        <v>0.55178033562822726</v>
      </c>
      <c r="T120" t="str">
        <f>IF(Table3[[#This Row],[Total Streams (in millions)]]&gt;=50000,"High Performer",IF(Table3[[#This Row],[Total Streams (in millions)]]&gt;=20000,"Medium Performer","Low Performer"))</f>
        <v>Low Performer</v>
      </c>
    </row>
    <row r="121" spans="1:20" x14ac:dyDescent="0.3">
      <c r="A121" s="11" t="s">
        <v>177</v>
      </c>
      <c r="B121" s="11" t="s">
        <v>14</v>
      </c>
      <c r="C121" s="11" t="s">
        <v>21</v>
      </c>
      <c r="D121" s="11" t="s">
        <v>16</v>
      </c>
      <c r="E121" s="11" t="s">
        <v>27</v>
      </c>
      <c r="F121" s="11" t="s">
        <v>18</v>
      </c>
      <c r="G121" s="12">
        <v>1994</v>
      </c>
      <c r="H121" s="12" t="str">
        <f>IF(Table3[[#This Row],[Debut Year]]&lt;=2000,"1999–2000",
IF(Table3[[#This Row],[Debut Year]]&lt;=2005,"2001–2005",
IF(Table3[[#This Row],[Debut Year]]&lt;=2010,"2006–2010",
IF(Table3[[#This Row],[Debut Year]]&lt;=2015,"2011–2015",
IF(Table3[[#This Row],[Debut Year]]&lt;=2020,"2016–2020",
"2021–2025")))))</f>
        <v>1999–2000</v>
      </c>
      <c r="I121" s="12">
        <v>18413.2</v>
      </c>
      <c r="J121" s="12">
        <v>12525.4</v>
      </c>
      <c r="K121" s="12">
        <v>5896.3</v>
      </c>
      <c r="L121" s="4">
        <v>5222.1000000000004</v>
      </c>
      <c r="M121" s="6">
        <f>Table2[[#This Row],[% of Solo Streams]]/100</f>
        <v>0.28360632590000001</v>
      </c>
      <c r="N121" s="3">
        <v>13191.1</v>
      </c>
      <c r="O121" s="6">
        <f>Table2[[#This Row],[% of Collaborative Streams]]/100</f>
        <v>0.7163936741000001</v>
      </c>
      <c r="P121" s="4">
        <f>Table3[[#This Row],[Lead Streams (in millions)]]+Table3[[#This Row],[Feature Streams (in millions)]]</f>
        <v>18421.7</v>
      </c>
      <c r="Q121" s="4">
        <f>_xlfn.RANK.EQ(Table3[[#This Row],[Total Stream]],Table3[Total Stream],0)</f>
        <v>120</v>
      </c>
      <c r="R121" s="4">
        <f>Table3[[#This Row],[Total Streams (in millions)]]-Table3[[#This Row],[Total Stream]]</f>
        <v>-8.5</v>
      </c>
      <c r="S121" s="8">
        <f>IFERROR(Table3[[#This Row],[Collaborative Streams (in millions)]]/Table3[[#This Row],[Total Stream]],0)</f>
        <v>0.71606312121031179</v>
      </c>
      <c r="T121" t="str">
        <f>IF(Table3[[#This Row],[Total Streams (in millions)]]&gt;=50000,"High Performer",IF(Table3[[#This Row],[Total Streams (in millions)]]&gt;=20000,"Medium Performer","Low Performer"))</f>
        <v>Low Performer</v>
      </c>
    </row>
    <row r="122" spans="1:20" x14ac:dyDescent="0.3">
      <c r="A122" s="9" t="s">
        <v>178</v>
      </c>
      <c r="B122" s="9" t="s">
        <v>14</v>
      </c>
      <c r="C122" s="9" t="s">
        <v>21</v>
      </c>
      <c r="D122" s="9" t="s">
        <v>16</v>
      </c>
      <c r="E122" s="9" t="s">
        <v>22</v>
      </c>
      <c r="F122" s="9" t="s">
        <v>18</v>
      </c>
      <c r="G122" s="10">
        <v>2015</v>
      </c>
      <c r="H122" s="10" t="str">
        <f>IF(Table3[[#This Row],[Debut Year]]&lt;=2000,"1999–2000",
IF(Table3[[#This Row],[Debut Year]]&lt;=2005,"2001–2005",
IF(Table3[[#This Row],[Debut Year]]&lt;=2010,"2006–2010",
IF(Table3[[#This Row],[Debut Year]]&lt;=2015,"2011–2015",
IF(Table3[[#This Row],[Debut Year]]&lt;=2020,"2016–2020",
"2021–2025")))))</f>
        <v>2011–2015</v>
      </c>
      <c r="I122" s="10">
        <v>18309.3</v>
      </c>
      <c r="J122" s="10">
        <v>14642.3</v>
      </c>
      <c r="K122" s="10">
        <v>3673.3</v>
      </c>
      <c r="L122" s="4">
        <v>8613.7000000000007</v>
      </c>
      <c r="M122" s="6">
        <f>Table2[[#This Row],[% of Solo Streams]]/100</f>
        <v>0.47045490540000001</v>
      </c>
      <c r="N122" s="3">
        <v>9695.6</v>
      </c>
      <c r="O122" s="6">
        <f>Table2[[#This Row],[% of Collaborative Streams]]/100</f>
        <v>0.52954509459999999</v>
      </c>
      <c r="P122" s="4">
        <f>Table3[[#This Row],[Lead Streams (in millions)]]+Table3[[#This Row],[Feature Streams (in millions)]]</f>
        <v>18315.599999999999</v>
      </c>
      <c r="Q122" s="4">
        <f>_xlfn.RANK.EQ(Table3[[#This Row],[Total Stream]],Table3[Total Stream],0)</f>
        <v>121</v>
      </c>
      <c r="R122" s="4">
        <f>Table3[[#This Row],[Total Streams (in millions)]]-Table3[[#This Row],[Total Stream]]</f>
        <v>-6.2999999999992724</v>
      </c>
      <c r="S122" s="8">
        <f>IFERROR(Table3[[#This Row],[Collaborative Streams (in millions)]]/Table3[[#This Row],[Total Stream]],0)</f>
        <v>0.52936294743278955</v>
      </c>
      <c r="T122" t="str">
        <f>IF(Table3[[#This Row],[Total Streams (in millions)]]&gt;=50000,"High Performer",IF(Table3[[#This Row],[Total Streams (in millions)]]&gt;=20000,"Medium Performer","Low Performer"))</f>
        <v>Low Performer</v>
      </c>
    </row>
    <row r="123" spans="1:20" x14ac:dyDescent="0.3">
      <c r="A123" s="11" t="s">
        <v>179</v>
      </c>
      <c r="B123" s="11" t="s">
        <v>14</v>
      </c>
      <c r="C123" s="11" t="s">
        <v>21</v>
      </c>
      <c r="D123" s="11" t="s">
        <v>16</v>
      </c>
      <c r="E123" s="11" t="s">
        <v>22</v>
      </c>
      <c r="F123" s="11" t="s">
        <v>18</v>
      </c>
      <c r="G123" s="12">
        <v>2002</v>
      </c>
      <c r="H123" s="12" t="str">
        <f>IF(Table3[[#This Row],[Debut Year]]&lt;=2000,"1999–2000",
IF(Table3[[#This Row],[Debut Year]]&lt;=2005,"2001–2005",
IF(Table3[[#This Row],[Debut Year]]&lt;=2010,"2006–2010",
IF(Table3[[#This Row],[Debut Year]]&lt;=2015,"2011–2015",
IF(Table3[[#This Row],[Debut Year]]&lt;=2020,"2016–2020",
"2021–2025")))))</f>
        <v>2001–2005</v>
      </c>
      <c r="I123" s="12">
        <v>18270.8</v>
      </c>
      <c r="J123" s="12">
        <v>13165.8</v>
      </c>
      <c r="K123" s="12">
        <v>5114.8999999999996</v>
      </c>
      <c r="L123" s="4">
        <v>8899.2000000000007</v>
      </c>
      <c r="M123" s="6">
        <f>Table2[[#This Row],[% of Solo Streams]]/100</f>
        <v>0.48707226830000006</v>
      </c>
      <c r="N123" s="3">
        <v>9371.6</v>
      </c>
      <c r="O123" s="6">
        <f>Table2[[#This Row],[% of Collaborative Streams]]/100</f>
        <v>0.51292773169999994</v>
      </c>
      <c r="P123" s="4">
        <f>Table3[[#This Row],[Lead Streams (in millions)]]+Table3[[#This Row],[Feature Streams (in millions)]]</f>
        <v>18280.699999999997</v>
      </c>
      <c r="Q123" s="4">
        <f>_xlfn.RANK.EQ(Table3[[#This Row],[Total Stream]],Table3[Total Stream],0)</f>
        <v>122</v>
      </c>
      <c r="R123" s="4">
        <f>Table3[[#This Row],[Total Streams (in millions)]]-Table3[[#This Row],[Total Stream]]</f>
        <v>-9.8999999999978172</v>
      </c>
      <c r="S123" s="8">
        <f>IFERROR(Table3[[#This Row],[Collaborative Streams (in millions)]]/Table3[[#This Row],[Total Stream]],0)</f>
        <v>0.51264995322936224</v>
      </c>
      <c r="T123" t="str">
        <f>IF(Table3[[#This Row],[Total Streams (in millions)]]&gt;=50000,"High Performer",IF(Table3[[#This Row],[Total Streams (in millions)]]&gt;=20000,"Medium Performer","Low Performer"))</f>
        <v>Low Performer</v>
      </c>
    </row>
    <row r="124" spans="1:20" x14ac:dyDescent="0.3">
      <c r="A124" s="9" t="s">
        <v>180</v>
      </c>
      <c r="B124" s="9" t="s">
        <v>14</v>
      </c>
      <c r="C124" s="9" t="s">
        <v>181</v>
      </c>
      <c r="D124" s="9" t="s">
        <v>16</v>
      </c>
      <c r="E124" s="9" t="s">
        <v>60</v>
      </c>
      <c r="F124" s="9" t="s">
        <v>18</v>
      </c>
      <c r="G124" s="10">
        <v>1994</v>
      </c>
      <c r="H124" s="10" t="str">
        <f>IF(Table3[[#This Row],[Debut Year]]&lt;=2000,"1999–2000",
IF(Table3[[#This Row],[Debut Year]]&lt;=2005,"2001–2005",
IF(Table3[[#This Row],[Debut Year]]&lt;=2010,"2006–2010",
IF(Table3[[#This Row],[Debut Year]]&lt;=2015,"2011–2015",
IF(Table3[[#This Row],[Debut Year]]&lt;=2020,"2016–2020",
"2021–2025")))))</f>
        <v>1999–2000</v>
      </c>
      <c r="I124" s="10">
        <v>18217.099999999999</v>
      </c>
      <c r="J124" s="10">
        <v>13653.1</v>
      </c>
      <c r="K124" s="10">
        <v>4569.1000000000004</v>
      </c>
      <c r="L124" s="4">
        <v>3490.5</v>
      </c>
      <c r="M124" s="6">
        <f>Table2[[#This Row],[% of Solo Streams]]/100</f>
        <v>0.19160568919999998</v>
      </c>
      <c r="N124" s="3">
        <v>14726.6</v>
      </c>
      <c r="O124" s="6">
        <f>Table2[[#This Row],[% of Collaborative Streams]]/100</f>
        <v>0.80839431080000002</v>
      </c>
      <c r="P124" s="4">
        <f>Table3[[#This Row],[Lead Streams (in millions)]]+Table3[[#This Row],[Feature Streams (in millions)]]</f>
        <v>18222.2</v>
      </c>
      <c r="Q124" s="4">
        <f>_xlfn.RANK.EQ(Table3[[#This Row],[Total Stream]],Table3[Total Stream],0)</f>
        <v>123</v>
      </c>
      <c r="R124" s="4">
        <f>Table3[[#This Row],[Total Streams (in millions)]]-Table3[[#This Row],[Total Stream]]</f>
        <v>-5.1000000000021828</v>
      </c>
      <c r="S124" s="8">
        <f>IFERROR(Table3[[#This Row],[Collaborative Streams (in millions)]]/Table3[[#This Row],[Total Stream]],0)</f>
        <v>0.80816805874153508</v>
      </c>
      <c r="T124" t="str">
        <f>IF(Table3[[#This Row],[Total Streams (in millions)]]&gt;=50000,"High Performer",IF(Table3[[#This Row],[Total Streams (in millions)]]&gt;=20000,"Medium Performer","Low Performer"))</f>
        <v>Low Performer</v>
      </c>
    </row>
    <row r="125" spans="1:20" x14ac:dyDescent="0.3">
      <c r="A125" s="11" t="s">
        <v>182</v>
      </c>
      <c r="B125" s="11" t="s">
        <v>14</v>
      </c>
      <c r="C125" s="11" t="s">
        <v>183</v>
      </c>
      <c r="D125" s="11" t="s">
        <v>16</v>
      </c>
      <c r="E125" s="11" t="s">
        <v>184</v>
      </c>
      <c r="F125" s="11" t="s">
        <v>18</v>
      </c>
      <c r="G125" s="12">
        <v>1996</v>
      </c>
      <c r="H125" s="12" t="str">
        <f>IF(Table3[[#This Row],[Debut Year]]&lt;=2000,"1999–2000",
IF(Table3[[#This Row],[Debut Year]]&lt;=2005,"2001–2005",
IF(Table3[[#This Row],[Debut Year]]&lt;=2010,"2006–2010",
IF(Table3[[#This Row],[Debut Year]]&lt;=2015,"2011–2015",
IF(Table3[[#This Row],[Debut Year]]&lt;=2020,"2016–2020",
"2021–2025")))))</f>
        <v>1999–2000</v>
      </c>
      <c r="I125" s="12">
        <v>18203.3</v>
      </c>
      <c r="J125" s="12">
        <v>9674.9</v>
      </c>
      <c r="K125" s="12">
        <v>8539.4</v>
      </c>
      <c r="L125" s="4">
        <v>4460.6000000000004</v>
      </c>
      <c r="M125" s="6">
        <f>Table2[[#This Row],[% of Solo Streams]]/100</f>
        <v>0.24504348109999999</v>
      </c>
      <c r="N125" s="3">
        <v>13742.7</v>
      </c>
      <c r="O125" s="6">
        <f>Table2[[#This Row],[% of Collaborative Streams]]/100</f>
        <v>0.75495651890000004</v>
      </c>
      <c r="P125" s="4">
        <f>Table3[[#This Row],[Lead Streams (in millions)]]+Table3[[#This Row],[Feature Streams (in millions)]]</f>
        <v>18214.3</v>
      </c>
      <c r="Q125" s="4">
        <f>_xlfn.RANK.EQ(Table3[[#This Row],[Total Stream]],Table3[Total Stream],0)</f>
        <v>124</v>
      </c>
      <c r="R125" s="4">
        <f>Table3[[#This Row],[Total Streams (in millions)]]-Table3[[#This Row],[Total Stream]]</f>
        <v>-11</v>
      </c>
      <c r="S125" s="8">
        <f>IFERROR(Table3[[#This Row],[Collaborative Streams (in millions)]]/Table3[[#This Row],[Total Stream]],0)</f>
        <v>0.7545005847054238</v>
      </c>
      <c r="T125" t="str">
        <f>IF(Table3[[#This Row],[Total Streams (in millions)]]&gt;=50000,"High Performer",IF(Table3[[#This Row],[Total Streams (in millions)]]&gt;=20000,"Medium Performer","Low Performer"))</f>
        <v>Low Performer</v>
      </c>
    </row>
    <row r="126" spans="1:20" x14ac:dyDescent="0.3">
      <c r="A126" s="9" t="s">
        <v>185</v>
      </c>
      <c r="B126" s="9" t="s">
        <v>14</v>
      </c>
      <c r="C126" s="9" t="s">
        <v>21</v>
      </c>
      <c r="D126" s="9" t="s">
        <v>16</v>
      </c>
      <c r="E126" s="9" t="s">
        <v>17</v>
      </c>
      <c r="F126" s="9" t="s">
        <v>18</v>
      </c>
      <c r="G126" s="10">
        <v>2008</v>
      </c>
      <c r="H126" s="10" t="str">
        <f>IF(Table3[[#This Row],[Debut Year]]&lt;=2000,"1999–2000",
IF(Table3[[#This Row],[Debut Year]]&lt;=2005,"2001–2005",
IF(Table3[[#This Row],[Debut Year]]&lt;=2010,"2006–2010",
IF(Table3[[#This Row],[Debut Year]]&lt;=2015,"2011–2015",
IF(Table3[[#This Row],[Debut Year]]&lt;=2020,"2016–2020",
"2021–2025")))))</f>
        <v>2006–2010</v>
      </c>
      <c r="I126" s="10">
        <v>18064.3</v>
      </c>
      <c r="J126" s="10">
        <v>7403</v>
      </c>
      <c r="K126" s="10">
        <v>10664.8</v>
      </c>
      <c r="L126" s="4">
        <v>2757.4</v>
      </c>
      <c r="M126" s="6">
        <f>Table2[[#This Row],[% of Solo Streams]]/100</f>
        <v>0.15264361199999998</v>
      </c>
      <c r="N126" s="3">
        <v>15306.9</v>
      </c>
      <c r="O126" s="6">
        <f>Table2[[#This Row],[% of Collaborative Streams]]/100</f>
        <v>0.84735638800000002</v>
      </c>
      <c r="P126" s="4">
        <f>Table3[[#This Row],[Lead Streams (in millions)]]+Table3[[#This Row],[Feature Streams (in millions)]]</f>
        <v>18067.8</v>
      </c>
      <c r="Q126" s="4">
        <f>_xlfn.RANK.EQ(Table3[[#This Row],[Total Stream]],Table3[Total Stream],0)</f>
        <v>125</v>
      </c>
      <c r="R126" s="4">
        <f>Table3[[#This Row],[Total Streams (in millions)]]-Table3[[#This Row],[Total Stream]]</f>
        <v>-3.5</v>
      </c>
      <c r="S126" s="8">
        <f>IFERROR(Table3[[#This Row],[Collaborative Streams (in millions)]]/Table3[[#This Row],[Total Stream]],0)</f>
        <v>0.84719224255305015</v>
      </c>
      <c r="T126" t="str">
        <f>IF(Table3[[#This Row],[Total Streams (in millions)]]&gt;=50000,"High Performer",IF(Table3[[#This Row],[Total Streams (in millions)]]&gt;=20000,"Medium Performer","Low Performer"))</f>
        <v>Low Performer</v>
      </c>
    </row>
    <row r="127" spans="1:20" x14ac:dyDescent="0.3">
      <c r="A127" s="11" t="s">
        <v>186</v>
      </c>
      <c r="B127" s="11" t="s">
        <v>20</v>
      </c>
      <c r="C127" s="11" t="s">
        <v>42</v>
      </c>
      <c r="D127" s="11" t="s">
        <v>16</v>
      </c>
      <c r="E127" s="11" t="s">
        <v>27</v>
      </c>
      <c r="F127" s="11" t="s">
        <v>18</v>
      </c>
      <c r="G127" s="12">
        <v>2012</v>
      </c>
      <c r="H127" s="12" t="str">
        <f>IF(Table3[[#This Row],[Debut Year]]&lt;=2000,"1999–2000",
IF(Table3[[#This Row],[Debut Year]]&lt;=2005,"2001–2005",
IF(Table3[[#This Row],[Debut Year]]&lt;=2010,"2006–2010",
IF(Table3[[#This Row],[Debut Year]]&lt;=2015,"2011–2015",
IF(Table3[[#This Row],[Debut Year]]&lt;=2020,"2016–2020",
"2021–2025")))))</f>
        <v>2011–2015</v>
      </c>
      <c r="I127" s="12">
        <v>18005.3</v>
      </c>
      <c r="J127" s="12">
        <v>10367</v>
      </c>
      <c r="K127" s="12">
        <v>7646.6</v>
      </c>
      <c r="L127" s="4">
        <v>7259.1</v>
      </c>
      <c r="M127" s="6">
        <f>Table2[[#This Row],[% of Solo Streams]]/100</f>
        <v>0.40316462370000006</v>
      </c>
      <c r="N127" s="3">
        <v>10746.2</v>
      </c>
      <c r="O127" s="6">
        <f>Table2[[#This Row],[% of Collaborative Streams]]/100</f>
        <v>0.59683537629999994</v>
      </c>
      <c r="P127" s="4">
        <f>Table3[[#This Row],[Lead Streams (in millions)]]+Table3[[#This Row],[Feature Streams (in millions)]]</f>
        <v>18013.599999999999</v>
      </c>
      <c r="Q127" s="4">
        <f>_xlfn.RANK.EQ(Table3[[#This Row],[Total Stream]],Table3[Total Stream],0)</f>
        <v>126</v>
      </c>
      <c r="R127" s="4">
        <f>Table3[[#This Row],[Total Streams (in millions)]]-Table3[[#This Row],[Total Stream]]</f>
        <v>-8.2999999999992724</v>
      </c>
      <c r="S127" s="8">
        <f>IFERROR(Table3[[#This Row],[Collaborative Streams (in millions)]]/Table3[[#This Row],[Total Stream]],0)</f>
        <v>0.59656037660434347</v>
      </c>
      <c r="T127" t="str">
        <f>IF(Table3[[#This Row],[Total Streams (in millions)]]&gt;=50000,"High Performer",IF(Table3[[#This Row],[Total Streams (in millions)]]&gt;=20000,"Medium Performer","Low Performer"))</f>
        <v>Low Performer</v>
      </c>
    </row>
    <row r="128" spans="1:20" x14ac:dyDescent="0.3">
      <c r="A128" s="9" t="s">
        <v>187</v>
      </c>
      <c r="B128" s="9" t="s">
        <v>14</v>
      </c>
      <c r="C128" s="9" t="s">
        <v>21</v>
      </c>
      <c r="D128" s="9" t="s">
        <v>16</v>
      </c>
      <c r="E128" s="9" t="s">
        <v>17</v>
      </c>
      <c r="F128" s="9" t="s">
        <v>18</v>
      </c>
      <c r="G128" s="10">
        <v>2009</v>
      </c>
      <c r="H128" s="10" t="str">
        <f>IF(Table3[[#This Row],[Debut Year]]&lt;=2000,"1999–2000",
IF(Table3[[#This Row],[Debut Year]]&lt;=2005,"2001–2005",
IF(Table3[[#This Row],[Debut Year]]&lt;=2010,"2006–2010",
IF(Table3[[#This Row],[Debut Year]]&lt;=2015,"2011–2015",
IF(Table3[[#This Row],[Debut Year]]&lt;=2020,"2016–2020",
"2021–2025")))))</f>
        <v>2006–2010</v>
      </c>
      <c r="I128" s="10">
        <v>17738.8</v>
      </c>
      <c r="J128" s="10">
        <v>11748.1</v>
      </c>
      <c r="K128" s="10">
        <v>5997.1</v>
      </c>
      <c r="L128" s="4">
        <v>7693.4</v>
      </c>
      <c r="M128" s="6">
        <f>Table2[[#This Row],[% of Solo Streams]]/100</f>
        <v>0.43370464740000003</v>
      </c>
      <c r="N128" s="3">
        <v>10045.4</v>
      </c>
      <c r="O128" s="6">
        <f>Table2[[#This Row],[% of Collaborative Streams]]/100</f>
        <v>0.56629535259999997</v>
      </c>
      <c r="P128" s="4">
        <f>Table3[[#This Row],[Lead Streams (in millions)]]+Table3[[#This Row],[Feature Streams (in millions)]]</f>
        <v>17745.2</v>
      </c>
      <c r="Q128" s="4">
        <f>_xlfn.RANK.EQ(Table3[[#This Row],[Total Stream]],Table3[Total Stream],0)</f>
        <v>127</v>
      </c>
      <c r="R128" s="4">
        <f>Table3[[#This Row],[Total Streams (in millions)]]-Table3[[#This Row],[Total Stream]]</f>
        <v>-6.4000000000014552</v>
      </c>
      <c r="S128" s="8">
        <f>IFERROR(Table3[[#This Row],[Collaborative Streams (in millions)]]/Table3[[#This Row],[Total Stream]],0)</f>
        <v>0.56609111196267159</v>
      </c>
      <c r="T128" t="str">
        <f>IF(Table3[[#This Row],[Total Streams (in millions)]]&gt;=50000,"High Performer",IF(Table3[[#This Row],[Total Streams (in millions)]]&gt;=20000,"Medium Performer","Low Performer"))</f>
        <v>Low Performer</v>
      </c>
    </row>
    <row r="129" spans="1:20" x14ac:dyDescent="0.3">
      <c r="A129" s="11" t="s">
        <v>188</v>
      </c>
      <c r="B129" s="11" t="s">
        <v>14</v>
      </c>
      <c r="C129" s="11" t="s">
        <v>21</v>
      </c>
      <c r="D129" s="11" t="s">
        <v>16</v>
      </c>
      <c r="E129" s="11" t="s">
        <v>22</v>
      </c>
      <c r="F129" s="11" t="s">
        <v>18</v>
      </c>
      <c r="G129" s="12">
        <v>2009</v>
      </c>
      <c r="H129" s="12" t="str">
        <f>IF(Table3[[#This Row],[Debut Year]]&lt;=2000,"1999–2000",
IF(Table3[[#This Row],[Debut Year]]&lt;=2005,"2001–2005",
IF(Table3[[#This Row],[Debut Year]]&lt;=2010,"2006–2010",
IF(Table3[[#This Row],[Debut Year]]&lt;=2015,"2011–2015",
IF(Table3[[#This Row],[Debut Year]]&lt;=2020,"2016–2020",
"2021–2025")))))</f>
        <v>2006–2010</v>
      </c>
      <c r="I129" s="12">
        <v>17720.2</v>
      </c>
      <c r="J129" s="12">
        <v>13610.1</v>
      </c>
      <c r="K129" s="12">
        <v>4116.2</v>
      </c>
      <c r="L129" s="4">
        <v>8342.7000000000007</v>
      </c>
      <c r="M129" s="6">
        <f>Table2[[#This Row],[% of Solo Streams]]/100</f>
        <v>0.470801684</v>
      </c>
      <c r="N129" s="3">
        <v>9377.5</v>
      </c>
      <c r="O129" s="6">
        <f>Table2[[#This Row],[% of Collaborative Streams]]/100</f>
        <v>0.529198316</v>
      </c>
      <c r="P129" s="4">
        <f>Table3[[#This Row],[Lead Streams (in millions)]]+Table3[[#This Row],[Feature Streams (in millions)]]</f>
        <v>17726.3</v>
      </c>
      <c r="Q129" s="4">
        <f>_xlfn.RANK.EQ(Table3[[#This Row],[Total Stream]],Table3[Total Stream],0)</f>
        <v>128</v>
      </c>
      <c r="R129" s="4">
        <f>Table3[[#This Row],[Total Streams (in millions)]]-Table3[[#This Row],[Total Stream]]</f>
        <v>-6.0999999999985448</v>
      </c>
      <c r="S129" s="8">
        <f>IFERROR(Table3[[#This Row],[Collaborative Streams (in millions)]]/Table3[[#This Row],[Total Stream]],0)</f>
        <v>0.52901620755600443</v>
      </c>
      <c r="T129" t="str">
        <f>IF(Table3[[#This Row],[Total Streams (in millions)]]&gt;=50000,"High Performer",IF(Table3[[#This Row],[Total Streams (in millions)]]&gt;=20000,"Medium Performer","Low Performer"))</f>
        <v>Low Performer</v>
      </c>
    </row>
    <row r="130" spans="1:20" x14ac:dyDescent="0.3">
      <c r="A130" s="9" t="s">
        <v>189</v>
      </c>
      <c r="B130" s="9" t="s">
        <v>20</v>
      </c>
      <c r="C130" s="9" t="s">
        <v>45</v>
      </c>
      <c r="D130" s="9" t="s">
        <v>46</v>
      </c>
      <c r="E130" s="9" t="s">
        <v>47</v>
      </c>
      <c r="F130" s="9" t="s">
        <v>48</v>
      </c>
      <c r="G130" s="10">
        <v>2016</v>
      </c>
      <c r="H130" s="10" t="str">
        <f>IF(Table3[[#This Row],[Debut Year]]&lt;=2000,"1999–2000",
IF(Table3[[#This Row],[Debut Year]]&lt;=2005,"2001–2005",
IF(Table3[[#This Row],[Debut Year]]&lt;=2010,"2006–2010",
IF(Table3[[#This Row],[Debut Year]]&lt;=2015,"2011–2015",
IF(Table3[[#This Row],[Debut Year]]&lt;=2020,"2016–2020",
"2021–2025")))))</f>
        <v>2016–2020</v>
      </c>
      <c r="I130" s="10">
        <v>17517.400000000001</v>
      </c>
      <c r="J130" s="10">
        <v>7595.2</v>
      </c>
      <c r="K130" s="10">
        <v>9927.7999999999993</v>
      </c>
      <c r="L130" s="4">
        <v>15415.4</v>
      </c>
      <c r="M130" s="6">
        <f>Table2[[#This Row],[% of Solo Streams]]/100</f>
        <v>0.88000502359999999</v>
      </c>
      <c r="N130" s="3">
        <v>2102</v>
      </c>
      <c r="O130" s="6">
        <f>Table2[[#This Row],[% of Collaborative Streams]]/100</f>
        <v>0.11999497639999999</v>
      </c>
      <c r="P130" s="4">
        <f>Table3[[#This Row],[Lead Streams (in millions)]]+Table3[[#This Row],[Feature Streams (in millions)]]</f>
        <v>17523</v>
      </c>
      <c r="Q130" s="4">
        <f>_xlfn.RANK.EQ(Table3[[#This Row],[Total Stream]],Table3[Total Stream],0)</f>
        <v>129</v>
      </c>
      <c r="R130" s="4">
        <f>Table3[[#This Row],[Total Streams (in millions)]]-Table3[[#This Row],[Total Stream]]</f>
        <v>-5.5999999999985448</v>
      </c>
      <c r="S130" s="8">
        <f>IFERROR(Table3[[#This Row],[Collaborative Streams (in millions)]]/Table3[[#This Row],[Total Stream]],0)</f>
        <v>0.11995662843120471</v>
      </c>
      <c r="T130" t="str">
        <f>IF(Table3[[#This Row],[Total Streams (in millions)]]&gt;=50000,"High Performer",IF(Table3[[#This Row],[Total Streams (in millions)]]&gt;=20000,"Medium Performer","Low Performer"))</f>
        <v>Low Performer</v>
      </c>
    </row>
    <row r="131" spans="1:20" x14ac:dyDescent="0.3">
      <c r="A131" s="11" t="s">
        <v>190</v>
      </c>
      <c r="B131" s="11" t="s">
        <v>14</v>
      </c>
      <c r="C131" s="11" t="s">
        <v>21</v>
      </c>
      <c r="D131" s="11" t="s">
        <v>24</v>
      </c>
      <c r="E131" s="11" t="s">
        <v>25</v>
      </c>
      <c r="F131" s="11" t="s">
        <v>18</v>
      </c>
      <c r="G131" s="12">
        <v>2017</v>
      </c>
      <c r="H131" s="12" t="str">
        <f>IF(Table3[[#This Row],[Debut Year]]&lt;=2000,"1999–2000",
IF(Table3[[#This Row],[Debut Year]]&lt;=2005,"2001–2005",
IF(Table3[[#This Row],[Debut Year]]&lt;=2010,"2006–2010",
IF(Table3[[#This Row],[Debut Year]]&lt;=2015,"2011–2015",
IF(Table3[[#This Row],[Debut Year]]&lt;=2020,"2016–2020",
"2021–2025")))))</f>
        <v>2016–2020</v>
      </c>
      <c r="I131" s="12">
        <v>17516.099999999999</v>
      </c>
      <c r="J131" s="12">
        <v>16311.4</v>
      </c>
      <c r="K131" s="12">
        <v>1210.7</v>
      </c>
      <c r="L131" s="4">
        <v>2137.8000000000002</v>
      </c>
      <c r="M131" s="6">
        <f>Table2[[#This Row],[% of Solo Streams]]/100</f>
        <v>0.12204771609999999</v>
      </c>
      <c r="N131" s="3">
        <v>15378.3</v>
      </c>
      <c r="O131" s="6">
        <f>Table2[[#This Row],[% of Collaborative Streams]]/100</f>
        <v>0.87795228390000002</v>
      </c>
      <c r="P131" s="4">
        <f>Table3[[#This Row],[Lead Streams (in millions)]]+Table3[[#This Row],[Feature Streams (in millions)]]</f>
        <v>17522.099999999999</v>
      </c>
      <c r="Q131" s="4">
        <f>_xlfn.RANK.EQ(Table3[[#This Row],[Total Stream]],Table3[Total Stream],0)</f>
        <v>130</v>
      </c>
      <c r="R131" s="4">
        <f>Table3[[#This Row],[Total Streams (in millions)]]-Table3[[#This Row],[Total Stream]]</f>
        <v>-6</v>
      </c>
      <c r="S131" s="8">
        <f>IFERROR(Table3[[#This Row],[Collaborative Streams (in millions)]]/Table3[[#This Row],[Total Stream]],0)</f>
        <v>0.87765165134316092</v>
      </c>
      <c r="T131" t="str">
        <f>IF(Table3[[#This Row],[Total Streams (in millions)]]&gt;=50000,"High Performer",IF(Table3[[#This Row],[Total Streams (in millions)]]&gt;=20000,"Medium Performer","Low Performer"))</f>
        <v>Low Performer</v>
      </c>
    </row>
    <row r="132" spans="1:20" x14ac:dyDescent="0.3">
      <c r="A132" s="9" t="s">
        <v>191</v>
      </c>
      <c r="B132" s="9" t="s">
        <v>20</v>
      </c>
      <c r="C132" s="9" t="s">
        <v>21</v>
      </c>
      <c r="D132" s="9" t="s">
        <v>16</v>
      </c>
      <c r="E132" s="9" t="s">
        <v>22</v>
      </c>
      <c r="F132" s="9" t="s">
        <v>18</v>
      </c>
      <c r="G132" s="10">
        <v>2014</v>
      </c>
      <c r="H132" s="10" t="str">
        <f>IF(Table3[[#This Row],[Debut Year]]&lt;=2000,"1999–2000",
IF(Table3[[#This Row],[Debut Year]]&lt;=2005,"2001–2005",
IF(Table3[[#This Row],[Debut Year]]&lt;=2010,"2006–2010",
IF(Table3[[#This Row],[Debut Year]]&lt;=2015,"2011–2015",
IF(Table3[[#This Row],[Debut Year]]&lt;=2020,"2016–2020",
"2021–2025")))))</f>
        <v>2011–2015</v>
      </c>
      <c r="I132" s="10">
        <v>17440.2</v>
      </c>
      <c r="J132" s="10">
        <v>5933.3</v>
      </c>
      <c r="K132" s="10">
        <v>11512.1</v>
      </c>
      <c r="L132" s="4">
        <v>2784</v>
      </c>
      <c r="M132" s="6">
        <f>Table2[[#This Row],[% of Solo Streams]]/100</f>
        <v>0.15963119689999999</v>
      </c>
      <c r="N132" s="3">
        <v>14656.2</v>
      </c>
      <c r="O132" s="6">
        <f>Table2[[#This Row],[% of Collaborative Streams]]/100</f>
        <v>0.84036880310000006</v>
      </c>
      <c r="P132" s="4">
        <f>Table3[[#This Row],[Lead Streams (in millions)]]+Table3[[#This Row],[Feature Streams (in millions)]]</f>
        <v>17445.400000000001</v>
      </c>
      <c r="Q132" s="4">
        <f>_xlfn.RANK.EQ(Table3[[#This Row],[Total Stream]],Table3[Total Stream],0)</f>
        <v>131</v>
      </c>
      <c r="R132" s="4">
        <f>Table3[[#This Row],[Total Streams (in millions)]]-Table3[[#This Row],[Total Stream]]</f>
        <v>-5.2000000000007276</v>
      </c>
      <c r="S132" s="8">
        <f>IFERROR(Table3[[#This Row],[Collaborative Streams (in millions)]]/Table3[[#This Row],[Total Stream]],0)</f>
        <v>0.84011831199055331</v>
      </c>
      <c r="T132" t="str">
        <f>IF(Table3[[#This Row],[Total Streams (in millions)]]&gt;=50000,"High Performer",IF(Table3[[#This Row],[Total Streams (in millions)]]&gt;=20000,"Medium Performer","Low Performer"))</f>
        <v>Low Performer</v>
      </c>
    </row>
    <row r="133" spans="1:20" x14ac:dyDescent="0.3">
      <c r="A133" s="11" t="s">
        <v>192</v>
      </c>
      <c r="B133" s="11" t="s">
        <v>14</v>
      </c>
      <c r="C133" s="11" t="s">
        <v>59</v>
      </c>
      <c r="D133" s="11" t="s">
        <v>16</v>
      </c>
      <c r="E133" s="11" t="s">
        <v>60</v>
      </c>
      <c r="F133" s="11" t="s">
        <v>48</v>
      </c>
      <c r="G133" s="12">
        <v>1994</v>
      </c>
      <c r="H133" s="12" t="str">
        <f>IF(Table3[[#This Row],[Debut Year]]&lt;=2000,"1999–2000",
IF(Table3[[#This Row],[Debut Year]]&lt;=2005,"2001–2005",
IF(Table3[[#This Row],[Debut Year]]&lt;=2010,"2006–2010",
IF(Table3[[#This Row],[Debut Year]]&lt;=2015,"2011–2015",
IF(Table3[[#This Row],[Debut Year]]&lt;=2020,"2016–2020",
"2021–2025")))))</f>
        <v>1999–2000</v>
      </c>
      <c r="I133" s="12">
        <v>17316.599999999999</v>
      </c>
      <c r="J133" s="12">
        <v>10309.700000000001</v>
      </c>
      <c r="K133" s="12">
        <v>7013.9</v>
      </c>
      <c r="L133" s="4">
        <v>6283</v>
      </c>
      <c r="M133" s="6">
        <f>Table2[[#This Row],[% of Solo Streams]]/100</f>
        <v>0.3628310407</v>
      </c>
      <c r="N133" s="3">
        <v>11033.6</v>
      </c>
      <c r="O133" s="6">
        <f>Table2[[#This Row],[% of Collaborative Streams]]/100</f>
        <v>0.63716895929999995</v>
      </c>
      <c r="P133" s="4">
        <f>Table3[[#This Row],[Lead Streams (in millions)]]+Table3[[#This Row],[Feature Streams (in millions)]]</f>
        <v>17323.599999999999</v>
      </c>
      <c r="Q133" s="4">
        <f>_xlfn.RANK.EQ(Table3[[#This Row],[Total Stream]],Table3[Total Stream],0)</f>
        <v>132</v>
      </c>
      <c r="R133" s="4">
        <f>Table3[[#This Row],[Total Streams (in millions)]]-Table3[[#This Row],[Total Stream]]</f>
        <v>-7</v>
      </c>
      <c r="S133" s="8">
        <f>IFERROR(Table3[[#This Row],[Collaborative Streams (in millions)]]/Table3[[#This Row],[Total Stream]],0)</f>
        <v>0.63691149645570211</v>
      </c>
      <c r="T133" t="str">
        <f>IF(Table3[[#This Row],[Total Streams (in millions)]]&gt;=50000,"High Performer",IF(Table3[[#This Row],[Total Streams (in millions)]]&gt;=20000,"Medium Performer","Low Performer"))</f>
        <v>Low Performer</v>
      </c>
    </row>
    <row r="134" spans="1:20" x14ac:dyDescent="0.3">
      <c r="A134" s="9" t="s">
        <v>193</v>
      </c>
      <c r="B134" s="9" t="s">
        <v>14</v>
      </c>
      <c r="C134" s="9" t="s">
        <v>89</v>
      </c>
      <c r="D134" s="9" t="s">
        <v>24</v>
      </c>
      <c r="E134" s="9" t="s">
        <v>82</v>
      </c>
      <c r="F134" s="9" t="s">
        <v>18</v>
      </c>
      <c r="G134" s="10">
        <v>1982</v>
      </c>
      <c r="H134" s="10" t="str">
        <f>IF(Table3[[#This Row],[Debut Year]]&lt;=2000,"1999–2000",
IF(Table3[[#This Row],[Debut Year]]&lt;=2005,"2001–2005",
IF(Table3[[#This Row],[Debut Year]]&lt;=2010,"2006–2010",
IF(Table3[[#This Row],[Debut Year]]&lt;=2015,"2011–2015",
IF(Table3[[#This Row],[Debut Year]]&lt;=2020,"2016–2020",
"2021–2025")))))</f>
        <v>1999–2000</v>
      </c>
      <c r="I134" s="10">
        <v>17314.099999999999</v>
      </c>
      <c r="J134" s="10">
        <v>17301.5</v>
      </c>
      <c r="K134" s="10">
        <v>20</v>
      </c>
      <c r="L134" s="4">
        <v>17281</v>
      </c>
      <c r="M134" s="6">
        <f>Table2[[#This Row],[% of Solo Streams]]/100</f>
        <v>0.9980882633</v>
      </c>
      <c r="N134" s="3">
        <v>33.1</v>
      </c>
      <c r="O134" s="6">
        <f>Table2[[#This Row],[% of Collaborative Streams]]/100</f>
        <v>1.9117366769999999E-3</v>
      </c>
      <c r="P134" s="4">
        <f>Table3[[#This Row],[Lead Streams (in millions)]]+Table3[[#This Row],[Feature Streams (in millions)]]</f>
        <v>17321.5</v>
      </c>
      <c r="Q134" s="4">
        <f>_xlfn.RANK.EQ(Table3[[#This Row],[Total Stream]],Table3[Total Stream],0)</f>
        <v>133</v>
      </c>
      <c r="R134" s="4">
        <f>Table3[[#This Row],[Total Streams (in millions)]]-Table3[[#This Row],[Total Stream]]</f>
        <v>-7.4000000000014552</v>
      </c>
      <c r="S134" s="8">
        <f>IFERROR(Table3[[#This Row],[Collaborative Streams (in millions)]]/Table3[[#This Row],[Total Stream]],0)</f>
        <v>1.910919954969258E-3</v>
      </c>
      <c r="T134" t="str">
        <f>IF(Table3[[#This Row],[Total Streams (in millions)]]&gt;=50000,"High Performer",IF(Table3[[#This Row],[Total Streams (in millions)]]&gt;=20000,"Medium Performer","Low Performer"))</f>
        <v>Low Performer</v>
      </c>
    </row>
    <row r="135" spans="1:20" x14ac:dyDescent="0.3">
      <c r="A135" s="11" t="s">
        <v>194</v>
      </c>
      <c r="B135" s="11" t="s">
        <v>20</v>
      </c>
      <c r="C135" s="11" t="s">
        <v>21</v>
      </c>
      <c r="D135" s="11" t="s">
        <v>16</v>
      </c>
      <c r="E135" s="11" t="s">
        <v>22</v>
      </c>
      <c r="F135" s="11" t="s">
        <v>18</v>
      </c>
      <c r="G135" s="12">
        <v>2008</v>
      </c>
      <c r="H135" s="12" t="str">
        <f>IF(Table3[[#This Row],[Debut Year]]&lt;=2000,"1999–2000",
IF(Table3[[#This Row],[Debut Year]]&lt;=2005,"2001–2005",
IF(Table3[[#This Row],[Debut Year]]&lt;=2010,"2006–2010",
IF(Table3[[#This Row],[Debut Year]]&lt;=2015,"2011–2015",
IF(Table3[[#This Row],[Debut Year]]&lt;=2020,"2016–2020",
"2021–2025")))))</f>
        <v>2006–2010</v>
      </c>
      <c r="I135" s="12">
        <v>17119.5</v>
      </c>
      <c r="J135" s="12">
        <v>11625.6</v>
      </c>
      <c r="K135" s="12">
        <v>5498.6</v>
      </c>
      <c r="L135" s="4">
        <v>10006</v>
      </c>
      <c r="M135" s="6">
        <f>Table2[[#This Row],[% of Solo Streams]]/100</f>
        <v>0.58447968690000007</v>
      </c>
      <c r="N135" s="3">
        <v>7113.5</v>
      </c>
      <c r="O135" s="6">
        <f>Table2[[#This Row],[% of Collaborative Streams]]/100</f>
        <v>0.41552031309999998</v>
      </c>
      <c r="P135" s="4">
        <f>Table3[[#This Row],[Lead Streams (in millions)]]+Table3[[#This Row],[Feature Streams (in millions)]]</f>
        <v>17124.2</v>
      </c>
      <c r="Q135" s="4">
        <f>_xlfn.RANK.EQ(Table3[[#This Row],[Total Stream]],Table3[Total Stream],0)</f>
        <v>134</v>
      </c>
      <c r="R135" s="4">
        <f>Table3[[#This Row],[Total Streams (in millions)]]-Table3[[#This Row],[Total Stream]]</f>
        <v>-4.7000000000007276</v>
      </c>
      <c r="S135" s="8">
        <f>IFERROR(Table3[[#This Row],[Collaborative Streams (in millions)]]/Table3[[#This Row],[Total Stream]],0)</f>
        <v>0.41540626715408602</v>
      </c>
      <c r="T135" t="str">
        <f>IF(Table3[[#This Row],[Total Streams (in millions)]]&gt;=50000,"High Performer",IF(Table3[[#This Row],[Total Streams (in millions)]]&gt;=20000,"Medium Performer","Low Performer"))</f>
        <v>Low Performer</v>
      </c>
    </row>
    <row r="136" spans="1:20" x14ac:dyDescent="0.3">
      <c r="A136" s="9" t="s">
        <v>195</v>
      </c>
      <c r="B136" s="9" t="s">
        <v>14</v>
      </c>
      <c r="C136" s="9" t="s">
        <v>196</v>
      </c>
      <c r="D136" s="9" t="s">
        <v>16</v>
      </c>
      <c r="E136" s="9" t="s">
        <v>27</v>
      </c>
      <c r="F136" s="9" t="s">
        <v>18</v>
      </c>
      <c r="G136" s="10">
        <v>2004</v>
      </c>
      <c r="H136" s="10" t="str">
        <f>IF(Table3[[#This Row],[Debut Year]]&lt;=2000,"1999–2000",
IF(Table3[[#This Row],[Debut Year]]&lt;=2005,"2001–2005",
IF(Table3[[#This Row],[Debut Year]]&lt;=2010,"2006–2010",
IF(Table3[[#This Row],[Debut Year]]&lt;=2015,"2011–2015",
IF(Table3[[#This Row],[Debut Year]]&lt;=2020,"2016–2020",
"2021–2025")))))</f>
        <v>2001–2005</v>
      </c>
      <c r="I136" s="10">
        <v>17056</v>
      </c>
      <c r="J136" s="10">
        <v>8007.4</v>
      </c>
      <c r="K136" s="10">
        <v>9059.5</v>
      </c>
      <c r="L136" s="4">
        <v>4403.1000000000004</v>
      </c>
      <c r="M136" s="6">
        <f>Table2[[#This Row],[% of Solo Streams]]/100</f>
        <v>0.25815548780000003</v>
      </c>
      <c r="N136" s="3">
        <v>12652.9</v>
      </c>
      <c r="O136" s="6">
        <f>Table2[[#This Row],[% of Collaborative Streams]]/100</f>
        <v>0.74184451220000003</v>
      </c>
      <c r="P136" s="4">
        <f>Table3[[#This Row],[Lead Streams (in millions)]]+Table3[[#This Row],[Feature Streams (in millions)]]</f>
        <v>17066.900000000001</v>
      </c>
      <c r="Q136" s="4">
        <f>_xlfn.RANK.EQ(Table3[[#This Row],[Total Stream]],Table3[Total Stream],0)</f>
        <v>135</v>
      </c>
      <c r="R136" s="4">
        <f>Table3[[#This Row],[Total Streams (in millions)]]-Table3[[#This Row],[Total Stream]]</f>
        <v>-10.900000000001455</v>
      </c>
      <c r="S136" s="8">
        <f>IFERROR(Table3[[#This Row],[Collaborative Streams (in millions)]]/Table3[[#This Row],[Total Stream]],0)</f>
        <v>0.74137072344714028</v>
      </c>
      <c r="T136" t="str">
        <f>IF(Table3[[#This Row],[Total Streams (in millions)]]&gt;=50000,"High Performer",IF(Table3[[#This Row],[Total Streams (in millions)]]&gt;=20000,"Medium Performer","Low Performer"))</f>
        <v>Low Performer</v>
      </c>
    </row>
    <row r="137" spans="1:20" x14ac:dyDescent="0.3">
      <c r="A137" s="11" t="s">
        <v>197</v>
      </c>
      <c r="B137" s="11" t="s">
        <v>14</v>
      </c>
      <c r="C137" s="11" t="s">
        <v>94</v>
      </c>
      <c r="D137" s="11" t="s">
        <v>16</v>
      </c>
      <c r="E137" s="11" t="s">
        <v>51</v>
      </c>
      <c r="F137" s="11" t="s">
        <v>48</v>
      </c>
      <c r="G137" s="12">
        <v>1975</v>
      </c>
      <c r="H137" s="12" t="str">
        <f>IF(Table3[[#This Row],[Debut Year]]&lt;=2000,"1999–2000",
IF(Table3[[#This Row],[Debut Year]]&lt;=2005,"2001–2005",
IF(Table3[[#This Row],[Debut Year]]&lt;=2010,"2006–2010",
IF(Table3[[#This Row],[Debut Year]]&lt;=2015,"2011–2015",
IF(Table3[[#This Row],[Debut Year]]&lt;=2020,"2016–2020",
"2021–2025")))))</f>
        <v>1999–2000</v>
      </c>
      <c r="I137" s="12">
        <v>17010.5</v>
      </c>
      <c r="J137" s="12">
        <v>17018</v>
      </c>
      <c r="K137" s="12">
        <v>0</v>
      </c>
      <c r="L137" s="4">
        <v>17010.5</v>
      </c>
      <c r="M137" s="6">
        <f>Table2[[#This Row],[% of Solo Streams]]/100</f>
        <v>1</v>
      </c>
      <c r="N137" s="3">
        <v>0</v>
      </c>
      <c r="O137" s="6">
        <f>Table2[[#This Row],[% of Collaborative Streams]]/100</f>
        <v>0</v>
      </c>
      <c r="P137" s="4">
        <f>Table3[[#This Row],[Lead Streams (in millions)]]+Table3[[#This Row],[Feature Streams (in millions)]]</f>
        <v>17018</v>
      </c>
      <c r="Q137" s="4">
        <f>_xlfn.RANK.EQ(Table3[[#This Row],[Total Stream]],Table3[Total Stream],0)</f>
        <v>136</v>
      </c>
      <c r="R137" s="4">
        <f>Table3[[#This Row],[Total Streams (in millions)]]-Table3[[#This Row],[Total Stream]]</f>
        <v>-7.5</v>
      </c>
      <c r="S137" s="8">
        <f>IFERROR(Table3[[#This Row],[Collaborative Streams (in millions)]]/Table3[[#This Row],[Total Stream]],0)</f>
        <v>0</v>
      </c>
      <c r="T137" t="str">
        <f>IF(Table3[[#This Row],[Total Streams (in millions)]]&gt;=50000,"High Performer",IF(Table3[[#This Row],[Total Streams (in millions)]]&gt;=20000,"Medium Performer","Low Performer"))</f>
        <v>Low Performer</v>
      </c>
    </row>
    <row r="138" spans="1:20" x14ac:dyDescent="0.3">
      <c r="A138" s="9" t="s">
        <v>198</v>
      </c>
      <c r="B138" s="9" t="s">
        <v>14</v>
      </c>
      <c r="C138" s="9" t="s">
        <v>42</v>
      </c>
      <c r="D138" s="9" t="s">
        <v>24</v>
      </c>
      <c r="E138" s="9" t="s">
        <v>82</v>
      </c>
      <c r="F138" s="9" t="s">
        <v>18</v>
      </c>
      <c r="G138" s="10">
        <v>2013</v>
      </c>
      <c r="H138" s="10" t="str">
        <f>IF(Table3[[#This Row],[Debut Year]]&lt;=2000,"1999–2000",
IF(Table3[[#This Row],[Debut Year]]&lt;=2005,"2001–2005",
IF(Table3[[#This Row],[Debut Year]]&lt;=2010,"2006–2010",
IF(Table3[[#This Row],[Debut Year]]&lt;=2015,"2011–2015",
IF(Table3[[#This Row],[Debut Year]]&lt;=2020,"2016–2020",
"2021–2025")))))</f>
        <v>2011–2015</v>
      </c>
      <c r="I138" s="10">
        <v>16984.3</v>
      </c>
      <c r="J138" s="10">
        <v>10969.8</v>
      </c>
      <c r="K138" s="10">
        <v>6018.9</v>
      </c>
      <c r="L138" s="4">
        <v>4419.3</v>
      </c>
      <c r="M138" s="6">
        <f>Table2[[#This Row],[% of Solo Streams]]/100</f>
        <v>0.26019912509999998</v>
      </c>
      <c r="N138" s="3">
        <v>12565</v>
      </c>
      <c r="O138" s="6">
        <f>Table2[[#This Row],[% of Collaborative Streams]]/100</f>
        <v>0.73980087490000002</v>
      </c>
      <c r="P138" s="4">
        <f>Table3[[#This Row],[Lead Streams (in millions)]]+Table3[[#This Row],[Feature Streams (in millions)]]</f>
        <v>16988.699999999997</v>
      </c>
      <c r="Q138" s="4">
        <f>_xlfn.RANK.EQ(Table3[[#This Row],[Total Stream]],Table3[Total Stream],0)</f>
        <v>137</v>
      </c>
      <c r="R138" s="4">
        <f>Table3[[#This Row],[Total Streams (in millions)]]-Table3[[#This Row],[Total Stream]]</f>
        <v>-4.3999999999978172</v>
      </c>
      <c r="S138" s="8">
        <f>IFERROR(Table3[[#This Row],[Collaborative Streams (in millions)]]/Table3[[#This Row],[Total Stream]],0)</f>
        <v>0.73960926969103002</v>
      </c>
      <c r="T138" t="str">
        <f>IF(Table3[[#This Row],[Total Streams (in millions)]]&gt;=50000,"High Performer",IF(Table3[[#This Row],[Total Streams (in millions)]]&gt;=20000,"Medium Performer","Low Performer"))</f>
        <v>Low Performer</v>
      </c>
    </row>
    <row r="139" spans="1:20" x14ac:dyDescent="0.3">
      <c r="A139" s="11" t="s">
        <v>199</v>
      </c>
      <c r="B139" s="11" t="s">
        <v>14</v>
      </c>
      <c r="C139" s="11" t="s">
        <v>89</v>
      </c>
      <c r="D139" s="11" t="s">
        <v>24</v>
      </c>
      <c r="E139" s="11" t="s">
        <v>90</v>
      </c>
      <c r="F139" s="11" t="s">
        <v>18</v>
      </c>
      <c r="G139" s="12">
        <v>2010</v>
      </c>
      <c r="H139" s="12" t="str">
        <f>IF(Table3[[#This Row],[Debut Year]]&lt;=2000,"1999–2000",
IF(Table3[[#This Row],[Debut Year]]&lt;=2005,"2001–2005",
IF(Table3[[#This Row],[Debut Year]]&lt;=2010,"2006–2010",
IF(Table3[[#This Row],[Debut Year]]&lt;=2015,"2011–2015",
IF(Table3[[#This Row],[Debut Year]]&lt;=2020,"2016–2020",
"2021–2025")))))</f>
        <v>2006–2010</v>
      </c>
      <c r="I139" s="12">
        <v>16969.400000000001</v>
      </c>
      <c r="J139" s="12">
        <v>10480.799999999999</v>
      </c>
      <c r="K139" s="12">
        <v>6497.7</v>
      </c>
      <c r="L139" s="4">
        <v>7429.1</v>
      </c>
      <c r="M139" s="6">
        <f>Table2[[#This Row],[% of Solo Streams]]/100</f>
        <v>0.43779391140000001</v>
      </c>
      <c r="N139" s="3">
        <v>9540.2999999999993</v>
      </c>
      <c r="O139" s="6">
        <f>Table2[[#This Row],[% of Collaborative Streams]]/100</f>
        <v>0.56220608859999999</v>
      </c>
      <c r="P139" s="4">
        <f>Table3[[#This Row],[Lead Streams (in millions)]]+Table3[[#This Row],[Feature Streams (in millions)]]</f>
        <v>16978.5</v>
      </c>
      <c r="Q139" s="4">
        <f>_xlfn.RANK.EQ(Table3[[#This Row],[Total Stream]],Table3[Total Stream],0)</f>
        <v>138</v>
      </c>
      <c r="R139" s="4">
        <f>Table3[[#This Row],[Total Streams (in millions)]]-Table3[[#This Row],[Total Stream]]</f>
        <v>-9.0999999999985448</v>
      </c>
      <c r="S139" s="8">
        <f>IFERROR(Table3[[#This Row],[Collaborative Streams (in millions)]]/Table3[[#This Row],[Total Stream]],0)</f>
        <v>0.56190476190476191</v>
      </c>
      <c r="T139" t="str">
        <f>IF(Table3[[#This Row],[Total Streams (in millions)]]&gt;=50000,"High Performer",IF(Table3[[#This Row],[Total Streams (in millions)]]&gt;=20000,"Medium Performer","Low Performer"))</f>
        <v>Low Performer</v>
      </c>
    </row>
    <row r="140" spans="1:20" x14ac:dyDescent="0.3">
      <c r="A140" s="9" t="s">
        <v>200</v>
      </c>
      <c r="B140" s="9" t="s">
        <v>14</v>
      </c>
      <c r="C140" s="9" t="s">
        <v>160</v>
      </c>
      <c r="D140" s="9" t="s">
        <v>16</v>
      </c>
      <c r="E140" s="9" t="s">
        <v>60</v>
      </c>
      <c r="F140" s="9" t="s">
        <v>18</v>
      </c>
      <c r="G140" s="10">
        <v>2014</v>
      </c>
      <c r="H140" s="10" t="str">
        <f>IF(Table3[[#This Row],[Debut Year]]&lt;=2000,"1999–2000",
IF(Table3[[#This Row],[Debut Year]]&lt;=2005,"2001–2005",
IF(Table3[[#This Row],[Debut Year]]&lt;=2010,"2006–2010",
IF(Table3[[#This Row],[Debut Year]]&lt;=2015,"2011–2015",
IF(Table3[[#This Row],[Debut Year]]&lt;=2020,"2016–2020",
"2021–2025")))))</f>
        <v>2011–2015</v>
      </c>
      <c r="I140" s="10">
        <v>16893.400000000001</v>
      </c>
      <c r="J140" s="10">
        <v>13879.3</v>
      </c>
      <c r="K140" s="10">
        <v>3019.1</v>
      </c>
      <c r="L140" s="4">
        <v>5321.5</v>
      </c>
      <c r="M140" s="6">
        <f>Table2[[#This Row],[% of Solo Streams]]/100</f>
        <v>0.31500467640000002</v>
      </c>
      <c r="N140" s="3">
        <v>11571.9</v>
      </c>
      <c r="O140" s="6">
        <f>Table2[[#This Row],[% of Collaborative Streams]]/100</f>
        <v>0.68499532360000004</v>
      </c>
      <c r="P140" s="4">
        <f>Table3[[#This Row],[Lead Streams (in millions)]]+Table3[[#This Row],[Feature Streams (in millions)]]</f>
        <v>16898.399999999998</v>
      </c>
      <c r="Q140" s="4">
        <f>_xlfn.RANK.EQ(Table3[[#This Row],[Total Stream]],Table3[Total Stream],0)</f>
        <v>139</v>
      </c>
      <c r="R140" s="4">
        <f>Table3[[#This Row],[Total Streams (in millions)]]-Table3[[#This Row],[Total Stream]]</f>
        <v>-4.999999999996362</v>
      </c>
      <c r="S140" s="8">
        <f>IFERROR(Table3[[#This Row],[Collaborative Streams (in millions)]]/Table3[[#This Row],[Total Stream]],0)</f>
        <v>0.68479264309047017</v>
      </c>
      <c r="T140" t="str">
        <f>IF(Table3[[#This Row],[Total Streams (in millions)]]&gt;=50000,"High Performer",IF(Table3[[#This Row],[Total Streams (in millions)]]&gt;=20000,"Medium Performer","Low Performer"))</f>
        <v>Low Performer</v>
      </c>
    </row>
    <row r="141" spans="1:20" x14ac:dyDescent="0.3">
      <c r="A141" s="11" t="s">
        <v>201</v>
      </c>
      <c r="B141" s="11" t="s">
        <v>14</v>
      </c>
      <c r="C141" s="11" t="s">
        <v>21</v>
      </c>
      <c r="D141" s="11" t="s">
        <v>16</v>
      </c>
      <c r="E141" s="11" t="s">
        <v>17</v>
      </c>
      <c r="F141" s="11" t="s">
        <v>18</v>
      </c>
      <c r="G141" s="12">
        <v>2016</v>
      </c>
      <c r="H141" s="12" t="str">
        <f>IF(Table3[[#This Row],[Debut Year]]&lt;=2000,"1999–2000",
IF(Table3[[#This Row],[Debut Year]]&lt;=2005,"2001–2005",
IF(Table3[[#This Row],[Debut Year]]&lt;=2010,"2006–2010",
IF(Table3[[#This Row],[Debut Year]]&lt;=2015,"2011–2015",
IF(Table3[[#This Row],[Debut Year]]&lt;=2020,"2016–2020",
"2021–2025")))))</f>
        <v>2016–2020</v>
      </c>
      <c r="I141" s="12">
        <v>16877.3</v>
      </c>
      <c r="J141" s="12">
        <v>11425.9</v>
      </c>
      <c r="K141" s="12">
        <v>5455.1</v>
      </c>
      <c r="L141" s="4">
        <v>6395.3</v>
      </c>
      <c r="M141" s="6">
        <f>Table2[[#This Row],[% of Solo Streams]]/100</f>
        <v>0.37892909410000003</v>
      </c>
      <c r="N141" s="3">
        <v>10482</v>
      </c>
      <c r="O141" s="6">
        <f>Table2[[#This Row],[% of Collaborative Streams]]/100</f>
        <v>0.62107090590000003</v>
      </c>
      <c r="P141" s="4">
        <f>Table3[[#This Row],[Lead Streams (in millions)]]+Table3[[#This Row],[Feature Streams (in millions)]]</f>
        <v>16881</v>
      </c>
      <c r="Q141" s="4">
        <f>_xlfn.RANK.EQ(Table3[[#This Row],[Total Stream]],Table3[Total Stream],0)</f>
        <v>140</v>
      </c>
      <c r="R141" s="4">
        <f>Table3[[#This Row],[Total Streams (in millions)]]-Table3[[#This Row],[Total Stream]]</f>
        <v>-3.7000000000007276</v>
      </c>
      <c r="S141" s="8">
        <f>IFERROR(Table3[[#This Row],[Collaborative Streams (in millions)]]/Table3[[#This Row],[Total Stream]],0)</f>
        <v>0.62093477874533498</v>
      </c>
      <c r="T141" t="str">
        <f>IF(Table3[[#This Row],[Total Streams (in millions)]]&gt;=50000,"High Performer",IF(Table3[[#This Row],[Total Streams (in millions)]]&gt;=20000,"Medium Performer","Low Performer"))</f>
        <v>Low Performer</v>
      </c>
    </row>
    <row r="142" spans="1:20" x14ac:dyDescent="0.3">
      <c r="A142" s="9" t="s">
        <v>202</v>
      </c>
      <c r="B142" s="9" t="s">
        <v>78</v>
      </c>
      <c r="C142" s="9" t="s">
        <v>33</v>
      </c>
      <c r="D142" s="9" t="s">
        <v>16</v>
      </c>
      <c r="E142" s="9" t="s">
        <v>51</v>
      </c>
      <c r="F142" s="9" t="s">
        <v>48</v>
      </c>
      <c r="G142" s="10">
        <v>1967</v>
      </c>
      <c r="H142" s="10" t="str">
        <f>IF(Table3[[#This Row],[Debut Year]]&lt;=2000,"1999–2000",
IF(Table3[[#This Row],[Debut Year]]&lt;=2005,"2001–2005",
IF(Table3[[#This Row],[Debut Year]]&lt;=2010,"2006–2010",
IF(Table3[[#This Row],[Debut Year]]&lt;=2015,"2011–2015",
IF(Table3[[#This Row],[Debut Year]]&lt;=2020,"2016–2020",
"2021–2025")))))</f>
        <v>1999–2000</v>
      </c>
      <c r="I142" s="10">
        <v>16577.5</v>
      </c>
      <c r="J142" s="10">
        <v>16577.5</v>
      </c>
      <c r="K142" s="10">
        <v>0.4</v>
      </c>
      <c r="L142" s="4">
        <v>16567.400000000001</v>
      </c>
      <c r="M142" s="6">
        <f>Table2[[#This Row],[% of Solo Streams]]/100</f>
        <v>0.99939074049999999</v>
      </c>
      <c r="N142" s="3">
        <v>10.1</v>
      </c>
      <c r="O142" s="6">
        <f>Table2[[#This Row],[% of Collaborative Streams]]/100</f>
        <v>6.0925953850000003E-4</v>
      </c>
      <c r="P142" s="4">
        <f>Table3[[#This Row],[Lead Streams (in millions)]]+Table3[[#This Row],[Feature Streams (in millions)]]</f>
        <v>16577.900000000001</v>
      </c>
      <c r="Q142" s="4">
        <f>_xlfn.RANK.EQ(Table3[[#This Row],[Total Stream]],Table3[Total Stream],0)</f>
        <v>141</v>
      </c>
      <c r="R142" s="4">
        <f>Table3[[#This Row],[Total Streams (in millions)]]-Table3[[#This Row],[Total Stream]]</f>
        <v>-0.40000000000145519</v>
      </c>
      <c r="S142" s="8">
        <f>IFERROR(Table3[[#This Row],[Collaborative Streams (in millions)]]/Table3[[#This Row],[Total Stream]],0)</f>
        <v>6.0924483800722643E-4</v>
      </c>
      <c r="T142" t="str">
        <f>IF(Table3[[#This Row],[Total Streams (in millions)]]&gt;=50000,"High Performer",IF(Table3[[#This Row],[Total Streams (in millions)]]&gt;=20000,"Medium Performer","Low Performer"))</f>
        <v>Low Performer</v>
      </c>
    </row>
    <row r="143" spans="1:20" x14ac:dyDescent="0.3">
      <c r="A143" s="11" t="s">
        <v>203</v>
      </c>
      <c r="B143" s="11" t="s">
        <v>14</v>
      </c>
      <c r="C143" s="11" t="s">
        <v>204</v>
      </c>
      <c r="D143" s="11" t="s">
        <v>16</v>
      </c>
      <c r="E143" s="11" t="s">
        <v>51</v>
      </c>
      <c r="F143" s="11" t="s">
        <v>18</v>
      </c>
      <c r="G143" s="12">
        <v>2013</v>
      </c>
      <c r="H143" s="12" t="str">
        <f>IF(Table3[[#This Row],[Debut Year]]&lt;=2000,"1999–2000",
IF(Table3[[#This Row],[Debut Year]]&lt;=2005,"2001–2005",
IF(Table3[[#This Row],[Debut Year]]&lt;=2010,"2006–2010",
IF(Table3[[#This Row],[Debut Year]]&lt;=2015,"2011–2015",
IF(Table3[[#This Row],[Debut Year]]&lt;=2020,"2016–2020",
"2021–2025")))))</f>
        <v>2011–2015</v>
      </c>
      <c r="I143" s="12">
        <v>16556.5</v>
      </c>
      <c r="J143" s="12">
        <v>15920.4</v>
      </c>
      <c r="K143" s="12">
        <v>641.79999999999995</v>
      </c>
      <c r="L143" s="4">
        <v>15519.5</v>
      </c>
      <c r="M143" s="6">
        <f>Table2[[#This Row],[% of Solo Streams]]/100</f>
        <v>0.93736598920000003</v>
      </c>
      <c r="N143" s="3">
        <v>1037</v>
      </c>
      <c r="O143" s="6">
        <f>Table2[[#This Row],[% of Collaborative Streams]]/100</f>
        <v>6.2634010810000001E-2</v>
      </c>
      <c r="P143" s="4">
        <f>Table3[[#This Row],[Lead Streams (in millions)]]+Table3[[#This Row],[Feature Streams (in millions)]]</f>
        <v>16562.2</v>
      </c>
      <c r="Q143" s="4">
        <f>_xlfn.RANK.EQ(Table3[[#This Row],[Total Stream]],Table3[Total Stream],0)</f>
        <v>142</v>
      </c>
      <c r="R143" s="4">
        <f>Table3[[#This Row],[Total Streams (in millions)]]-Table3[[#This Row],[Total Stream]]</f>
        <v>-5.7000000000007276</v>
      </c>
      <c r="S143" s="8">
        <f>IFERROR(Table3[[#This Row],[Collaborative Streams (in millions)]]/Table3[[#This Row],[Total Stream]],0)</f>
        <v>6.2612454867107023E-2</v>
      </c>
      <c r="T143" t="str">
        <f>IF(Table3[[#This Row],[Total Streams (in millions)]]&gt;=50000,"High Performer",IF(Table3[[#This Row],[Total Streams (in millions)]]&gt;=20000,"Medium Performer","Low Performer"))</f>
        <v>Low Performer</v>
      </c>
    </row>
    <row r="144" spans="1:20" x14ac:dyDescent="0.3">
      <c r="A144" s="9" t="s">
        <v>205</v>
      </c>
      <c r="B144" s="9" t="s">
        <v>20</v>
      </c>
      <c r="C144" s="9" t="s">
        <v>33</v>
      </c>
      <c r="D144" s="9" t="s">
        <v>16</v>
      </c>
      <c r="E144" s="9" t="s">
        <v>22</v>
      </c>
      <c r="F144" s="9" t="s">
        <v>18</v>
      </c>
      <c r="G144" s="10">
        <v>2009</v>
      </c>
      <c r="H144" s="10" t="str">
        <f>IF(Table3[[#This Row],[Debut Year]]&lt;=2000,"1999–2000",
IF(Table3[[#This Row],[Debut Year]]&lt;=2005,"2001–2005",
IF(Table3[[#This Row],[Debut Year]]&lt;=2010,"2006–2010",
IF(Table3[[#This Row],[Debut Year]]&lt;=2015,"2011–2015",
IF(Table3[[#This Row],[Debut Year]]&lt;=2020,"2016–2020",
"2021–2025")))))</f>
        <v>2006–2010</v>
      </c>
      <c r="I144" s="10">
        <v>16553.3</v>
      </c>
      <c r="J144" s="10">
        <v>11362.1</v>
      </c>
      <c r="K144" s="10">
        <v>5197.6000000000004</v>
      </c>
      <c r="L144" s="4">
        <v>8685.9</v>
      </c>
      <c r="M144" s="6">
        <f>Table2[[#This Row],[% of Solo Streams]]/100</f>
        <v>0.52472316699999999</v>
      </c>
      <c r="N144" s="3">
        <v>7867.4</v>
      </c>
      <c r="O144" s="6">
        <f>Table2[[#This Row],[% of Collaborative Streams]]/100</f>
        <v>0.47527683300000001</v>
      </c>
      <c r="P144" s="4">
        <f>Table3[[#This Row],[Lead Streams (in millions)]]+Table3[[#This Row],[Feature Streams (in millions)]]</f>
        <v>16559.7</v>
      </c>
      <c r="Q144" s="4">
        <f>_xlfn.RANK.EQ(Table3[[#This Row],[Total Stream]],Table3[Total Stream],0)</f>
        <v>143</v>
      </c>
      <c r="R144" s="4">
        <f>Table3[[#This Row],[Total Streams (in millions)]]-Table3[[#This Row],[Total Stream]]</f>
        <v>-6.4000000000014552</v>
      </c>
      <c r="S144" s="8">
        <f>IFERROR(Table3[[#This Row],[Collaborative Streams (in millions)]]/Table3[[#This Row],[Total Stream]],0)</f>
        <v>0.47509314782272621</v>
      </c>
      <c r="T144" t="str">
        <f>IF(Table3[[#This Row],[Total Streams (in millions)]]&gt;=50000,"High Performer",IF(Table3[[#This Row],[Total Streams (in millions)]]&gt;=20000,"Medium Performer","Low Performer"))</f>
        <v>Low Performer</v>
      </c>
    </row>
    <row r="145" spans="1:20" x14ac:dyDescent="0.3">
      <c r="A145" s="11" t="s">
        <v>206</v>
      </c>
      <c r="B145" s="11" t="s">
        <v>14</v>
      </c>
      <c r="C145" s="11" t="s">
        <v>33</v>
      </c>
      <c r="D145" s="11" t="s">
        <v>16</v>
      </c>
      <c r="E145" s="11" t="s">
        <v>51</v>
      </c>
      <c r="F145" s="11" t="s">
        <v>48</v>
      </c>
      <c r="G145" s="12">
        <v>1992</v>
      </c>
      <c r="H145" s="12" t="str">
        <f>IF(Table3[[#This Row],[Debut Year]]&lt;=2000,"1999–2000",
IF(Table3[[#This Row],[Debut Year]]&lt;=2005,"2001–2005",
IF(Table3[[#This Row],[Debut Year]]&lt;=2010,"2006–2010",
IF(Table3[[#This Row],[Debut Year]]&lt;=2015,"2011–2015",
IF(Table3[[#This Row],[Debut Year]]&lt;=2020,"2016–2020",
"2021–2025")))))</f>
        <v>1999–2000</v>
      </c>
      <c r="I145" s="12">
        <v>16454.900000000001</v>
      </c>
      <c r="J145" s="12">
        <v>16461.5</v>
      </c>
      <c r="K145" s="12">
        <v>3</v>
      </c>
      <c r="L145" s="4">
        <v>16382.5</v>
      </c>
      <c r="M145" s="6">
        <f>Table2[[#This Row],[% of Solo Streams]]/100</f>
        <v>0.9956000948</v>
      </c>
      <c r="N145" s="3">
        <v>72.400000000000006</v>
      </c>
      <c r="O145" s="6">
        <f>Table2[[#This Row],[% of Collaborative Streams]]/100</f>
        <v>4.3999051950000005E-3</v>
      </c>
      <c r="P145" s="4">
        <f>Table3[[#This Row],[Lead Streams (in millions)]]+Table3[[#This Row],[Feature Streams (in millions)]]</f>
        <v>16464.5</v>
      </c>
      <c r="Q145" s="4">
        <f>_xlfn.RANK.EQ(Table3[[#This Row],[Total Stream]],Table3[Total Stream],0)</f>
        <v>144</v>
      </c>
      <c r="R145" s="4">
        <f>Table3[[#This Row],[Total Streams (in millions)]]-Table3[[#This Row],[Total Stream]]</f>
        <v>-9.5999999999985448</v>
      </c>
      <c r="S145" s="8">
        <f>IFERROR(Table3[[#This Row],[Collaborative Streams (in millions)]]/Table3[[#This Row],[Total Stream]],0)</f>
        <v>4.3973397309362569E-3</v>
      </c>
      <c r="T145" t="str">
        <f>IF(Table3[[#This Row],[Total Streams (in millions)]]&gt;=50000,"High Performer",IF(Table3[[#This Row],[Total Streams (in millions)]]&gt;=20000,"Medium Performer","Low Performer"))</f>
        <v>Low Performer</v>
      </c>
    </row>
    <row r="146" spans="1:20" x14ac:dyDescent="0.3">
      <c r="A146" s="9" t="s">
        <v>207</v>
      </c>
      <c r="B146" s="9" t="s">
        <v>14</v>
      </c>
      <c r="C146" s="9" t="s">
        <v>21</v>
      </c>
      <c r="D146" s="9" t="s">
        <v>16</v>
      </c>
      <c r="E146" s="9" t="s">
        <v>17</v>
      </c>
      <c r="F146" s="9" t="s">
        <v>18</v>
      </c>
      <c r="G146" s="10">
        <v>2007</v>
      </c>
      <c r="H146" s="10" t="str">
        <f>IF(Table3[[#This Row],[Debut Year]]&lt;=2000,"1999–2000",
IF(Table3[[#This Row],[Debut Year]]&lt;=2005,"2001–2005",
IF(Table3[[#This Row],[Debut Year]]&lt;=2010,"2006–2010",
IF(Table3[[#This Row],[Debut Year]]&lt;=2015,"2011–2015",
IF(Table3[[#This Row],[Debut Year]]&lt;=2020,"2016–2020",
"2021–2025")))))</f>
        <v>2006–2010</v>
      </c>
      <c r="I146" s="10">
        <v>16428.900000000001</v>
      </c>
      <c r="J146" s="10">
        <v>12009.4</v>
      </c>
      <c r="K146" s="10">
        <v>4364.5</v>
      </c>
      <c r="L146" s="4">
        <v>2139</v>
      </c>
      <c r="M146" s="6">
        <f>Table2[[#This Row],[% of Solo Streams]]/100</f>
        <v>0.1301973961</v>
      </c>
      <c r="N146" s="3">
        <v>14289.9</v>
      </c>
      <c r="O146" s="6">
        <f>Table2[[#This Row],[% of Collaborative Streams]]/100</f>
        <v>0.86980260389999997</v>
      </c>
      <c r="P146" s="4">
        <f>Table3[[#This Row],[Lead Streams (in millions)]]+Table3[[#This Row],[Feature Streams (in millions)]]</f>
        <v>16373.9</v>
      </c>
      <c r="Q146" s="4">
        <f>_xlfn.RANK.EQ(Table3[[#This Row],[Total Stream]],Table3[Total Stream],0)</f>
        <v>145</v>
      </c>
      <c r="R146" s="4">
        <f>Table3[[#This Row],[Total Streams (in millions)]]-Table3[[#This Row],[Total Stream]]</f>
        <v>55.000000000001819</v>
      </c>
      <c r="S146" s="8">
        <f>IFERROR(Table3[[#This Row],[Collaborative Streams (in millions)]]/Table3[[#This Row],[Total Stream]],0)</f>
        <v>0.87272427460775992</v>
      </c>
      <c r="T146" t="str">
        <f>IF(Table3[[#This Row],[Total Streams (in millions)]]&gt;=50000,"High Performer",IF(Table3[[#This Row],[Total Streams (in millions)]]&gt;=20000,"Medium Performer","Low Performer"))</f>
        <v>Low Performer</v>
      </c>
    </row>
    <row r="147" spans="1:20" x14ac:dyDescent="0.3">
      <c r="A147" s="11" t="s">
        <v>208</v>
      </c>
      <c r="B147" s="11" t="s">
        <v>14</v>
      </c>
      <c r="C147" s="11" t="s">
        <v>21</v>
      </c>
      <c r="D147" s="11" t="s">
        <v>16</v>
      </c>
      <c r="E147" s="11" t="s">
        <v>17</v>
      </c>
      <c r="F147" s="11" t="s">
        <v>18</v>
      </c>
      <c r="G147" s="12">
        <v>2007</v>
      </c>
      <c r="H147" s="12" t="str">
        <f>IF(Table3[[#This Row],[Debut Year]]&lt;=2000,"1999–2000",
IF(Table3[[#This Row],[Debut Year]]&lt;=2005,"2001–2005",
IF(Table3[[#This Row],[Debut Year]]&lt;=2010,"2006–2010",
IF(Table3[[#This Row],[Debut Year]]&lt;=2015,"2011–2015",
IF(Table3[[#This Row],[Debut Year]]&lt;=2020,"2016–2020",
"2021–2025")))))</f>
        <v>2006–2010</v>
      </c>
      <c r="I147" s="12">
        <v>16366.1</v>
      </c>
      <c r="J147" s="12">
        <v>14784.2</v>
      </c>
      <c r="K147" s="12">
        <v>1492.7</v>
      </c>
      <c r="L147" s="4">
        <v>4359.8</v>
      </c>
      <c r="M147" s="6">
        <f>Table2[[#This Row],[% of Solo Streams]]/100</f>
        <v>0.26639211540000002</v>
      </c>
      <c r="N147" s="3">
        <v>12006.3</v>
      </c>
      <c r="O147" s="6">
        <f>Table2[[#This Row],[% of Collaborative Streams]]/100</f>
        <v>0.73360788459999993</v>
      </c>
      <c r="P147" s="4">
        <f>Table3[[#This Row],[Lead Streams (in millions)]]+Table3[[#This Row],[Feature Streams (in millions)]]</f>
        <v>16276.900000000001</v>
      </c>
      <c r="Q147" s="4">
        <f>_xlfn.RANK.EQ(Table3[[#This Row],[Total Stream]],Table3[Total Stream],0)</f>
        <v>146</v>
      </c>
      <c r="R147" s="4">
        <f>Table3[[#This Row],[Total Streams (in millions)]]-Table3[[#This Row],[Total Stream]]</f>
        <v>89.199999999998909</v>
      </c>
      <c r="S147" s="8">
        <f>IFERROR(Table3[[#This Row],[Collaborative Streams (in millions)]]/Table3[[#This Row],[Total Stream]],0)</f>
        <v>0.737628172440698</v>
      </c>
      <c r="T147" t="str">
        <f>IF(Table3[[#This Row],[Total Streams (in millions)]]&gt;=50000,"High Performer",IF(Table3[[#This Row],[Total Streams (in millions)]]&gt;=20000,"Medium Performer","Low Performer"))</f>
        <v>Low Performer</v>
      </c>
    </row>
    <row r="148" spans="1:20" x14ac:dyDescent="0.3">
      <c r="A148" s="9" t="s">
        <v>209</v>
      </c>
      <c r="B148" s="9" t="s">
        <v>20</v>
      </c>
      <c r="C148" s="9" t="s">
        <v>21</v>
      </c>
      <c r="D148" s="9" t="s">
        <v>16</v>
      </c>
      <c r="E148" s="9" t="s">
        <v>22</v>
      </c>
      <c r="F148" s="9" t="s">
        <v>18</v>
      </c>
      <c r="G148" s="10">
        <v>2000</v>
      </c>
      <c r="H148" s="10" t="str">
        <f>IF(Table3[[#This Row],[Debut Year]]&lt;=2000,"1999–2000",
IF(Table3[[#This Row],[Debut Year]]&lt;=2005,"2001–2005",
IF(Table3[[#This Row],[Debut Year]]&lt;=2010,"2006–2010",
IF(Table3[[#This Row],[Debut Year]]&lt;=2015,"2011–2015",
IF(Table3[[#This Row],[Debut Year]]&lt;=2020,"2016–2020",
"2021–2025")))))</f>
        <v>1999–2000</v>
      </c>
      <c r="I148" s="10">
        <v>16271.6</v>
      </c>
      <c r="J148" s="10">
        <v>7125.4</v>
      </c>
      <c r="K148" s="10">
        <v>9125</v>
      </c>
      <c r="L148" s="4">
        <v>11023</v>
      </c>
      <c r="M148" s="6">
        <f>Table2[[#This Row],[% of Solo Streams]]/100</f>
        <v>0.67743799010000005</v>
      </c>
      <c r="N148" s="3">
        <v>5248.6</v>
      </c>
      <c r="O148" s="6">
        <f>Table2[[#This Row],[% of Collaborative Streams]]/100</f>
        <v>0.32256200990000006</v>
      </c>
      <c r="P148" s="4">
        <f>Table3[[#This Row],[Lead Streams (in millions)]]+Table3[[#This Row],[Feature Streams (in millions)]]</f>
        <v>16250.4</v>
      </c>
      <c r="Q148" s="4">
        <f>_xlfn.RANK.EQ(Table3[[#This Row],[Total Stream]],Table3[Total Stream],0)</f>
        <v>147</v>
      </c>
      <c r="R148" s="4">
        <f>Table3[[#This Row],[Total Streams (in millions)]]-Table3[[#This Row],[Total Stream]]</f>
        <v>21.200000000000728</v>
      </c>
      <c r="S148" s="8">
        <f>IFERROR(Table3[[#This Row],[Collaborative Streams (in millions)]]/Table3[[#This Row],[Total Stream]],0)</f>
        <v>0.32298281888445823</v>
      </c>
      <c r="T148" t="str">
        <f>IF(Table3[[#This Row],[Total Streams (in millions)]]&gt;=50000,"High Performer",IF(Table3[[#This Row],[Total Streams (in millions)]]&gt;=20000,"Medium Performer","Low Performer"))</f>
        <v>Low Performer</v>
      </c>
    </row>
    <row r="149" spans="1:20" x14ac:dyDescent="0.3">
      <c r="A149" s="11" t="s">
        <v>210</v>
      </c>
      <c r="B149" s="11" t="s">
        <v>14</v>
      </c>
      <c r="C149" s="11" t="s">
        <v>21</v>
      </c>
      <c r="D149" s="11" t="s">
        <v>16</v>
      </c>
      <c r="E149" s="11" t="s">
        <v>51</v>
      </c>
      <c r="F149" s="11" t="s">
        <v>48</v>
      </c>
      <c r="G149" s="12">
        <v>1989</v>
      </c>
      <c r="H149" s="12" t="str">
        <f>IF(Table3[[#This Row],[Debut Year]]&lt;=2000,"1999–2000",
IF(Table3[[#This Row],[Debut Year]]&lt;=2005,"2001–2005",
IF(Table3[[#This Row],[Debut Year]]&lt;=2010,"2006–2010",
IF(Table3[[#This Row],[Debut Year]]&lt;=2015,"2011–2015",
IF(Table3[[#This Row],[Debut Year]]&lt;=2020,"2016–2020",
"2021–2025")))))</f>
        <v>1999–2000</v>
      </c>
      <c r="I149" s="12">
        <v>16228.7</v>
      </c>
      <c r="J149" s="12">
        <v>16236</v>
      </c>
      <c r="K149" s="12">
        <v>0</v>
      </c>
      <c r="L149" s="4">
        <v>16228.7</v>
      </c>
      <c r="M149" s="6">
        <f>Table2[[#This Row],[% of Solo Streams]]/100</f>
        <v>1</v>
      </c>
      <c r="N149" s="3">
        <v>0</v>
      </c>
      <c r="O149" s="6">
        <f>Table2[[#This Row],[% of Collaborative Streams]]/100</f>
        <v>0</v>
      </c>
      <c r="P149" s="4">
        <f>Table3[[#This Row],[Lead Streams (in millions)]]+Table3[[#This Row],[Feature Streams (in millions)]]</f>
        <v>16236</v>
      </c>
      <c r="Q149" s="4">
        <f>_xlfn.RANK.EQ(Table3[[#This Row],[Total Stream]],Table3[Total Stream],0)</f>
        <v>148</v>
      </c>
      <c r="R149" s="4">
        <f>Table3[[#This Row],[Total Streams (in millions)]]-Table3[[#This Row],[Total Stream]]</f>
        <v>-7.2999999999992724</v>
      </c>
      <c r="S149" s="8">
        <f>IFERROR(Table3[[#This Row],[Collaborative Streams (in millions)]]/Table3[[#This Row],[Total Stream]],0)</f>
        <v>0</v>
      </c>
      <c r="T149" t="str">
        <f>IF(Table3[[#This Row],[Total Streams (in millions)]]&gt;=50000,"High Performer",IF(Table3[[#This Row],[Total Streams (in millions)]]&gt;=20000,"Medium Performer","Low Performer"))</f>
        <v>Low Performer</v>
      </c>
    </row>
    <row r="150" spans="1:20" x14ac:dyDescent="0.3">
      <c r="A150" s="9" t="s">
        <v>211</v>
      </c>
      <c r="B150" s="9" t="s">
        <v>14</v>
      </c>
      <c r="C150" s="9" t="s">
        <v>21</v>
      </c>
      <c r="D150" s="9" t="s">
        <v>16</v>
      </c>
      <c r="E150" s="9" t="s">
        <v>17</v>
      </c>
      <c r="F150" s="9" t="s">
        <v>18</v>
      </c>
      <c r="G150" s="10">
        <v>2018</v>
      </c>
      <c r="H150" s="10" t="str">
        <f>IF(Table3[[#This Row],[Debut Year]]&lt;=2000,"1999–2000",
IF(Table3[[#This Row],[Debut Year]]&lt;=2005,"2001–2005",
IF(Table3[[#This Row],[Debut Year]]&lt;=2010,"2006–2010",
IF(Table3[[#This Row],[Debut Year]]&lt;=2015,"2011–2015",
IF(Table3[[#This Row],[Debut Year]]&lt;=2020,"2016–2020",
"2021–2025")))))</f>
        <v>2016–2020</v>
      </c>
      <c r="I150" s="10">
        <v>16217.4</v>
      </c>
      <c r="J150" s="10">
        <v>14631.5</v>
      </c>
      <c r="K150" s="10">
        <v>1588.4</v>
      </c>
      <c r="L150" s="4">
        <v>7841.6</v>
      </c>
      <c r="M150" s="6">
        <f>Table2[[#This Row],[% of Solo Streams]]/100</f>
        <v>0.48353003559999996</v>
      </c>
      <c r="N150" s="3">
        <v>8375.7999999999993</v>
      </c>
      <c r="O150" s="6">
        <f>Table2[[#This Row],[% of Collaborative Streams]]/100</f>
        <v>0.51646996440000004</v>
      </c>
      <c r="P150" s="4">
        <f>Table3[[#This Row],[Lead Streams (in millions)]]+Table3[[#This Row],[Feature Streams (in millions)]]</f>
        <v>16219.9</v>
      </c>
      <c r="Q150" s="4">
        <f>_xlfn.RANK.EQ(Table3[[#This Row],[Total Stream]],Table3[Total Stream],0)</f>
        <v>149</v>
      </c>
      <c r="R150" s="4">
        <f>Table3[[#This Row],[Total Streams (in millions)]]-Table3[[#This Row],[Total Stream]]</f>
        <v>-2.5</v>
      </c>
      <c r="S150" s="8">
        <f>IFERROR(Table3[[#This Row],[Collaborative Streams (in millions)]]/Table3[[#This Row],[Total Stream]],0)</f>
        <v>0.51639035998988891</v>
      </c>
      <c r="T150" t="str">
        <f>IF(Table3[[#This Row],[Total Streams (in millions)]]&gt;=50000,"High Performer",IF(Table3[[#This Row],[Total Streams (in millions)]]&gt;=20000,"Medium Performer","Low Performer"))</f>
        <v>Low Performer</v>
      </c>
    </row>
    <row r="151" spans="1:20" x14ac:dyDescent="0.3">
      <c r="A151" s="11" t="s">
        <v>212</v>
      </c>
      <c r="B151" s="11" t="s">
        <v>20</v>
      </c>
      <c r="C151" s="11" t="s">
        <v>21</v>
      </c>
      <c r="D151" s="11" t="s">
        <v>16</v>
      </c>
      <c r="E151" s="11" t="s">
        <v>22</v>
      </c>
      <c r="F151" s="11" t="s">
        <v>18</v>
      </c>
      <c r="G151" s="12">
        <v>1998</v>
      </c>
      <c r="H151" s="12" t="str">
        <f>IF(Table3[[#This Row],[Debut Year]]&lt;=2000,"1999–2000",
IF(Table3[[#This Row],[Debut Year]]&lt;=2005,"2001–2005",
IF(Table3[[#This Row],[Debut Year]]&lt;=2010,"2006–2010",
IF(Table3[[#This Row],[Debut Year]]&lt;=2015,"2011–2015",
IF(Table3[[#This Row],[Debut Year]]&lt;=2020,"2016–2020",
"2021–2025")))))</f>
        <v>1999–2000</v>
      </c>
      <c r="I151" s="12">
        <v>16148.3</v>
      </c>
      <c r="J151" s="12">
        <v>14108.3</v>
      </c>
      <c r="K151" s="12">
        <v>2048.1</v>
      </c>
      <c r="L151" s="4">
        <v>13480.8</v>
      </c>
      <c r="M151" s="6">
        <f>Table2[[#This Row],[% of Solo Streams]]/100</f>
        <v>0.83481233320000003</v>
      </c>
      <c r="N151" s="3">
        <v>2667.5</v>
      </c>
      <c r="O151" s="6">
        <f>Table2[[#This Row],[% of Collaborative Streams]]/100</f>
        <v>0.16518766679999999</v>
      </c>
      <c r="P151" s="4">
        <f>Table3[[#This Row],[Lead Streams (in millions)]]+Table3[[#This Row],[Feature Streams (in millions)]]</f>
        <v>16156.4</v>
      </c>
      <c r="Q151" s="4">
        <f>_xlfn.RANK.EQ(Table3[[#This Row],[Total Stream]],Table3[Total Stream],0)</f>
        <v>150</v>
      </c>
      <c r="R151" s="4">
        <f>Table3[[#This Row],[Total Streams (in millions)]]-Table3[[#This Row],[Total Stream]]</f>
        <v>-8.1000000000003638</v>
      </c>
      <c r="S151" s="8">
        <f>IFERROR(Table3[[#This Row],[Collaborative Streams (in millions)]]/Table3[[#This Row],[Total Stream]],0)</f>
        <v>0.16510485009036666</v>
      </c>
      <c r="T151" t="str">
        <f>IF(Table3[[#This Row],[Total Streams (in millions)]]&gt;=50000,"High Performer",IF(Table3[[#This Row],[Total Streams (in millions)]]&gt;=20000,"Medium Performer","Low Performer"))</f>
        <v>Low Performer</v>
      </c>
    </row>
    <row r="152" spans="1:20" x14ac:dyDescent="0.3">
      <c r="A152" s="9" t="s">
        <v>213</v>
      </c>
      <c r="B152" s="9" t="s">
        <v>14</v>
      </c>
      <c r="C152" s="9" t="s">
        <v>33</v>
      </c>
      <c r="D152" s="9" t="s">
        <v>16</v>
      </c>
      <c r="E152" s="9" t="s">
        <v>22</v>
      </c>
      <c r="F152" s="9" t="s">
        <v>18</v>
      </c>
      <c r="G152" s="10">
        <v>2012</v>
      </c>
      <c r="H152" s="10" t="str">
        <f>IF(Table3[[#This Row],[Debut Year]]&lt;=2000,"1999–2000",
IF(Table3[[#This Row],[Debut Year]]&lt;=2005,"2001–2005",
IF(Table3[[#This Row],[Debut Year]]&lt;=2010,"2006–2010",
IF(Table3[[#This Row],[Debut Year]]&lt;=2015,"2011–2015",
IF(Table3[[#This Row],[Debut Year]]&lt;=2020,"2016–2020",
"2021–2025")))))</f>
        <v>2011–2015</v>
      </c>
      <c r="I152" s="10">
        <v>16111.6</v>
      </c>
      <c r="J152" s="10">
        <v>14817.7</v>
      </c>
      <c r="K152" s="10">
        <v>1297.5999999999999</v>
      </c>
      <c r="L152" s="4">
        <v>12881.3</v>
      </c>
      <c r="M152" s="6">
        <f>Table2[[#This Row],[% of Solo Streams]]/100</f>
        <v>0.79950470470000001</v>
      </c>
      <c r="N152" s="3">
        <v>3230.3</v>
      </c>
      <c r="O152" s="6">
        <f>Table2[[#This Row],[% of Collaborative Streams]]/100</f>
        <v>0.20049529530000001</v>
      </c>
      <c r="P152" s="4">
        <f>Table3[[#This Row],[Lead Streams (in millions)]]+Table3[[#This Row],[Feature Streams (in millions)]]</f>
        <v>16115.300000000001</v>
      </c>
      <c r="Q152" s="4">
        <f>_xlfn.RANK.EQ(Table3[[#This Row],[Total Stream]],Table3[Total Stream],0)</f>
        <v>151</v>
      </c>
      <c r="R152" s="4">
        <f>Table3[[#This Row],[Total Streams (in millions)]]-Table3[[#This Row],[Total Stream]]</f>
        <v>-3.7000000000007276</v>
      </c>
      <c r="S152" s="8">
        <f>IFERROR(Table3[[#This Row],[Collaborative Streams (in millions)]]/Table3[[#This Row],[Total Stream]],0)</f>
        <v>0.20044926250209427</v>
      </c>
      <c r="T152" t="str">
        <f>IF(Table3[[#This Row],[Total Streams (in millions)]]&gt;=50000,"High Performer",IF(Table3[[#This Row],[Total Streams (in millions)]]&gt;=20000,"Medium Performer","Low Performer"))</f>
        <v>Low Performer</v>
      </c>
    </row>
    <row r="153" spans="1:20" x14ac:dyDescent="0.3">
      <c r="A153" s="11" t="s">
        <v>214</v>
      </c>
      <c r="B153" s="11" t="s">
        <v>14</v>
      </c>
      <c r="C153" s="11" t="s">
        <v>15</v>
      </c>
      <c r="D153" s="11" t="s">
        <v>16</v>
      </c>
      <c r="E153" s="11" t="s">
        <v>17</v>
      </c>
      <c r="F153" s="11" t="s">
        <v>18</v>
      </c>
      <c r="G153" s="12">
        <v>2009</v>
      </c>
      <c r="H153" s="12" t="str">
        <f>IF(Table3[[#This Row],[Debut Year]]&lt;=2000,"1999–2000",
IF(Table3[[#This Row],[Debut Year]]&lt;=2005,"2001–2005",
IF(Table3[[#This Row],[Debut Year]]&lt;=2010,"2006–2010",
IF(Table3[[#This Row],[Debut Year]]&lt;=2015,"2011–2015",
IF(Table3[[#This Row],[Debut Year]]&lt;=2020,"2016–2020",
"2021–2025")))))</f>
        <v>2006–2010</v>
      </c>
      <c r="I153" s="12">
        <v>16021.1</v>
      </c>
      <c r="J153" s="12">
        <v>11602.1</v>
      </c>
      <c r="K153" s="12">
        <v>4424.8</v>
      </c>
      <c r="L153" s="4">
        <v>8229.4</v>
      </c>
      <c r="M153" s="6">
        <f>Table2[[#This Row],[% of Solo Streams]]/100</f>
        <v>0.51366011069999995</v>
      </c>
      <c r="N153" s="3">
        <v>7791.7</v>
      </c>
      <c r="O153" s="6">
        <f>Table2[[#This Row],[% of Collaborative Streams]]/100</f>
        <v>0.48633988929999999</v>
      </c>
      <c r="P153" s="4">
        <f>Table3[[#This Row],[Lead Streams (in millions)]]+Table3[[#This Row],[Feature Streams (in millions)]]</f>
        <v>16026.900000000001</v>
      </c>
      <c r="Q153" s="4">
        <f>_xlfn.RANK.EQ(Table3[[#This Row],[Total Stream]],Table3[Total Stream],0)</f>
        <v>152</v>
      </c>
      <c r="R153" s="4">
        <f>Table3[[#This Row],[Total Streams (in millions)]]-Table3[[#This Row],[Total Stream]]</f>
        <v>-5.8000000000010914</v>
      </c>
      <c r="S153" s="8">
        <f>IFERROR(Table3[[#This Row],[Collaborative Streams (in millions)]]/Table3[[#This Row],[Total Stream]],0)</f>
        <v>0.48616388696503998</v>
      </c>
      <c r="T153" t="str">
        <f>IF(Table3[[#This Row],[Total Streams (in millions)]]&gt;=50000,"High Performer",IF(Table3[[#This Row],[Total Streams (in millions)]]&gt;=20000,"Medium Performer","Low Performer"))</f>
        <v>Low Performer</v>
      </c>
    </row>
    <row r="154" spans="1:20" x14ac:dyDescent="0.3">
      <c r="A154" s="9" t="s">
        <v>215</v>
      </c>
      <c r="B154" s="9" t="s">
        <v>14</v>
      </c>
      <c r="C154" s="9" t="s">
        <v>21</v>
      </c>
      <c r="D154" s="9" t="s">
        <v>16</v>
      </c>
      <c r="E154" s="9" t="s">
        <v>17</v>
      </c>
      <c r="F154" s="9" t="s">
        <v>18</v>
      </c>
      <c r="G154" s="10">
        <v>2006</v>
      </c>
      <c r="H154" s="10" t="str">
        <f>IF(Table3[[#This Row],[Debut Year]]&lt;=2000,"1999–2000",
IF(Table3[[#This Row],[Debut Year]]&lt;=2005,"2001–2005",
IF(Table3[[#This Row],[Debut Year]]&lt;=2010,"2006–2010",
IF(Table3[[#This Row],[Debut Year]]&lt;=2015,"2011–2015",
IF(Table3[[#This Row],[Debut Year]]&lt;=2020,"2016–2020",
"2021–2025")))))</f>
        <v>2006–2010</v>
      </c>
      <c r="I154" s="10">
        <v>15952.2</v>
      </c>
      <c r="J154" s="10">
        <v>4000.7</v>
      </c>
      <c r="K154" s="10">
        <v>11957.2</v>
      </c>
      <c r="L154" s="4">
        <v>2951.3</v>
      </c>
      <c r="M154" s="6">
        <f>Table2[[#This Row],[% of Solo Streams]]/100</f>
        <v>0.18500896430000002</v>
      </c>
      <c r="N154" s="3">
        <v>13000.9</v>
      </c>
      <c r="O154" s="6">
        <f>Table2[[#This Row],[% of Collaborative Streams]]/100</f>
        <v>0.81499103569999998</v>
      </c>
      <c r="P154" s="4">
        <f>Table3[[#This Row],[Lead Streams (in millions)]]+Table3[[#This Row],[Feature Streams (in millions)]]</f>
        <v>15957.900000000001</v>
      </c>
      <c r="Q154" s="4">
        <f>_xlfn.RANK.EQ(Table3[[#This Row],[Total Stream]],Table3[Total Stream],0)</f>
        <v>153</v>
      </c>
      <c r="R154" s="4">
        <f>Table3[[#This Row],[Total Streams (in millions)]]-Table3[[#This Row],[Total Stream]]</f>
        <v>-5.7000000000007276</v>
      </c>
      <c r="S154" s="8">
        <f>IFERROR(Table3[[#This Row],[Collaborative Streams (in millions)]]/Table3[[#This Row],[Total Stream]],0)</f>
        <v>0.81469992918867762</v>
      </c>
      <c r="T154" t="str">
        <f>IF(Table3[[#This Row],[Total Streams (in millions)]]&gt;=50000,"High Performer",IF(Table3[[#This Row],[Total Streams (in millions)]]&gt;=20000,"Medium Performer","Low Performer"))</f>
        <v>Low Performer</v>
      </c>
    </row>
    <row r="155" spans="1:20" x14ac:dyDescent="0.3">
      <c r="A155" s="11" t="s">
        <v>216</v>
      </c>
      <c r="B155" s="11" t="s">
        <v>14</v>
      </c>
      <c r="C155" s="11" t="s">
        <v>59</v>
      </c>
      <c r="D155" s="11" t="s">
        <v>16</v>
      </c>
      <c r="E155" s="11" t="s">
        <v>60</v>
      </c>
      <c r="F155" s="11" t="s">
        <v>18</v>
      </c>
      <c r="G155" s="12">
        <v>2013</v>
      </c>
      <c r="H155" s="12" t="str">
        <f>IF(Table3[[#This Row],[Debut Year]]&lt;=2000,"1999–2000",
IF(Table3[[#This Row],[Debut Year]]&lt;=2005,"2001–2005",
IF(Table3[[#This Row],[Debut Year]]&lt;=2010,"2006–2010",
IF(Table3[[#This Row],[Debut Year]]&lt;=2015,"2011–2015",
IF(Table3[[#This Row],[Debut Year]]&lt;=2020,"2016–2020",
"2021–2025")))))</f>
        <v>2011–2015</v>
      </c>
      <c r="I155" s="12">
        <v>15921.1</v>
      </c>
      <c r="J155" s="12">
        <v>12030.1</v>
      </c>
      <c r="K155" s="12">
        <v>3896.3</v>
      </c>
      <c r="L155" s="4">
        <v>527.5</v>
      </c>
      <c r="M155" s="6">
        <f>Table2[[#This Row],[% of Solo Streams]]/100</f>
        <v>3.3132132830000001E-2</v>
      </c>
      <c r="N155" s="3">
        <v>15393.6</v>
      </c>
      <c r="O155" s="6">
        <f>Table2[[#This Row],[% of Collaborative Streams]]/100</f>
        <v>0.96686786719999995</v>
      </c>
      <c r="P155" s="4">
        <f>Table3[[#This Row],[Lead Streams (in millions)]]+Table3[[#This Row],[Feature Streams (in millions)]]</f>
        <v>15926.400000000001</v>
      </c>
      <c r="Q155" s="4">
        <f>_xlfn.RANK.EQ(Table3[[#This Row],[Total Stream]],Table3[Total Stream],0)</f>
        <v>154</v>
      </c>
      <c r="R155" s="4">
        <f>Table3[[#This Row],[Total Streams (in millions)]]-Table3[[#This Row],[Total Stream]]</f>
        <v>-5.3000000000010914</v>
      </c>
      <c r="S155" s="8">
        <f>IFERROR(Table3[[#This Row],[Collaborative Streams (in millions)]]/Table3[[#This Row],[Total Stream]],0)</f>
        <v>0.96654611211573227</v>
      </c>
      <c r="T155" t="str">
        <f>IF(Table3[[#This Row],[Total Streams (in millions)]]&gt;=50000,"High Performer",IF(Table3[[#This Row],[Total Streams (in millions)]]&gt;=20000,"Medium Performer","Low Performer"))</f>
        <v>Low Performer</v>
      </c>
    </row>
    <row r="156" spans="1:20" x14ac:dyDescent="0.3">
      <c r="A156" s="9" t="s">
        <v>217</v>
      </c>
      <c r="B156" s="9" t="s">
        <v>14</v>
      </c>
      <c r="C156" s="9" t="s">
        <v>15</v>
      </c>
      <c r="D156" s="9" t="s">
        <v>16</v>
      </c>
      <c r="E156" s="9" t="s">
        <v>27</v>
      </c>
      <c r="F156" s="9" t="s">
        <v>18</v>
      </c>
      <c r="G156" s="10">
        <v>2014</v>
      </c>
      <c r="H156" s="10" t="str">
        <f>IF(Table3[[#This Row],[Debut Year]]&lt;=2000,"1999–2000",
IF(Table3[[#This Row],[Debut Year]]&lt;=2005,"2001–2005",
IF(Table3[[#This Row],[Debut Year]]&lt;=2010,"2006–2010",
IF(Table3[[#This Row],[Debut Year]]&lt;=2015,"2011–2015",
IF(Table3[[#This Row],[Debut Year]]&lt;=2020,"2016–2020",
"2021–2025")))))</f>
        <v>2011–2015</v>
      </c>
      <c r="I156" s="10">
        <v>15876.2</v>
      </c>
      <c r="J156" s="10">
        <v>12905.1</v>
      </c>
      <c r="K156" s="10">
        <v>2982.4</v>
      </c>
      <c r="L156" s="4">
        <v>7353.2</v>
      </c>
      <c r="M156" s="6">
        <f>Table2[[#This Row],[% of Solo Streams]]/100</f>
        <v>0.46315869040000002</v>
      </c>
      <c r="N156" s="3">
        <v>8523</v>
      </c>
      <c r="O156" s="6">
        <f>Table2[[#This Row],[% of Collaborative Streams]]/100</f>
        <v>0.53684130959999998</v>
      </c>
      <c r="P156" s="4">
        <f>Table3[[#This Row],[Lead Streams (in millions)]]+Table3[[#This Row],[Feature Streams (in millions)]]</f>
        <v>15887.5</v>
      </c>
      <c r="Q156" s="4">
        <f>_xlfn.RANK.EQ(Table3[[#This Row],[Total Stream]],Table3[Total Stream],0)</f>
        <v>155</v>
      </c>
      <c r="R156" s="4">
        <f>Table3[[#This Row],[Total Streams (in millions)]]-Table3[[#This Row],[Total Stream]]</f>
        <v>-11.299999999999272</v>
      </c>
      <c r="S156" s="8">
        <f>IFERROR(Table3[[#This Row],[Collaborative Streams (in millions)]]/Table3[[#This Row],[Total Stream]],0)</f>
        <v>0.53645948072383953</v>
      </c>
      <c r="T156" t="str">
        <f>IF(Table3[[#This Row],[Total Streams (in millions)]]&gt;=50000,"High Performer",IF(Table3[[#This Row],[Total Streams (in millions)]]&gt;=20000,"Medium Performer","Low Performer"))</f>
        <v>Low Performer</v>
      </c>
    </row>
    <row r="157" spans="1:20" x14ac:dyDescent="0.3">
      <c r="A157" s="11" t="s">
        <v>218</v>
      </c>
      <c r="B157" s="11" t="s">
        <v>78</v>
      </c>
      <c r="C157" s="11" t="s">
        <v>21</v>
      </c>
      <c r="D157" s="11" t="s">
        <v>16</v>
      </c>
      <c r="E157" s="11" t="s">
        <v>17</v>
      </c>
      <c r="F157" s="11" t="s">
        <v>48</v>
      </c>
      <c r="G157" s="12">
        <v>1998</v>
      </c>
      <c r="H157" s="12" t="str">
        <f>IF(Table3[[#This Row],[Debut Year]]&lt;=2000,"1999–2000",
IF(Table3[[#This Row],[Debut Year]]&lt;=2005,"2001–2005",
IF(Table3[[#This Row],[Debut Year]]&lt;=2010,"2006–2010",
IF(Table3[[#This Row],[Debut Year]]&lt;=2015,"2011–2015",
IF(Table3[[#This Row],[Debut Year]]&lt;=2020,"2016–2020",
"2021–2025")))))</f>
        <v>1999–2000</v>
      </c>
      <c r="I157" s="12">
        <v>15775.7</v>
      </c>
      <c r="J157" s="12">
        <v>15257.4</v>
      </c>
      <c r="K157" s="12">
        <v>527.70000000000005</v>
      </c>
      <c r="L157" s="4">
        <v>11623</v>
      </c>
      <c r="M157" s="6">
        <f>Table2[[#This Row],[% of Solo Streams]]/100</f>
        <v>0.73676603889999992</v>
      </c>
      <c r="N157" s="3">
        <v>4152.7</v>
      </c>
      <c r="O157" s="6">
        <f>Table2[[#This Row],[% of Collaborative Streams]]/100</f>
        <v>0.26323396110000002</v>
      </c>
      <c r="P157" s="4">
        <f>Table3[[#This Row],[Lead Streams (in millions)]]+Table3[[#This Row],[Feature Streams (in millions)]]</f>
        <v>15785.1</v>
      </c>
      <c r="Q157" s="4">
        <f>_xlfn.RANK.EQ(Table3[[#This Row],[Total Stream]],Table3[Total Stream],0)</f>
        <v>156</v>
      </c>
      <c r="R157" s="4">
        <f>Table3[[#This Row],[Total Streams (in millions)]]-Table3[[#This Row],[Total Stream]]</f>
        <v>-9.3999999999996362</v>
      </c>
      <c r="S157" s="8">
        <f>IFERROR(Table3[[#This Row],[Collaborative Streams (in millions)]]/Table3[[#This Row],[Total Stream]],0)</f>
        <v>0.26307720571931759</v>
      </c>
      <c r="T157" t="str">
        <f>IF(Table3[[#This Row],[Total Streams (in millions)]]&gt;=50000,"High Performer",IF(Table3[[#This Row],[Total Streams (in millions)]]&gt;=20000,"Medium Performer","Low Performer"))</f>
        <v>Low Performer</v>
      </c>
    </row>
    <row r="158" spans="1:20" x14ac:dyDescent="0.3">
      <c r="A158" s="9" t="s">
        <v>219</v>
      </c>
      <c r="B158" s="9" t="s">
        <v>14</v>
      </c>
      <c r="C158" s="9" t="s">
        <v>21</v>
      </c>
      <c r="D158" s="9" t="s">
        <v>16</v>
      </c>
      <c r="E158" s="9" t="s">
        <v>17</v>
      </c>
      <c r="F158" s="9" t="s">
        <v>18</v>
      </c>
      <c r="G158" s="10">
        <v>2010</v>
      </c>
      <c r="H158" s="10" t="str">
        <f>IF(Table3[[#This Row],[Debut Year]]&lt;=2000,"1999–2000",
IF(Table3[[#This Row],[Debut Year]]&lt;=2005,"2001–2005",
IF(Table3[[#This Row],[Debut Year]]&lt;=2010,"2006–2010",
IF(Table3[[#This Row],[Debut Year]]&lt;=2015,"2011–2015",
IF(Table3[[#This Row],[Debut Year]]&lt;=2020,"2016–2020",
"2021–2025")))))</f>
        <v>2006–2010</v>
      </c>
      <c r="I158" s="10">
        <v>15746</v>
      </c>
      <c r="J158" s="10">
        <v>502.4</v>
      </c>
      <c r="K158" s="10">
        <v>15243.6</v>
      </c>
      <c r="L158" s="4">
        <v>142.80000000000001</v>
      </c>
      <c r="M158" s="6">
        <f>Table2[[#This Row],[% of Solo Streams]]/100</f>
        <v>9.068969897E-3</v>
      </c>
      <c r="N158" s="3">
        <v>15603.2</v>
      </c>
      <c r="O158" s="6">
        <f>Table2[[#This Row],[% of Collaborative Streams]]/100</f>
        <v>0.99093103009999994</v>
      </c>
      <c r="P158" s="4">
        <f>Table3[[#This Row],[Lead Streams (in millions)]]+Table3[[#This Row],[Feature Streams (in millions)]]</f>
        <v>15746</v>
      </c>
      <c r="Q158" s="4">
        <f>_xlfn.RANK.EQ(Table3[[#This Row],[Total Stream]],Table3[Total Stream],0)</f>
        <v>157</v>
      </c>
      <c r="R158" s="4">
        <f>Table3[[#This Row],[Total Streams (in millions)]]-Table3[[#This Row],[Total Stream]]</f>
        <v>0</v>
      </c>
      <c r="S158" s="8">
        <f>IFERROR(Table3[[#This Row],[Collaborative Streams (in millions)]]/Table3[[#This Row],[Total Stream]],0)</f>
        <v>0.9909310301028833</v>
      </c>
      <c r="T158" t="str">
        <f>IF(Table3[[#This Row],[Total Streams (in millions)]]&gt;=50000,"High Performer",IF(Table3[[#This Row],[Total Streams (in millions)]]&gt;=20000,"Medium Performer","Low Performer"))</f>
        <v>Low Performer</v>
      </c>
    </row>
    <row r="159" spans="1:20" x14ac:dyDescent="0.3">
      <c r="A159" s="11" t="s">
        <v>220</v>
      </c>
      <c r="B159" s="11" t="s">
        <v>20</v>
      </c>
      <c r="C159" s="11" t="s">
        <v>71</v>
      </c>
      <c r="D159" s="11" t="s">
        <v>72</v>
      </c>
      <c r="E159" s="11" t="s">
        <v>73</v>
      </c>
      <c r="F159" s="11" t="s">
        <v>18</v>
      </c>
      <c r="G159" s="12">
        <v>2002</v>
      </c>
      <c r="H159" s="12" t="str">
        <f>IF(Table3[[#This Row],[Debut Year]]&lt;=2000,"1999–2000",
IF(Table3[[#This Row],[Debut Year]]&lt;=2005,"2001–2005",
IF(Table3[[#This Row],[Debut Year]]&lt;=2010,"2006–2010",
IF(Table3[[#This Row],[Debut Year]]&lt;=2015,"2011–2015",
IF(Table3[[#This Row],[Debut Year]]&lt;=2020,"2016–2020",
"2021–2025")))))</f>
        <v>2001–2005</v>
      </c>
      <c r="I159" s="12">
        <v>15723</v>
      </c>
      <c r="J159" s="12">
        <v>2035.3</v>
      </c>
      <c r="K159" s="12">
        <v>13703.9</v>
      </c>
      <c r="L159" s="4">
        <v>690.5</v>
      </c>
      <c r="M159" s="6">
        <f>Table2[[#This Row],[% of Solo Streams]]/100</f>
        <v>4.3916555359999998E-2</v>
      </c>
      <c r="N159" s="3">
        <v>15032.5</v>
      </c>
      <c r="O159" s="6">
        <f>Table2[[#This Row],[% of Collaborative Streams]]/100</f>
        <v>0.95608344459999994</v>
      </c>
      <c r="P159" s="4">
        <f>Table3[[#This Row],[Lead Streams (in millions)]]+Table3[[#This Row],[Feature Streams (in millions)]]</f>
        <v>15739.199999999999</v>
      </c>
      <c r="Q159" s="4">
        <f>_xlfn.RANK.EQ(Table3[[#This Row],[Total Stream]],Table3[Total Stream],0)</f>
        <v>158</v>
      </c>
      <c r="R159" s="4">
        <f>Table3[[#This Row],[Total Streams (in millions)]]-Table3[[#This Row],[Total Stream]]</f>
        <v>-16.199999999998909</v>
      </c>
      <c r="S159" s="8">
        <f>IFERROR(Table3[[#This Row],[Collaborative Streams (in millions)]]/Table3[[#This Row],[Total Stream]],0)</f>
        <v>0.95509936972654275</v>
      </c>
      <c r="T159" t="str">
        <f>IF(Table3[[#This Row],[Total Streams (in millions)]]&gt;=50000,"High Performer",IF(Table3[[#This Row],[Total Streams (in millions)]]&gt;=20000,"Medium Performer","Low Performer"))</f>
        <v>Low Performer</v>
      </c>
    </row>
    <row r="160" spans="1:20" x14ac:dyDescent="0.3">
      <c r="A160" s="9" t="s">
        <v>221</v>
      </c>
      <c r="B160" s="9" t="s">
        <v>14</v>
      </c>
      <c r="C160" s="9" t="s">
        <v>222</v>
      </c>
      <c r="D160" s="9" t="s">
        <v>24</v>
      </c>
      <c r="E160" s="9" t="s">
        <v>17</v>
      </c>
      <c r="F160" s="9" t="s">
        <v>18</v>
      </c>
      <c r="G160" s="10">
        <v>2016</v>
      </c>
      <c r="H160" s="10" t="str">
        <f>IF(Table3[[#This Row],[Debut Year]]&lt;=2000,"1999–2000",
IF(Table3[[#This Row],[Debut Year]]&lt;=2005,"2001–2005",
IF(Table3[[#This Row],[Debut Year]]&lt;=2010,"2006–2010",
IF(Table3[[#This Row],[Debut Year]]&lt;=2015,"2011–2015",
IF(Table3[[#This Row],[Debut Year]]&lt;=2020,"2016–2020",
"2021–2025")))))</f>
        <v>2016–2020</v>
      </c>
      <c r="I160" s="10">
        <v>15684.7</v>
      </c>
      <c r="J160" s="10">
        <v>7885.7</v>
      </c>
      <c r="K160" s="10">
        <v>7799</v>
      </c>
      <c r="L160" s="4">
        <v>3430.6</v>
      </c>
      <c r="M160" s="6">
        <f>Table2[[#This Row],[% of Solo Streams]]/100</f>
        <v>0.21872270430000001</v>
      </c>
      <c r="N160" s="3">
        <v>12254.1</v>
      </c>
      <c r="O160" s="6">
        <f>Table2[[#This Row],[% of Collaborative Streams]]/100</f>
        <v>0.78127729570000004</v>
      </c>
      <c r="P160" s="4">
        <f>Table3[[#This Row],[Lead Streams (in millions)]]+Table3[[#This Row],[Feature Streams (in millions)]]</f>
        <v>15684.7</v>
      </c>
      <c r="Q160" s="4">
        <f>_xlfn.RANK.EQ(Table3[[#This Row],[Total Stream]],Table3[Total Stream],0)</f>
        <v>159</v>
      </c>
      <c r="R160" s="4">
        <f>Table3[[#This Row],[Total Streams (in millions)]]-Table3[[#This Row],[Total Stream]]</f>
        <v>0</v>
      </c>
      <c r="S160" s="8">
        <f>IFERROR(Table3[[#This Row],[Collaborative Streams (in millions)]]/Table3[[#This Row],[Total Stream]],0)</f>
        <v>0.78127729570855675</v>
      </c>
      <c r="T160" t="str">
        <f>IF(Table3[[#This Row],[Total Streams (in millions)]]&gt;=50000,"High Performer",IF(Table3[[#This Row],[Total Streams (in millions)]]&gt;=20000,"Medium Performer","Low Performer"))</f>
        <v>Low Performer</v>
      </c>
    </row>
    <row r="161" spans="1:20" x14ac:dyDescent="0.3">
      <c r="A161" s="11" t="s">
        <v>223</v>
      </c>
      <c r="B161" s="11" t="s">
        <v>14</v>
      </c>
      <c r="C161" s="11" t="s">
        <v>222</v>
      </c>
      <c r="D161" s="11" t="s">
        <v>24</v>
      </c>
      <c r="E161" s="11" t="s">
        <v>82</v>
      </c>
      <c r="F161" s="11" t="s">
        <v>18</v>
      </c>
      <c r="G161" s="12">
        <v>2017</v>
      </c>
      <c r="H161" s="12" t="str">
        <f>IF(Table3[[#This Row],[Debut Year]]&lt;=2000,"1999–2000",
IF(Table3[[#This Row],[Debut Year]]&lt;=2005,"2001–2005",
IF(Table3[[#This Row],[Debut Year]]&lt;=2010,"2006–2010",
IF(Table3[[#This Row],[Debut Year]]&lt;=2015,"2011–2015",
IF(Table3[[#This Row],[Debut Year]]&lt;=2020,"2016–2020",
"2021–2025")))))</f>
        <v>2016–2020</v>
      </c>
      <c r="I161" s="12">
        <v>15638.8</v>
      </c>
      <c r="J161" s="12">
        <v>13216.1</v>
      </c>
      <c r="K161" s="12">
        <v>2427.1999999999998</v>
      </c>
      <c r="L161" s="4">
        <v>84.5</v>
      </c>
      <c r="M161" s="6">
        <f>Table2[[#This Row],[% of Solo Streams]]/100</f>
        <v>5.4032278690000005E-3</v>
      </c>
      <c r="N161" s="3">
        <v>15554.3</v>
      </c>
      <c r="O161" s="6">
        <f>Table2[[#This Row],[% of Collaborative Streams]]/100</f>
        <v>0.99459677209999997</v>
      </c>
      <c r="P161" s="4">
        <f>Table3[[#This Row],[Lead Streams (in millions)]]+Table3[[#This Row],[Feature Streams (in millions)]]</f>
        <v>15643.3</v>
      </c>
      <c r="Q161" s="4">
        <f>_xlfn.RANK.EQ(Table3[[#This Row],[Total Stream]],Table3[Total Stream],0)</f>
        <v>160</v>
      </c>
      <c r="R161" s="4">
        <f>Table3[[#This Row],[Total Streams (in millions)]]-Table3[[#This Row],[Total Stream]]</f>
        <v>-4.5</v>
      </c>
      <c r="S161" s="8">
        <f>IFERROR(Table3[[#This Row],[Collaborative Streams (in millions)]]/Table3[[#This Row],[Total Stream]],0)</f>
        <v>0.9943106633510832</v>
      </c>
      <c r="T161" t="str">
        <f>IF(Table3[[#This Row],[Total Streams (in millions)]]&gt;=50000,"High Performer",IF(Table3[[#This Row],[Total Streams (in millions)]]&gt;=20000,"Medium Performer","Low Performer"))</f>
        <v>Low Performer</v>
      </c>
    </row>
    <row r="162" spans="1:20" x14ac:dyDescent="0.3">
      <c r="A162" s="9" t="s">
        <v>224</v>
      </c>
      <c r="B162" s="9" t="s">
        <v>14</v>
      </c>
      <c r="C162" s="9" t="s">
        <v>21</v>
      </c>
      <c r="D162" s="9" t="s">
        <v>16</v>
      </c>
      <c r="E162" s="9" t="s">
        <v>17</v>
      </c>
      <c r="F162" s="9" t="s">
        <v>48</v>
      </c>
      <c r="G162" s="10">
        <v>2013</v>
      </c>
      <c r="H162" s="10" t="str">
        <f>IF(Table3[[#This Row],[Debut Year]]&lt;=2000,"1999–2000",
IF(Table3[[#This Row],[Debut Year]]&lt;=2005,"2001–2005",
IF(Table3[[#This Row],[Debut Year]]&lt;=2010,"2006–2010",
IF(Table3[[#This Row],[Debut Year]]&lt;=2015,"2011–2015",
IF(Table3[[#This Row],[Debut Year]]&lt;=2020,"2016–2020",
"2021–2025")))))</f>
        <v>2011–2015</v>
      </c>
      <c r="I162" s="10">
        <v>15562.1</v>
      </c>
      <c r="J162" s="10">
        <v>13694</v>
      </c>
      <c r="K162" s="10">
        <v>1874.1</v>
      </c>
      <c r="L162" s="4">
        <v>4814.8999999999996</v>
      </c>
      <c r="M162" s="6">
        <f>Table2[[#This Row],[% of Solo Streams]]/100</f>
        <v>0.30939911710000001</v>
      </c>
      <c r="N162" s="3">
        <v>10747.2</v>
      </c>
      <c r="O162" s="6">
        <f>Table2[[#This Row],[% of Collaborative Streams]]/100</f>
        <v>0.69060088289999999</v>
      </c>
      <c r="P162" s="4">
        <f>Table3[[#This Row],[Lead Streams (in millions)]]+Table3[[#This Row],[Feature Streams (in millions)]]</f>
        <v>15568.1</v>
      </c>
      <c r="Q162" s="4">
        <f>_xlfn.RANK.EQ(Table3[[#This Row],[Total Stream]],Table3[Total Stream],0)</f>
        <v>161</v>
      </c>
      <c r="R162" s="4">
        <f>Table3[[#This Row],[Total Streams (in millions)]]-Table3[[#This Row],[Total Stream]]</f>
        <v>-6</v>
      </c>
      <c r="S162" s="8">
        <f>IFERROR(Table3[[#This Row],[Collaborative Streams (in millions)]]/Table3[[#This Row],[Total Stream]],0)</f>
        <v>0.69033472292701104</v>
      </c>
      <c r="T162" t="str">
        <f>IF(Table3[[#This Row],[Total Streams (in millions)]]&gt;=50000,"High Performer",IF(Table3[[#This Row],[Total Streams (in millions)]]&gt;=20000,"Medium Performer","Low Performer"))</f>
        <v>Low Performer</v>
      </c>
    </row>
    <row r="163" spans="1:20" x14ac:dyDescent="0.3">
      <c r="A163" s="11" t="s">
        <v>225</v>
      </c>
      <c r="B163" s="11" t="s">
        <v>14</v>
      </c>
      <c r="C163" s="11" t="s">
        <v>94</v>
      </c>
      <c r="D163" s="11" t="s">
        <v>16</v>
      </c>
      <c r="E163" s="11" t="s">
        <v>17</v>
      </c>
      <c r="F163" s="11" t="s">
        <v>18</v>
      </c>
      <c r="G163" s="12">
        <v>2018</v>
      </c>
      <c r="H163" s="12" t="str">
        <f>IF(Table3[[#This Row],[Debut Year]]&lt;=2000,"1999–2000",
IF(Table3[[#This Row],[Debut Year]]&lt;=2005,"2001–2005",
IF(Table3[[#This Row],[Debut Year]]&lt;=2010,"2006–2010",
IF(Table3[[#This Row],[Debut Year]]&lt;=2015,"2011–2015",
IF(Table3[[#This Row],[Debut Year]]&lt;=2020,"2016–2020",
"2021–2025")))))</f>
        <v>2016–2020</v>
      </c>
      <c r="I163" s="12">
        <v>15561.7</v>
      </c>
      <c r="J163" s="12">
        <v>10487.9</v>
      </c>
      <c r="K163" s="12">
        <v>5077.6000000000004</v>
      </c>
      <c r="L163" s="4">
        <v>6776.1</v>
      </c>
      <c r="M163" s="6">
        <f>Table2[[#This Row],[% of Solo Streams]]/100</f>
        <v>0.43543443199999998</v>
      </c>
      <c r="N163" s="3">
        <v>8785.6</v>
      </c>
      <c r="O163" s="6">
        <f>Table2[[#This Row],[% of Collaborative Streams]]/100</f>
        <v>0.56456556800000002</v>
      </c>
      <c r="P163" s="4">
        <f>Table3[[#This Row],[Lead Streams (in millions)]]+Table3[[#This Row],[Feature Streams (in millions)]]</f>
        <v>15565.5</v>
      </c>
      <c r="Q163" s="4">
        <f>_xlfn.RANK.EQ(Table3[[#This Row],[Total Stream]],Table3[Total Stream],0)</f>
        <v>162</v>
      </c>
      <c r="R163" s="4">
        <f>Table3[[#This Row],[Total Streams (in millions)]]-Table3[[#This Row],[Total Stream]]</f>
        <v>-3.7999999999992724</v>
      </c>
      <c r="S163" s="8">
        <f>IFERROR(Table3[[#This Row],[Collaborative Streams (in millions)]]/Table3[[#This Row],[Total Stream]],0)</f>
        <v>0.56442774083710778</v>
      </c>
      <c r="T163" t="str">
        <f>IF(Table3[[#This Row],[Total Streams (in millions)]]&gt;=50000,"High Performer",IF(Table3[[#This Row],[Total Streams (in millions)]]&gt;=20000,"Medium Performer","Low Performer"))</f>
        <v>Low Performer</v>
      </c>
    </row>
    <row r="164" spans="1:20" x14ac:dyDescent="0.3">
      <c r="A164" s="9" t="s">
        <v>226</v>
      </c>
      <c r="B164" s="9" t="s">
        <v>20</v>
      </c>
      <c r="C164" s="9" t="s">
        <v>166</v>
      </c>
      <c r="D164" s="9" t="s">
        <v>167</v>
      </c>
      <c r="E164" s="9" t="s">
        <v>168</v>
      </c>
      <c r="F164" s="9" t="s">
        <v>18</v>
      </c>
      <c r="G164" s="10">
        <v>2011</v>
      </c>
      <c r="H164" s="10" t="str">
        <f>IF(Table3[[#This Row],[Debut Year]]&lt;=2000,"1999–2000",
IF(Table3[[#This Row],[Debut Year]]&lt;=2005,"2001–2005",
IF(Table3[[#This Row],[Debut Year]]&lt;=2010,"2006–2010",
IF(Table3[[#This Row],[Debut Year]]&lt;=2015,"2011–2015",
IF(Table3[[#This Row],[Debut Year]]&lt;=2020,"2016–2020",
"2021–2025")))))</f>
        <v>2011–2015</v>
      </c>
      <c r="I164" s="10">
        <v>15528.2</v>
      </c>
      <c r="J164" s="10">
        <v>7743.7</v>
      </c>
      <c r="K164" s="10">
        <v>7783.6</v>
      </c>
      <c r="L164" s="4">
        <v>7736.5</v>
      </c>
      <c r="M164" s="6">
        <f>Table2[[#This Row],[% of Solo Streams]]/100</f>
        <v>0.49822258859999996</v>
      </c>
      <c r="N164" s="3">
        <v>7791.7</v>
      </c>
      <c r="O164" s="6">
        <f>Table2[[#This Row],[% of Collaborative Streams]]/100</f>
        <v>0.50177741139999998</v>
      </c>
      <c r="P164" s="4">
        <f>Table3[[#This Row],[Lead Streams (in millions)]]+Table3[[#This Row],[Feature Streams (in millions)]]</f>
        <v>15527.3</v>
      </c>
      <c r="Q164" s="4">
        <f>_xlfn.RANK.EQ(Table3[[#This Row],[Total Stream]],Table3[Total Stream],0)</f>
        <v>163</v>
      </c>
      <c r="R164" s="4">
        <f>Table3[[#This Row],[Total Streams (in millions)]]-Table3[[#This Row],[Total Stream]]</f>
        <v>0.90000000000145519</v>
      </c>
      <c r="S164" s="8">
        <f>IFERROR(Table3[[#This Row],[Collaborative Streams (in millions)]]/Table3[[#This Row],[Total Stream]],0)</f>
        <v>0.50180649565603808</v>
      </c>
      <c r="T164" t="str">
        <f>IF(Table3[[#This Row],[Total Streams (in millions)]]&gt;=50000,"High Performer",IF(Table3[[#This Row],[Total Streams (in millions)]]&gt;=20000,"Medium Performer","Low Performer"))</f>
        <v>Low Performer</v>
      </c>
    </row>
    <row r="165" spans="1:20" x14ac:dyDescent="0.3">
      <c r="A165" s="11" t="s">
        <v>227</v>
      </c>
      <c r="B165" s="11" t="s">
        <v>20</v>
      </c>
      <c r="C165" s="11" t="s">
        <v>166</v>
      </c>
      <c r="D165" s="11" t="s">
        <v>167</v>
      </c>
      <c r="E165" s="11" t="s">
        <v>22</v>
      </c>
      <c r="F165" s="11" t="s">
        <v>18</v>
      </c>
      <c r="G165" s="12">
        <v>2012</v>
      </c>
      <c r="H165" s="12" t="str">
        <f>IF(Table3[[#This Row],[Debut Year]]&lt;=2000,"1999–2000",
IF(Table3[[#This Row],[Debut Year]]&lt;=2005,"2001–2005",
IF(Table3[[#This Row],[Debut Year]]&lt;=2010,"2006–2010",
IF(Table3[[#This Row],[Debut Year]]&lt;=2015,"2011–2015",
IF(Table3[[#This Row],[Debut Year]]&lt;=2020,"2016–2020",
"2021–2025")))))</f>
        <v>2011–2015</v>
      </c>
      <c r="I165" s="12">
        <v>15525.6</v>
      </c>
      <c r="J165" s="12">
        <v>11131.7</v>
      </c>
      <c r="K165" s="12">
        <v>4374.8</v>
      </c>
      <c r="L165" s="4">
        <v>3212</v>
      </c>
      <c r="M165" s="6">
        <f>Table2[[#This Row],[% of Solo Streams]]/100</f>
        <v>0.20688411400000001</v>
      </c>
      <c r="N165" s="3">
        <v>12313.6</v>
      </c>
      <c r="O165" s="6">
        <f>Table2[[#This Row],[% of Collaborative Streams]]/100</f>
        <v>0.79311588599999994</v>
      </c>
      <c r="P165" s="4">
        <f>Table3[[#This Row],[Lead Streams (in millions)]]+Table3[[#This Row],[Feature Streams (in millions)]]</f>
        <v>15506.5</v>
      </c>
      <c r="Q165" s="4">
        <f>_xlfn.RANK.EQ(Table3[[#This Row],[Total Stream]],Table3[Total Stream],0)</f>
        <v>164</v>
      </c>
      <c r="R165" s="4">
        <f>Table3[[#This Row],[Total Streams (in millions)]]-Table3[[#This Row],[Total Stream]]</f>
        <v>19.100000000000364</v>
      </c>
      <c r="S165" s="8">
        <f>IFERROR(Table3[[#This Row],[Collaborative Streams (in millions)]]/Table3[[#This Row],[Total Stream]],0)</f>
        <v>0.7940927997936349</v>
      </c>
      <c r="T165" t="str">
        <f>IF(Table3[[#This Row],[Total Streams (in millions)]]&gt;=50000,"High Performer",IF(Table3[[#This Row],[Total Streams (in millions)]]&gt;=20000,"Medium Performer","Low Performer"))</f>
        <v>Low Performer</v>
      </c>
    </row>
    <row r="166" spans="1:20" x14ac:dyDescent="0.3">
      <c r="A166" s="9" t="s">
        <v>228</v>
      </c>
      <c r="B166" s="9" t="s">
        <v>14</v>
      </c>
      <c r="C166" s="9" t="s">
        <v>21</v>
      </c>
      <c r="D166" s="9" t="s">
        <v>16</v>
      </c>
      <c r="E166" s="9" t="s">
        <v>51</v>
      </c>
      <c r="F166" s="9" t="s">
        <v>48</v>
      </c>
      <c r="G166" s="10">
        <v>1990</v>
      </c>
      <c r="H166" s="10" t="str">
        <f>IF(Table3[[#This Row],[Debut Year]]&lt;=2000,"1999–2000",
IF(Table3[[#This Row],[Debut Year]]&lt;=2005,"2001–2005",
IF(Table3[[#This Row],[Debut Year]]&lt;=2010,"2006–2010",
IF(Table3[[#This Row],[Debut Year]]&lt;=2015,"2011–2015",
IF(Table3[[#This Row],[Debut Year]]&lt;=2020,"2016–2020",
"2021–2025")))))</f>
        <v>1999–2000</v>
      </c>
      <c r="I166" s="10">
        <v>15453.3</v>
      </c>
      <c r="J166" s="10">
        <v>15342.6</v>
      </c>
      <c r="K166" s="10">
        <v>118.3</v>
      </c>
      <c r="L166" s="4">
        <v>15333.7</v>
      </c>
      <c r="M166" s="6">
        <f>Table2[[#This Row],[% of Solo Streams]]/100</f>
        <v>0.99226055279999992</v>
      </c>
      <c r="N166" s="3">
        <v>119.6</v>
      </c>
      <c r="O166" s="6">
        <f>Table2[[#This Row],[% of Collaborative Streams]]/100</f>
        <v>7.7394472379999999E-3</v>
      </c>
      <c r="P166" s="4">
        <f>Table3[[#This Row],[Lead Streams (in millions)]]+Table3[[#This Row],[Feature Streams (in millions)]]</f>
        <v>15460.9</v>
      </c>
      <c r="Q166" s="4">
        <f>_xlfn.RANK.EQ(Table3[[#This Row],[Total Stream]],Table3[Total Stream],0)</f>
        <v>165</v>
      </c>
      <c r="R166" s="4">
        <f>Table3[[#This Row],[Total Streams (in millions)]]-Table3[[#This Row],[Total Stream]]</f>
        <v>-7.6000000000003638</v>
      </c>
      <c r="S166" s="8">
        <f>IFERROR(Table3[[#This Row],[Collaborative Streams (in millions)]]/Table3[[#This Row],[Total Stream]],0)</f>
        <v>7.7356428151013198E-3</v>
      </c>
      <c r="T166" t="str">
        <f>IF(Table3[[#This Row],[Total Streams (in millions)]]&gt;=50000,"High Performer",IF(Table3[[#This Row],[Total Streams (in millions)]]&gt;=20000,"Medium Performer","Low Performer"))</f>
        <v>Low Performer</v>
      </c>
    </row>
    <row r="167" spans="1:20" x14ac:dyDescent="0.3">
      <c r="A167" s="11" t="s">
        <v>229</v>
      </c>
      <c r="B167" s="11" t="s">
        <v>14</v>
      </c>
      <c r="C167" s="11" t="s">
        <v>21</v>
      </c>
      <c r="D167" s="11" t="s">
        <v>16</v>
      </c>
      <c r="E167" s="11" t="s">
        <v>17</v>
      </c>
      <c r="F167" s="11" t="s">
        <v>18</v>
      </c>
      <c r="G167" s="12">
        <v>2011</v>
      </c>
      <c r="H167" s="12" t="str">
        <f>IF(Table3[[#This Row],[Debut Year]]&lt;=2000,"1999–2000",
IF(Table3[[#This Row],[Debut Year]]&lt;=2005,"2001–2005",
IF(Table3[[#This Row],[Debut Year]]&lt;=2010,"2006–2010",
IF(Table3[[#This Row],[Debut Year]]&lt;=2015,"2011–2015",
IF(Table3[[#This Row],[Debut Year]]&lt;=2020,"2016–2020",
"2021–2025")))))</f>
        <v>2011–2015</v>
      </c>
      <c r="I167" s="12">
        <v>15329.4</v>
      </c>
      <c r="J167" s="12">
        <v>6848.7</v>
      </c>
      <c r="K167" s="12">
        <v>8480.7000000000007</v>
      </c>
      <c r="L167" s="4">
        <v>2898.8</v>
      </c>
      <c r="M167" s="6">
        <f>Table2[[#This Row],[% of Solo Streams]]/100</f>
        <v>0.18910068229999999</v>
      </c>
      <c r="N167" s="3">
        <v>12430.6</v>
      </c>
      <c r="O167" s="6">
        <f>Table2[[#This Row],[% of Collaborative Streams]]/100</f>
        <v>0.81089931770000012</v>
      </c>
      <c r="P167" s="4">
        <f>Table3[[#This Row],[Lead Streams (in millions)]]+Table3[[#This Row],[Feature Streams (in millions)]]</f>
        <v>15329.400000000001</v>
      </c>
      <c r="Q167" s="4">
        <f>_xlfn.RANK.EQ(Table3[[#This Row],[Total Stream]],Table3[Total Stream],0)</f>
        <v>166</v>
      </c>
      <c r="R167" s="4">
        <f>Table3[[#This Row],[Total Streams (in millions)]]-Table3[[#This Row],[Total Stream]]</f>
        <v>0</v>
      </c>
      <c r="S167" s="8">
        <f>IFERROR(Table3[[#This Row],[Collaborative Streams (in millions)]]/Table3[[#This Row],[Total Stream]],0)</f>
        <v>0.81089931765104961</v>
      </c>
      <c r="T167" t="str">
        <f>IF(Table3[[#This Row],[Total Streams (in millions)]]&gt;=50000,"High Performer",IF(Table3[[#This Row],[Total Streams (in millions)]]&gt;=20000,"Medium Performer","Low Performer"))</f>
        <v>Low Performer</v>
      </c>
    </row>
    <row r="168" spans="1:20" x14ac:dyDescent="0.3">
      <c r="A168" s="9" t="s">
        <v>230</v>
      </c>
      <c r="B168" s="9" t="s">
        <v>14</v>
      </c>
      <c r="C168" s="9" t="s">
        <v>21</v>
      </c>
      <c r="D168" s="9" t="s">
        <v>16</v>
      </c>
      <c r="E168" s="9" t="s">
        <v>17</v>
      </c>
      <c r="F168" s="9" t="s">
        <v>18</v>
      </c>
      <c r="G168" s="10">
        <v>2017</v>
      </c>
      <c r="H168" s="10" t="str">
        <f>IF(Table3[[#This Row],[Debut Year]]&lt;=2000,"1999–2000",
IF(Table3[[#This Row],[Debut Year]]&lt;=2005,"2001–2005",
IF(Table3[[#This Row],[Debut Year]]&lt;=2010,"2006–2010",
IF(Table3[[#This Row],[Debut Year]]&lt;=2015,"2011–2015",
IF(Table3[[#This Row],[Debut Year]]&lt;=2020,"2016–2020",
"2021–2025")))))</f>
        <v>2016–2020</v>
      </c>
      <c r="I168" s="10">
        <v>15252.2</v>
      </c>
      <c r="J168" s="10">
        <v>13192.5</v>
      </c>
      <c r="K168" s="10">
        <v>2067.1</v>
      </c>
      <c r="L168" s="4">
        <v>7139.4</v>
      </c>
      <c r="M168" s="6">
        <f>Table2[[#This Row],[% of Solo Streams]]/100</f>
        <v>0.46808984930000003</v>
      </c>
      <c r="N168" s="3">
        <v>8112.8</v>
      </c>
      <c r="O168" s="6">
        <f>Table2[[#This Row],[% of Collaborative Streams]]/100</f>
        <v>0.53191015070000003</v>
      </c>
      <c r="P168" s="4">
        <f>Table3[[#This Row],[Lead Streams (in millions)]]+Table3[[#This Row],[Feature Streams (in millions)]]</f>
        <v>15259.6</v>
      </c>
      <c r="Q168" s="4">
        <f>_xlfn.RANK.EQ(Table3[[#This Row],[Total Stream]],Table3[Total Stream],0)</f>
        <v>167</v>
      </c>
      <c r="R168" s="4">
        <f>Table3[[#This Row],[Total Streams (in millions)]]-Table3[[#This Row],[Total Stream]]</f>
        <v>-7.3999999999996362</v>
      </c>
      <c r="S168" s="8">
        <f>IFERROR(Table3[[#This Row],[Collaborative Streams (in millions)]]/Table3[[#This Row],[Total Stream]],0)</f>
        <v>0.5316522058245301</v>
      </c>
      <c r="T168" t="str">
        <f>IF(Table3[[#This Row],[Total Streams (in millions)]]&gt;=50000,"High Performer",IF(Table3[[#This Row],[Total Streams (in millions)]]&gt;=20000,"Medium Performer","Low Performer"))</f>
        <v>Low Performer</v>
      </c>
    </row>
    <row r="169" spans="1:20" x14ac:dyDescent="0.3">
      <c r="A169" s="11" t="s">
        <v>231</v>
      </c>
      <c r="B169" s="11" t="s">
        <v>14</v>
      </c>
      <c r="C169" s="11" t="s">
        <v>71</v>
      </c>
      <c r="D169" s="11" t="s">
        <v>232</v>
      </c>
      <c r="E169" s="11" t="s">
        <v>73</v>
      </c>
      <c r="F169" s="11" t="s">
        <v>18</v>
      </c>
      <c r="G169" s="12">
        <v>1992</v>
      </c>
      <c r="H169" s="12" t="str">
        <f>IF(Table3[[#This Row],[Debut Year]]&lt;=2000,"1999–2000",
IF(Table3[[#This Row],[Debut Year]]&lt;=2005,"2001–2005",
IF(Table3[[#This Row],[Debut Year]]&lt;=2010,"2006–2010",
IF(Table3[[#This Row],[Debut Year]]&lt;=2015,"2011–2015",
IF(Table3[[#This Row],[Debut Year]]&lt;=2020,"2016–2020",
"2021–2025")))))</f>
        <v>1999–2000</v>
      </c>
      <c r="I169" s="12">
        <v>15240.4</v>
      </c>
      <c r="J169" s="12">
        <v>10857.5</v>
      </c>
      <c r="K169" s="12">
        <v>4397.5</v>
      </c>
      <c r="L169" s="4">
        <v>594.9</v>
      </c>
      <c r="M169" s="6">
        <f>Table2[[#This Row],[% of Solo Streams]]/100</f>
        <v>3.9034408549999997E-2</v>
      </c>
      <c r="N169" s="3">
        <v>14645.5</v>
      </c>
      <c r="O169" s="6">
        <f>Table2[[#This Row],[% of Collaborative Streams]]/100</f>
        <v>0.96096559150000005</v>
      </c>
      <c r="P169" s="4">
        <f>Table3[[#This Row],[Lead Streams (in millions)]]+Table3[[#This Row],[Feature Streams (in millions)]]</f>
        <v>15255</v>
      </c>
      <c r="Q169" s="4">
        <f>_xlfn.RANK.EQ(Table3[[#This Row],[Total Stream]],Table3[Total Stream],0)</f>
        <v>168</v>
      </c>
      <c r="R169" s="4">
        <f>Table3[[#This Row],[Total Streams (in millions)]]-Table3[[#This Row],[Total Stream]]</f>
        <v>-14.600000000000364</v>
      </c>
      <c r="S169" s="8">
        <f>IFERROR(Table3[[#This Row],[Collaborative Streams (in millions)]]/Table3[[#This Row],[Total Stream]],0)</f>
        <v>0.96004588659455914</v>
      </c>
      <c r="T169" t="str">
        <f>IF(Table3[[#This Row],[Total Streams (in millions)]]&gt;=50000,"High Performer",IF(Table3[[#This Row],[Total Streams (in millions)]]&gt;=20000,"Medium Performer","Low Performer"))</f>
        <v>Low Performer</v>
      </c>
    </row>
    <row r="170" spans="1:20" x14ac:dyDescent="0.3">
      <c r="A170" s="9" t="s">
        <v>233</v>
      </c>
      <c r="B170" s="9" t="s">
        <v>14</v>
      </c>
      <c r="C170" s="9" t="s">
        <v>21</v>
      </c>
      <c r="D170" s="9" t="s">
        <v>16</v>
      </c>
      <c r="E170" s="9" t="s">
        <v>17</v>
      </c>
      <c r="F170" s="9" t="s">
        <v>18</v>
      </c>
      <c r="G170" s="10">
        <v>2006</v>
      </c>
      <c r="H170" s="10" t="str">
        <f>IF(Table3[[#This Row],[Debut Year]]&lt;=2000,"1999–2000",
IF(Table3[[#This Row],[Debut Year]]&lt;=2005,"2001–2005",
IF(Table3[[#This Row],[Debut Year]]&lt;=2010,"2006–2010",
IF(Table3[[#This Row],[Debut Year]]&lt;=2015,"2011–2015",
IF(Table3[[#This Row],[Debut Year]]&lt;=2020,"2016–2020",
"2021–2025")))))</f>
        <v>2006–2010</v>
      </c>
      <c r="I170" s="10">
        <v>15133</v>
      </c>
      <c r="J170" s="10">
        <v>11606.5</v>
      </c>
      <c r="K170" s="10">
        <v>3518.6</v>
      </c>
      <c r="L170" s="4">
        <v>1928.5</v>
      </c>
      <c r="M170" s="6">
        <f>Table2[[#This Row],[% of Solo Streams]]/100</f>
        <v>0.1274367277</v>
      </c>
      <c r="N170" s="3">
        <v>13204.5</v>
      </c>
      <c r="O170" s="6">
        <f>Table2[[#This Row],[% of Collaborative Streams]]/100</f>
        <v>0.87256327229999997</v>
      </c>
      <c r="P170" s="4">
        <f>Table3[[#This Row],[Lead Streams (in millions)]]+Table3[[#This Row],[Feature Streams (in millions)]]</f>
        <v>15125.1</v>
      </c>
      <c r="Q170" s="4">
        <f>_xlfn.RANK.EQ(Table3[[#This Row],[Total Stream]],Table3[Total Stream],0)</f>
        <v>169</v>
      </c>
      <c r="R170" s="4">
        <f>Table3[[#This Row],[Total Streams (in millions)]]-Table3[[#This Row],[Total Stream]]</f>
        <v>7.8999999999996362</v>
      </c>
      <c r="S170" s="8">
        <f>IFERROR(Table3[[#This Row],[Collaborative Streams (in millions)]]/Table3[[#This Row],[Total Stream]],0)</f>
        <v>0.87301902136184217</v>
      </c>
      <c r="T170" t="str">
        <f>IF(Table3[[#This Row],[Total Streams (in millions)]]&gt;=50000,"High Performer",IF(Table3[[#This Row],[Total Streams (in millions)]]&gt;=20000,"Medium Performer","Low Performer"))</f>
        <v>Low Performer</v>
      </c>
    </row>
    <row r="171" spans="1:20" x14ac:dyDescent="0.3">
      <c r="A171" s="11" t="s">
        <v>234</v>
      </c>
      <c r="B171" s="11" t="s">
        <v>14</v>
      </c>
      <c r="C171" s="11" t="s">
        <v>21</v>
      </c>
      <c r="D171" s="11" t="s">
        <v>16</v>
      </c>
      <c r="E171" s="11" t="s">
        <v>17</v>
      </c>
      <c r="F171" s="11" t="s">
        <v>18</v>
      </c>
      <c r="G171" s="12">
        <v>2008</v>
      </c>
      <c r="H171" s="12" t="str">
        <f>IF(Table3[[#This Row],[Debut Year]]&lt;=2000,"1999–2000",
IF(Table3[[#This Row],[Debut Year]]&lt;=2005,"2001–2005",
IF(Table3[[#This Row],[Debut Year]]&lt;=2010,"2006–2010",
IF(Table3[[#This Row],[Debut Year]]&lt;=2015,"2011–2015",
IF(Table3[[#This Row],[Debut Year]]&lt;=2020,"2016–2020",
"2021–2025")))))</f>
        <v>2006–2010</v>
      </c>
      <c r="I171" s="12">
        <v>15086.8</v>
      </c>
      <c r="J171" s="12">
        <v>10607.6</v>
      </c>
      <c r="K171" s="12">
        <v>4483.8999999999996</v>
      </c>
      <c r="L171" s="4">
        <v>5835.1</v>
      </c>
      <c r="M171" s="6">
        <f>Table2[[#This Row],[% of Solo Streams]]/100</f>
        <v>0.38676856589999997</v>
      </c>
      <c r="N171" s="3">
        <v>9251.7000000000007</v>
      </c>
      <c r="O171" s="6">
        <f>Table2[[#This Row],[% of Collaborative Streams]]/100</f>
        <v>0.61323143410000003</v>
      </c>
      <c r="P171" s="4">
        <f>Table3[[#This Row],[Lead Streams (in millions)]]+Table3[[#This Row],[Feature Streams (in millions)]]</f>
        <v>15091.5</v>
      </c>
      <c r="Q171" s="4">
        <f>_xlfn.RANK.EQ(Table3[[#This Row],[Total Stream]],Table3[Total Stream],0)</f>
        <v>170</v>
      </c>
      <c r="R171" s="4">
        <f>Table3[[#This Row],[Total Streams (in millions)]]-Table3[[#This Row],[Total Stream]]</f>
        <v>-4.7000000000007276</v>
      </c>
      <c r="S171" s="8">
        <f>IFERROR(Table3[[#This Row],[Collaborative Streams (in millions)]]/Table3[[#This Row],[Total Stream]],0)</f>
        <v>0.6130404532352649</v>
      </c>
      <c r="T171" t="str">
        <f>IF(Table3[[#This Row],[Total Streams (in millions)]]&gt;=50000,"High Performer",IF(Table3[[#This Row],[Total Streams (in millions)]]&gt;=20000,"Medium Performer","Low Performer"))</f>
        <v>Low Performer</v>
      </c>
    </row>
    <row r="172" spans="1:20" x14ac:dyDescent="0.3">
      <c r="A172" s="9" t="s">
        <v>235</v>
      </c>
      <c r="B172" s="9" t="s">
        <v>14</v>
      </c>
      <c r="C172" s="9" t="s">
        <v>21</v>
      </c>
      <c r="D172" s="9" t="s">
        <v>24</v>
      </c>
      <c r="E172" s="9" t="s">
        <v>25</v>
      </c>
      <c r="F172" s="9" t="s">
        <v>18</v>
      </c>
      <c r="G172" s="10">
        <v>2010</v>
      </c>
      <c r="H172" s="10" t="str">
        <f>IF(Table3[[#This Row],[Debut Year]]&lt;=2000,"1999–2000",
IF(Table3[[#This Row],[Debut Year]]&lt;=2005,"2001–2005",
IF(Table3[[#This Row],[Debut Year]]&lt;=2010,"2006–2010",
IF(Table3[[#This Row],[Debut Year]]&lt;=2015,"2011–2015",
IF(Table3[[#This Row],[Debut Year]]&lt;=2020,"2016–2020",
"2021–2025")))))</f>
        <v>2006–2010</v>
      </c>
      <c r="I172" s="10">
        <v>15041.1</v>
      </c>
      <c r="J172" s="10">
        <v>4978.8999999999996</v>
      </c>
      <c r="K172" s="10">
        <v>10062.1</v>
      </c>
      <c r="L172" s="4">
        <v>2069.9</v>
      </c>
      <c r="M172" s="6">
        <f>Table2[[#This Row],[% of Solo Streams]]/100</f>
        <v>0.1376162648</v>
      </c>
      <c r="N172" s="3">
        <v>12971.2</v>
      </c>
      <c r="O172" s="6">
        <f>Table2[[#This Row],[% of Collaborative Streams]]/100</f>
        <v>0.8623837352</v>
      </c>
      <c r="P172" s="4">
        <f>Table3[[#This Row],[Lead Streams (in millions)]]+Table3[[#This Row],[Feature Streams (in millions)]]</f>
        <v>15041</v>
      </c>
      <c r="Q172" s="4">
        <f>_xlfn.RANK.EQ(Table3[[#This Row],[Total Stream]],Table3[Total Stream],0)</f>
        <v>171</v>
      </c>
      <c r="R172" s="4">
        <f>Table3[[#This Row],[Total Streams (in millions)]]-Table3[[#This Row],[Total Stream]]</f>
        <v>0.1000000000003638</v>
      </c>
      <c r="S172" s="8">
        <f>IFERROR(Table3[[#This Row],[Collaborative Streams (in millions)]]/Table3[[#This Row],[Total Stream]],0)</f>
        <v>0.86238946878532019</v>
      </c>
      <c r="T172" t="str">
        <f>IF(Table3[[#This Row],[Total Streams (in millions)]]&gt;=50000,"High Performer",IF(Table3[[#This Row],[Total Streams (in millions)]]&gt;=20000,"Medium Performer","Low Performer"))</f>
        <v>Low Performer</v>
      </c>
    </row>
    <row r="173" spans="1:20" x14ac:dyDescent="0.3">
      <c r="A173" s="11" t="s">
        <v>236</v>
      </c>
      <c r="B173" s="11" t="s">
        <v>14</v>
      </c>
      <c r="C173" s="11" t="s">
        <v>183</v>
      </c>
      <c r="D173" s="11" t="s">
        <v>16</v>
      </c>
      <c r="E173" s="11" t="s">
        <v>184</v>
      </c>
      <c r="F173" s="11" t="s">
        <v>48</v>
      </c>
      <c r="G173" s="12">
        <v>1962</v>
      </c>
      <c r="H173" s="12" t="str">
        <f>IF(Table3[[#This Row],[Debut Year]]&lt;=2000,"1999–2000",
IF(Table3[[#This Row],[Debut Year]]&lt;=2005,"2001–2005",
IF(Table3[[#This Row],[Debut Year]]&lt;=2010,"2006–2010",
IF(Table3[[#This Row],[Debut Year]]&lt;=2015,"2011–2015",
IF(Table3[[#This Row],[Debut Year]]&lt;=2020,"2016–2020",
"2021–2025")))))</f>
        <v>1999–2000</v>
      </c>
      <c r="I173" s="12">
        <v>14992.7</v>
      </c>
      <c r="J173" s="12">
        <v>14837.1</v>
      </c>
      <c r="K173" s="12">
        <v>161.6</v>
      </c>
      <c r="L173" s="4">
        <v>13836</v>
      </c>
      <c r="M173" s="6">
        <f>Table2[[#This Row],[% of Solo Streams]]/100</f>
        <v>0.92284911989999996</v>
      </c>
      <c r="N173" s="3">
        <v>1156.7</v>
      </c>
      <c r="O173" s="6">
        <f>Table2[[#This Row],[% of Collaborative Streams]]/100</f>
        <v>7.7150880089999999E-2</v>
      </c>
      <c r="P173" s="4">
        <f>Table3[[#This Row],[Lead Streams (in millions)]]+Table3[[#This Row],[Feature Streams (in millions)]]</f>
        <v>14998.7</v>
      </c>
      <c r="Q173" s="4">
        <f>_xlfn.RANK.EQ(Table3[[#This Row],[Total Stream]],Table3[Total Stream],0)</f>
        <v>172</v>
      </c>
      <c r="R173" s="4">
        <f>Table3[[#This Row],[Total Streams (in millions)]]-Table3[[#This Row],[Total Stream]]</f>
        <v>-6</v>
      </c>
      <c r="S173" s="8">
        <f>IFERROR(Table3[[#This Row],[Collaborative Streams (in millions)]]/Table3[[#This Row],[Total Stream]],0)</f>
        <v>7.7120017068145905E-2</v>
      </c>
      <c r="T173" t="str">
        <f>IF(Table3[[#This Row],[Total Streams (in millions)]]&gt;=50000,"High Performer",IF(Table3[[#This Row],[Total Streams (in millions)]]&gt;=20000,"Medium Performer","Low Performer"))</f>
        <v>Low Performer</v>
      </c>
    </row>
    <row r="174" spans="1:20" x14ac:dyDescent="0.3">
      <c r="A174" s="9" t="s">
        <v>237</v>
      </c>
      <c r="B174" s="9" t="s">
        <v>14</v>
      </c>
      <c r="C174" s="9" t="s">
        <v>45</v>
      </c>
      <c r="D174" s="9" t="s">
        <v>46</v>
      </c>
      <c r="E174" s="9" t="s">
        <v>47</v>
      </c>
      <c r="F174" s="9" t="s">
        <v>48</v>
      </c>
      <c r="G174" s="10">
        <v>2018</v>
      </c>
      <c r="H174" s="10" t="str">
        <f>IF(Table3[[#This Row],[Debut Year]]&lt;=2000,"1999–2000",
IF(Table3[[#This Row],[Debut Year]]&lt;=2005,"2001–2005",
IF(Table3[[#This Row],[Debut Year]]&lt;=2010,"2006–2010",
IF(Table3[[#This Row],[Debut Year]]&lt;=2015,"2011–2015",
IF(Table3[[#This Row],[Debut Year]]&lt;=2020,"2016–2020",
"2021–2025")))))</f>
        <v>2016–2020</v>
      </c>
      <c r="I174" s="10">
        <v>14947.4</v>
      </c>
      <c r="J174" s="10">
        <v>14819</v>
      </c>
      <c r="K174" s="10">
        <v>136.5</v>
      </c>
      <c r="L174" s="4">
        <v>13482.3</v>
      </c>
      <c r="M174" s="6">
        <f>Table2[[#This Row],[% of Solo Streams]]/100</f>
        <v>0.90198295360000003</v>
      </c>
      <c r="N174" s="3">
        <v>1465.1</v>
      </c>
      <c r="O174" s="6">
        <f>Table2[[#This Row],[% of Collaborative Streams]]/100</f>
        <v>9.8017046440000005E-2</v>
      </c>
      <c r="P174" s="4">
        <f>Table3[[#This Row],[Lead Streams (in millions)]]+Table3[[#This Row],[Feature Streams (in millions)]]</f>
        <v>14955.5</v>
      </c>
      <c r="Q174" s="4">
        <f>_xlfn.RANK.EQ(Table3[[#This Row],[Total Stream]],Table3[Total Stream],0)</f>
        <v>173</v>
      </c>
      <c r="R174" s="4">
        <f>Table3[[#This Row],[Total Streams (in millions)]]-Table3[[#This Row],[Total Stream]]</f>
        <v>-8.1000000000003638</v>
      </c>
      <c r="S174" s="8">
        <f>IFERROR(Table3[[#This Row],[Collaborative Streams (in millions)]]/Table3[[#This Row],[Total Stream]],0)</f>
        <v>9.7963959747250168E-2</v>
      </c>
      <c r="T174" t="str">
        <f>IF(Table3[[#This Row],[Total Streams (in millions)]]&gt;=50000,"High Performer",IF(Table3[[#This Row],[Total Streams (in millions)]]&gt;=20000,"Medium Performer","Low Performer"))</f>
        <v>Low Performer</v>
      </c>
    </row>
    <row r="175" spans="1:20" x14ac:dyDescent="0.3">
      <c r="A175" s="11" t="s">
        <v>238</v>
      </c>
      <c r="B175" s="11" t="s">
        <v>14</v>
      </c>
      <c r="C175" s="11" t="s">
        <v>71</v>
      </c>
      <c r="D175" s="11" t="s">
        <v>232</v>
      </c>
      <c r="E175" s="11" t="s">
        <v>73</v>
      </c>
      <c r="F175" s="11" t="s">
        <v>18</v>
      </c>
      <c r="G175" s="12">
        <v>2012</v>
      </c>
      <c r="H175" s="12" t="str">
        <f>IF(Table3[[#This Row],[Debut Year]]&lt;=2000,"1999–2000",
IF(Table3[[#This Row],[Debut Year]]&lt;=2005,"2001–2005",
IF(Table3[[#This Row],[Debut Year]]&lt;=2010,"2006–2010",
IF(Table3[[#This Row],[Debut Year]]&lt;=2015,"2011–2015",
IF(Table3[[#This Row],[Debut Year]]&lt;=2020,"2016–2020",
"2021–2025")))))</f>
        <v>2011–2015</v>
      </c>
      <c r="I175" s="12">
        <v>14897.8</v>
      </c>
      <c r="J175" s="12">
        <v>12456.5</v>
      </c>
      <c r="K175" s="12">
        <v>2450</v>
      </c>
      <c r="L175" s="4">
        <v>1543.3</v>
      </c>
      <c r="M175" s="6">
        <f>Table2[[#This Row],[% of Solo Streams]]/100</f>
        <v>0.10359247670000001</v>
      </c>
      <c r="N175" s="3">
        <v>13354.5</v>
      </c>
      <c r="O175" s="6">
        <f>Table2[[#This Row],[% of Collaborative Streams]]/100</f>
        <v>0.89640752329999995</v>
      </c>
      <c r="P175" s="4">
        <f>Table3[[#This Row],[Lead Streams (in millions)]]+Table3[[#This Row],[Feature Streams (in millions)]]</f>
        <v>14906.5</v>
      </c>
      <c r="Q175" s="4">
        <f>_xlfn.RANK.EQ(Table3[[#This Row],[Total Stream]],Table3[Total Stream],0)</f>
        <v>174</v>
      </c>
      <c r="R175" s="4">
        <f>Table3[[#This Row],[Total Streams (in millions)]]-Table3[[#This Row],[Total Stream]]</f>
        <v>-8.7000000000007276</v>
      </c>
      <c r="S175" s="8">
        <f>IFERROR(Table3[[#This Row],[Collaborative Streams (in millions)]]/Table3[[#This Row],[Total Stream]],0)</f>
        <v>0.89588434575520748</v>
      </c>
      <c r="T175" t="str">
        <f>IF(Table3[[#This Row],[Total Streams (in millions)]]&gt;=50000,"High Performer",IF(Table3[[#This Row],[Total Streams (in millions)]]&gt;=20000,"Medium Performer","Low Performer"))</f>
        <v>Low Performer</v>
      </c>
    </row>
    <row r="176" spans="1:20" x14ac:dyDescent="0.3">
      <c r="A176" s="9" t="s">
        <v>239</v>
      </c>
      <c r="B176" s="9" t="s">
        <v>14</v>
      </c>
      <c r="C176" s="9" t="s">
        <v>21</v>
      </c>
      <c r="D176" s="9" t="s">
        <v>16</v>
      </c>
      <c r="E176" s="9" t="s">
        <v>27</v>
      </c>
      <c r="F176" s="9" t="s">
        <v>18</v>
      </c>
      <c r="G176" s="10">
        <v>2006</v>
      </c>
      <c r="H176" s="10" t="str">
        <f>IF(Table3[[#This Row],[Debut Year]]&lt;=2000,"1999–2000",
IF(Table3[[#This Row],[Debut Year]]&lt;=2005,"2001–2005",
IF(Table3[[#This Row],[Debut Year]]&lt;=2010,"2006–2010",
IF(Table3[[#This Row],[Debut Year]]&lt;=2015,"2011–2015",
IF(Table3[[#This Row],[Debut Year]]&lt;=2020,"2016–2020",
"2021–2025")))))</f>
        <v>2006–2010</v>
      </c>
      <c r="I176" s="10">
        <v>14888.6</v>
      </c>
      <c r="J176" s="10">
        <v>8808.5</v>
      </c>
      <c r="K176" s="10">
        <v>6090.2</v>
      </c>
      <c r="L176" s="4">
        <v>8012</v>
      </c>
      <c r="M176" s="6">
        <f>Table2[[#This Row],[% of Solo Streams]]/100</f>
        <v>0.53812984429999999</v>
      </c>
      <c r="N176" s="3">
        <v>6876.6</v>
      </c>
      <c r="O176" s="6">
        <f>Table2[[#This Row],[% of Collaborative Streams]]/100</f>
        <v>0.46187015570000001</v>
      </c>
      <c r="P176" s="4">
        <f>Table3[[#This Row],[Lead Streams (in millions)]]+Table3[[#This Row],[Feature Streams (in millions)]]</f>
        <v>14898.7</v>
      </c>
      <c r="Q176" s="4">
        <f>_xlfn.RANK.EQ(Table3[[#This Row],[Total Stream]],Table3[Total Stream],0)</f>
        <v>175</v>
      </c>
      <c r="R176" s="4">
        <f>Table3[[#This Row],[Total Streams (in millions)]]-Table3[[#This Row],[Total Stream]]</f>
        <v>-10.100000000000364</v>
      </c>
      <c r="S176" s="8">
        <f>IFERROR(Table3[[#This Row],[Collaborative Streams (in millions)]]/Table3[[#This Row],[Total Stream]],0)</f>
        <v>0.46155704860155583</v>
      </c>
      <c r="T176" t="str">
        <f>IF(Table3[[#This Row],[Total Streams (in millions)]]&gt;=50000,"High Performer",IF(Table3[[#This Row],[Total Streams (in millions)]]&gt;=20000,"Medium Performer","Low Performer"))</f>
        <v>Low Performer</v>
      </c>
    </row>
    <row r="177" spans="1:20" x14ac:dyDescent="0.3">
      <c r="A177" s="11" t="s">
        <v>240</v>
      </c>
      <c r="B177" s="11" t="s">
        <v>14</v>
      </c>
      <c r="C177" s="11" t="s">
        <v>21</v>
      </c>
      <c r="D177" s="11" t="s">
        <v>16</v>
      </c>
      <c r="E177" s="11" t="s">
        <v>17</v>
      </c>
      <c r="F177" s="11" t="s">
        <v>18</v>
      </c>
      <c r="G177" s="12">
        <v>2005</v>
      </c>
      <c r="H177" s="12" t="str">
        <f>IF(Table3[[#This Row],[Debut Year]]&lt;=2000,"1999–2000",
IF(Table3[[#This Row],[Debut Year]]&lt;=2005,"2001–2005",
IF(Table3[[#This Row],[Debut Year]]&lt;=2010,"2006–2010",
IF(Table3[[#This Row],[Debut Year]]&lt;=2015,"2011–2015",
IF(Table3[[#This Row],[Debut Year]]&lt;=2020,"2016–2020",
"2021–2025")))))</f>
        <v>2001–2005</v>
      </c>
      <c r="I177" s="12">
        <v>14880.2</v>
      </c>
      <c r="J177" s="12">
        <v>7106.1</v>
      </c>
      <c r="K177" s="12">
        <v>7779.1</v>
      </c>
      <c r="L177" s="4">
        <v>1618.8</v>
      </c>
      <c r="M177" s="6">
        <f>Table2[[#This Row],[% of Solo Streams]]/100</f>
        <v>0.10878886039999999</v>
      </c>
      <c r="N177" s="3">
        <v>13261.4</v>
      </c>
      <c r="O177" s="6">
        <f>Table2[[#This Row],[% of Collaborative Streams]]/100</f>
        <v>0.89121113959999998</v>
      </c>
      <c r="P177" s="4">
        <f>Table3[[#This Row],[Lead Streams (in millions)]]+Table3[[#This Row],[Feature Streams (in millions)]]</f>
        <v>14885.2</v>
      </c>
      <c r="Q177" s="4">
        <f>_xlfn.RANK.EQ(Table3[[#This Row],[Total Stream]],Table3[Total Stream],0)</f>
        <v>176</v>
      </c>
      <c r="R177" s="4">
        <f>Table3[[#This Row],[Total Streams (in millions)]]-Table3[[#This Row],[Total Stream]]</f>
        <v>-5</v>
      </c>
      <c r="S177" s="8">
        <f>IFERROR(Table3[[#This Row],[Collaborative Streams (in millions)]]/Table3[[#This Row],[Total Stream]],0)</f>
        <v>0.89091177814204703</v>
      </c>
      <c r="T177" t="str">
        <f>IF(Table3[[#This Row],[Total Streams (in millions)]]&gt;=50000,"High Performer",IF(Table3[[#This Row],[Total Streams (in millions)]]&gt;=20000,"Medium Performer","Low Performer"))</f>
        <v>Low Performer</v>
      </c>
    </row>
    <row r="178" spans="1:20" x14ac:dyDescent="0.3">
      <c r="A178" s="9" t="s">
        <v>241</v>
      </c>
      <c r="B178" s="9" t="s">
        <v>20</v>
      </c>
      <c r="C178" s="9" t="s">
        <v>242</v>
      </c>
      <c r="D178" s="9" t="s">
        <v>24</v>
      </c>
      <c r="E178" s="9" t="s">
        <v>22</v>
      </c>
      <c r="F178" s="9" t="s">
        <v>18</v>
      </c>
      <c r="G178" s="10">
        <v>2016</v>
      </c>
      <c r="H178" s="10" t="str">
        <f>IF(Table3[[#This Row],[Debut Year]]&lt;=2000,"1999–2000",
IF(Table3[[#This Row],[Debut Year]]&lt;=2005,"2001–2005",
IF(Table3[[#This Row],[Debut Year]]&lt;=2010,"2006–2010",
IF(Table3[[#This Row],[Debut Year]]&lt;=2015,"2011–2015",
IF(Table3[[#This Row],[Debut Year]]&lt;=2020,"2016–2020",
"2021–2025")))))</f>
        <v>2016–2020</v>
      </c>
      <c r="I178" s="10">
        <v>14558.4</v>
      </c>
      <c r="J178" s="10">
        <v>10084</v>
      </c>
      <c r="K178" s="10">
        <v>4479.1000000000004</v>
      </c>
      <c r="L178" s="4">
        <v>5316.8</v>
      </c>
      <c r="M178" s="6">
        <f>Table2[[#This Row],[% of Solo Streams]]/100</f>
        <v>0.36520496759999999</v>
      </c>
      <c r="N178" s="3">
        <v>9241.6</v>
      </c>
      <c r="O178" s="6">
        <f>Table2[[#This Row],[% of Collaborative Streams]]/100</f>
        <v>0.63479503240000001</v>
      </c>
      <c r="P178" s="4">
        <f>Table3[[#This Row],[Lead Streams (in millions)]]+Table3[[#This Row],[Feature Streams (in millions)]]</f>
        <v>14563.1</v>
      </c>
      <c r="Q178" s="4">
        <f>_xlfn.RANK.EQ(Table3[[#This Row],[Total Stream]],Table3[Total Stream],0)</f>
        <v>177</v>
      </c>
      <c r="R178" s="4">
        <f>Table3[[#This Row],[Total Streams (in millions)]]-Table3[[#This Row],[Total Stream]]</f>
        <v>-4.7000000000007276</v>
      </c>
      <c r="S178" s="8">
        <f>IFERROR(Table3[[#This Row],[Collaborative Streams (in millions)]]/Table3[[#This Row],[Total Stream]],0)</f>
        <v>0.6345901628087427</v>
      </c>
      <c r="T178" t="str">
        <f>IF(Table3[[#This Row],[Total Streams (in millions)]]&gt;=50000,"High Performer",IF(Table3[[#This Row],[Total Streams (in millions)]]&gt;=20000,"Medium Performer","Low Performer"))</f>
        <v>Low Performer</v>
      </c>
    </row>
    <row r="179" spans="1:20" x14ac:dyDescent="0.3">
      <c r="A179" s="11" t="s">
        <v>243</v>
      </c>
      <c r="B179" s="11" t="s">
        <v>20</v>
      </c>
      <c r="C179" s="11" t="s">
        <v>33</v>
      </c>
      <c r="D179" s="11" t="s">
        <v>16</v>
      </c>
      <c r="E179" s="11" t="s">
        <v>22</v>
      </c>
      <c r="F179" s="11" t="s">
        <v>18</v>
      </c>
      <c r="G179" s="12">
        <v>2008</v>
      </c>
      <c r="H179" s="12" t="str">
        <f>IF(Table3[[#This Row],[Debut Year]]&lt;=2000,"1999–2000",
IF(Table3[[#This Row],[Debut Year]]&lt;=2005,"2001–2005",
IF(Table3[[#This Row],[Debut Year]]&lt;=2010,"2006–2010",
IF(Table3[[#This Row],[Debut Year]]&lt;=2015,"2011–2015",
IF(Table3[[#This Row],[Debut Year]]&lt;=2020,"2016–2020",
"2021–2025")))))</f>
        <v>2006–2010</v>
      </c>
      <c r="I179" s="12">
        <v>14544.4</v>
      </c>
      <c r="J179" s="12">
        <v>10175.299999999999</v>
      </c>
      <c r="K179" s="12">
        <v>4376</v>
      </c>
      <c r="L179" s="4">
        <v>6747.8</v>
      </c>
      <c r="M179" s="6">
        <f>Table2[[#This Row],[% of Solo Streams]]/100</f>
        <v>0.463944886</v>
      </c>
      <c r="N179" s="3">
        <v>7796.6</v>
      </c>
      <c r="O179" s="6">
        <f>Table2[[#This Row],[% of Collaborative Streams]]/100</f>
        <v>0.53605511399999994</v>
      </c>
      <c r="P179" s="4">
        <f>Table3[[#This Row],[Lead Streams (in millions)]]+Table3[[#This Row],[Feature Streams (in millions)]]</f>
        <v>14551.3</v>
      </c>
      <c r="Q179" s="4">
        <f>_xlfn.RANK.EQ(Table3[[#This Row],[Total Stream]],Table3[Total Stream],0)</f>
        <v>178</v>
      </c>
      <c r="R179" s="4">
        <f>Table3[[#This Row],[Total Streams (in millions)]]-Table3[[#This Row],[Total Stream]]</f>
        <v>-6.8999999999996362</v>
      </c>
      <c r="S179" s="8">
        <f>IFERROR(Table3[[#This Row],[Collaborative Streams (in millions)]]/Table3[[#This Row],[Total Stream]],0)</f>
        <v>0.53580092500326437</v>
      </c>
      <c r="T179" t="str">
        <f>IF(Table3[[#This Row],[Total Streams (in millions)]]&gt;=50000,"High Performer",IF(Table3[[#This Row],[Total Streams (in millions)]]&gt;=20000,"Medium Performer","Low Performer"))</f>
        <v>Low Performer</v>
      </c>
    </row>
    <row r="180" spans="1:20" x14ac:dyDescent="0.3">
      <c r="A180" s="9" t="s">
        <v>244</v>
      </c>
      <c r="B180" s="9" t="s">
        <v>14</v>
      </c>
      <c r="C180" s="9" t="s">
        <v>245</v>
      </c>
      <c r="D180" s="9" t="s">
        <v>16</v>
      </c>
      <c r="E180" s="9" t="s">
        <v>27</v>
      </c>
      <c r="F180" s="9" t="s">
        <v>18</v>
      </c>
      <c r="G180" s="10">
        <v>2017</v>
      </c>
      <c r="H180" s="10" t="str">
        <f>IF(Table3[[#This Row],[Debut Year]]&lt;=2000,"1999–2000",
IF(Table3[[#This Row],[Debut Year]]&lt;=2005,"2001–2005",
IF(Table3[[#This Row],[Debut Year]]&lt;=2010,"2006–2010",
IF(Table3[[#This Row],[Debut Year]]&lt;=2015,"2011–2015",
IF(Table3[[#This Row],[Debut Year]]&lt;=2020,"2016–2020",
"2021–2025")))))</f>
        <v>2016–2020</v>
      </c>
      <c r="I180" s="10">
        <v>14512.1</v>
      </c>
      <c r="J180" s="10">
        <v>13579.3</v>
      </c>
      <c r="K180" s="10">
        <v>938.4</v>
      </c>
      <c r="L180" s="4">
        <v>12111.7</v>
      </c>
      <c r="M180" s="6">
        <f>Table2[[#This Row],[% of Solo Streams]]/100</f>
        <v>0.83459320149999994</v>
      </c>
      <c r="N180" s="3">
        <v>2400.4</v>
      </c>
      <c r="O180" s="6">
        <f>Table2[[#This Row],[% of Collaborative Streams]]/100</f>
        <v>0.16540679850000001</v>
      </c>
      <c r="P180" s="4">
        <f>Table3[[#This Row],[Lead Streams (in millions)]]+Table3[[#This Row],[Feature Streams (in millions)]]</f>
        <v>14517.699999999999</v>
      </c>
      <c r="Q180" s="4">
        <f>_xlfn.RANK.EQ(Table3[[#This Row],[Total Stream]],Table3[Total Stream],0)</f>
        <v>179</v>
      </c>
      <c r="R180" s="4">
        <f>Table3[[#This Row],[Total Streams (in millions)]]-Table3[[#This Row],[Total Stream]]</f>
        <v>-5.5999999999985448</v>
      </c>
      <c r="S180" s="8">
        <f>IFERROR(Table3[[#This Row],[Collaborative Streams (in millions)]]/Table3[[#This Row],[Total Stream]],0)</f>
        <v>0.16534299510253003</v>
      </c>
      <c r="T180" t="str">
        <f>IF(Table3[[#This Row],[Total Streams (in millions)]]&gt;=50000,"High Performer",IF(Table3[[#This Row],[Total Streams (in millions)]]&gt;=20000,"Medium Performer","Low Performer"))</f>
        <v>Low Performer</v>
      </c>
    </row>
    <row r="181" spans="1:20" x14ac:dyDescent="0.3">
      <c r="A181" s="11" t="s">
        <v>246</v>
      </c>
      <c r="B181" s="11" t="s">
        <v>14</v>
      </c>
      <c r="C181" s="11" t="s">
        <v>21</v>
      </c>
      <c r="D181" s="11" t="s">
        <v>16</v>
      </c>
      <c r="E181" s="11" t="s">
        <v>51</v>
      </c>
      <c r="F181" s="11" t="s">
        <v>48</v>
      </c>
      <c r="G181" s="12">
        <v>2003</v>
      </c>
      <c r="H181" s="12" t="str">
        <f>IF(Table3[[#This Row],[Debut Year]]&lt;=2000,"1999–2000",
IF(Table3[[#This Row],[Debut Year]]&lt;=2005,"2001–2005",
IF(Table3[[#This Row],[Debut Year]]&lt;=2010,"2006–2010",
IF(Table3[[#This Row],[Debut Year]]&lt;=2015,"2011–2015",
IF(Table3[[#This Row],[Debut Year]]&lt;=2020,"2016–2020",
"2021–2025")))))</f>
        <v>2001–2005</v>
      </c>
      <c r="I181" s="12">
        <v>14507.7</v>
      </c>
      <c r="J181" s="12">
        <v>10717.2</v>
      </c>
      <c r="K181" s="12">
        <v>3796.5</v>
      </c>
      <c r="L181" s="4">
        <v>12380.2</v>
      </c>
      <c r="M181" s="6">
        <f>Table2[[#This Row],[% of Solo Streams]]/100</f>
        <v>0.85335373630000011</v>
      </c>
      <c r="N181" s="3">
        <v>2127.5</v>
      </c>
      <c r="O181" s="6">
        <f>Table2[[#This Row],[% of Collaborative Streams]]/100</f>
        <v>0.1466462637</v>
      </c>
      <c r="P181" s="4">
        <f>Table3[[#This Row],[Lead Streams (in millions)]]+Table3[[#This Row],[Feature Streams (in millions)]]</f>
        <v>14513.7</v>
      </c>
      <c r="Q181" s="4">
        <f>_xlfn.RANK.EQ(Table3[[#This Row],[Total Stream]],Table3[Total Stream],0)</f>
        <v>180</v>
      </c>
      <c r="R181" s="4">
        <f>Table3[[#This Row],[Total Streams (in millions)]]-Table3[[#This Row],[Total Stream]]</f>
        <v>-6</v>
      </c>
      <c r="S181" s="8">
        <f>IFERROR(Table3[[#This Row],[Collaborative Streams (in millions)]]/Table3[[#This Row],[Total Stream]],0)</f>
        <v>0.14658563977483344</v>
      </c>
      <c r="T181" t="str">
        <f>IF(Table3[[#This Row],[Total Streams (in millions)]]&gt;=50000,"High Performer",IF(Table3[[#This Row],[Total Streams (in millions)]]&gt;=20000,"Medium Performer","Low Performer"))</f>
        <v>Low Performer</v>
      </c>
    </row>
    <row r="182" spans="1:20" x14ac:dyDescent="0.3">
      <c r="A182" s="9" t="s">
        <v>247</v>
      </c>
      <c r="B182" s="9" t="s">
        <v>14</v>
      </c>
      <c r="C182" s="9" t="s">
        <v>15</v>
      </c>
      <c r="D182" s="9" t="s">
        <v>16</v>
      </c>
      <c r="E182" s="9" t="s">
        <v>27</v>
      </c>
      <c r="F182" s="9" t="s">
        <v>18</v>
      </c>
      <c r="G182" s="10">
        <v>2013</v>
      </c>
      <c r="H182" s="10" t="str">
        <f>IF(Table3[[#This Row],[Debut Year]]&lt;=2000,"1999–2000",
IF(Table3[[#This Row],[Debut Year]]&lt;=2005,"2001–2005",
IF(Table3[[#This Row],[Debut Year]]&lt;=2010,"2006–2010",
IF(Table3[[#This Row],[Debut Year]]&lt;=2015,"2011–2015",
IF(Table3[[#This Row],[Debut Year]]&lt;=2020,"2016–2020",
"2021–2025")))))</f>
        <v>2011–2015</v>
      </c>
      <c r="I182" s="10">
        <v>14506.3</v>
      </c>
      <c r="J182" s="10">
        <v>13237.2</v>
      </c>
      <c r="K182" s="10">
        <v>1275</v>
      </c>
      <c r="L182" s="4">
        <v>7177.2</v>
      </c>
      <c r="M182" s="6">
        <f>Table2[[#This Row],[% of Solo Streams]]/100</f>
        <v>0.49476434380000001</v>
      </c>
      <c r="N182" s="3">
        <v>7329.1</v>
      </c>
      <c r="O182" s="6">
        <f>Table2[[#This Row],[% of Collaborative Streams]]/100</f>
        <v>0.50523565619999999</v>
      </c>
      <c r="P182" s="4">
        <f>Table3[[#This Row],[Lead Streams (in millions)]]+Table3[[#This Row],[Feature Streams (in millions)]]</f>
        <v>14512.2</v>
      </c>
      <c r="Q182" s="4">
        <f>_xlfn.RANK.EQ(Table3[[#This Row],[Total Stream]],Table3[Total Stream],0)</f>
        <v>181</v>
      </c>
      <c r="R182" s="4">
        <f>Table3[[#This Row],[Total Streams (in millions)]]-Table3[[#This Row],[Total Stream]]</f>
        <v>-5.9000000000014552</v>
      </c>
      <c r="S182" s="8">
        <f>IFERROR(Table3[[#This Row],[Collaborative Streams (in millions)]]/Table3[[#This Row],[Total Stream]],0)</f>
        <v>0.50503025040999983</v>
      </c>
      <c r="T182" t="str">
        <f>IF(Table3[[#This Row],[Total Streams (in millions)]]&gt;=50000,"High Performer",IF(Table3[[#This Row],[Total Streams (in millions)]]&gt;=20000,"Medium Performer","Low Performer"))</f>
        <v>Low Performer</v>
      </c>
    </row>
    <row r="183" spans="1:20" x14ac:dyDescent="0.3">
      <c r="A183" s="11" t="s">
        <v>248</v>
      </c>
      <c r="B183" s="11" t="s">
        <v>14</v>
      </c>
      <c r="C183" s="11" t="s">
        <v>166</v>
      </c>
      <c r="D183" s="11" t="s">
        <v>167</v>
      </c>
      <c r="E183" s="11" t="s">
        <v>168</v>
      </c>
      <c r="F183" s="11" t="s">
        <v>48</v>
      </c>
      <c r="G183" s="12">
        <v>2007</v>
      </c>
      <c r="H183" s="12" t="str">
        <f>IF(Table3[[#This Row],[Debut Year]]&lt;=2000,"1999–2000",
IF(Table3[[#This Row],[Debut Year]]&lt;=2005,"2001–2005",
IF(Table3[[#This Row],[Debut Year]]&lt;=2010,"2006–2010",
IF(Table3[[#This Row],[Debut Year]]&lt;=2015,"2011–2015",
IF(Table3[[#This Row],[Debut Year]]&lt;=2020,"2016–2020",
"2021–2025")))))</f>
        <v>2006–2010</v>
      </c>
      <c r="I183" s="12">
        <v>14404.4</v>
      </c>
      <c r="J183" s="12">
        <v>11024</v>
      </c>
      <c r="K183" s="12">
        <v>3391.4</v>
      </c>
      <c r="L183" s="4">
        <v>10484.4</v>
      </c>
      <c r="M183" s="6">
        <f>Table2[[#This Row],[% of Solo Streams]]/100</f>
        <v>0.72786093140000008</v>
      </c>
      <c r="N183" s="3">
        <v>3920</v>
      </c>
      <c r="O183" s="6">
        <f>Table2[[#This Row],[% of Collaborative Streams]]/100</f>
        <v>0.27213906860000003</v>
      </c>
      <c r="P183" s="4">
        <f>Table3[[#This Row],[Lead Streams (in millions)]]+Table3[[#This Row],[Feature Streams (in millions)]]</f>
        <v>14415.4</v>
      </c>
      <c r="Q183" s="4">
        <f>_xlfn.RANK.EQ(Table3[[#This Row],[Total Stream]],Table3[Total Stream],0)</f>
        <v>182</v>
      </c>
      <c r="R183" s="4">
        <f>Table3[[#This Row],[Total Streams (in millions)]]-Table3[[#This Row],[Total Stream]]</f>
        <v>-11</v>
      </c>
      <c r="S183" s="8">
        <f>IFERROR(Table3[[#This Row],[Collaborative Streams (in millions)]]/Table3[[#This Row],[Total Stream]],0)</f>
        <v>0.2719314066900676</v>
      </c>
      <c r="T183" t="str">
        <f>IF(Table3[[#This Row],[Total Streams (in millions)]]&gt;=50000,"High Performer",IF(Table3[[#This Row],[Total Streams (in millions)]]&gt;=20000,"Medium Performer","Low Performer"))</f>
        <v>Low Performer</v>
      </c>
    </row>
    <row r="184" spans="1:20" x14ac:dyDescent="0.3">
      <c r="A184" s="9" t="s">
        <v>249</v>
      </c>
      <c r="B184" s="9" t="s">
        <v>14</v>
      </c>
      <c r="C184" s="9" t="s">
        <v>21</v>
      </c>
      <c r="D184" s="9" t="s">
        <v>16</v>
      </c>
      <c r="E184" s="9" t="s">
        <v>17</v>
      </c>
      <c r="F184" s="9" t="s">
        <v>18</v>
      </c>
      <c r="G184" s="10">
        <v>2015</v>
      </c>
      <c r="H184" s="10" t="str">
        <f>IF(Table3[[#This Row],[Debut Year]]&lt;=2000,"1999–2000",
IF(Table3[[#This Row],[Debut Year]]&lt;=2005,"2001–2005",
IF(Table3[[#This Row],[Debut Year]]&lt;=2010,"2006–2010",
IF(Table3[[#This Row],[Debut Year]]&lt;=2015,"2011–2015",
IF(Table3[[#This Row],[Debut Year]]&lt;=2020,"2016–2020",
"2021–2025")))))</f>
        <v>2011–2015</v>
      </c>
      <c r="I184" s="10">
        <v>14402.6</v>
      </c>
      <c r="J184" s="10">
        <v>13416.1</v>
      </c>
      <c r="K184" s="10">
        <v>990</v>
      </c>
      <c r="L184" s="4">
        <v>791.1</v>
      </c>
      <c r="M184" s="6">
        <f>Table2[[#This Row],[% of Solo Streams]]/100</f>
        <v>5.4927582519999997E-2</v>
      </c>
      <c r="N184" s="3">
        <v>13611.5</v>
      </c>
      <c r="O184" s="6">
        <f>Table2[[#This Row],[% of Collaborative Streams]]/100</f>
        <v>0.94507241750000004</v>
      </c>
      <c r="P184" s="4">
        <f>Table3[[#This Row],[Lead Streams (in millions)]]+Table3[[#This Row],[Feature Streams (in millions)]]</f>
        <v>14406.1</v>
      </c>
      <c r="Q184" s="4">
        <f>_xlfn.RANK.EQ(Table3[[#This Row],[Total Stream]],Table3[Total Stream],0)</f>
        <v>183</v>
      </c>
      <c r="R184" s="4">
        <f>Table3[[#This Row],[Total Streams (in millions)]]-Table3[[#This Row],[Total Stream]]</f>
        <v>-3.5</v>
      </c>
      <c r="S184" s="8">
        <f>IFERROR(Table3[[#This Row],[Collaborative Streams (in millions)]]/Table3[[#This Row],[Total Stream]],0)</f>
        <v>0.94484280964313727</v>
      </c>
      <c r="T184" t="str">
        <f>IF(Table3[[#This Row],[Total Streams (in millions)]]&gt;=50000,"High Performer",IF(Table3[[#This Row],[Total Streams (in millions)]]&gt;=20000,"Medium Performer","Low Performer"))</f>
        <v>Low Performer</v>
      </c>
    </row>
    <row r="185" spans="1:20" x14ac:dyDescent="0.3">
      <c r="A185" s="11" t="s">
        <v>250</v>
      </c>
      <c r="B185" s="11" t="s">
        <v>14</v>
      </c>
      <c r="C185" s="11" t="s">
        <v>21</v>
      </c>
      <c r="D185" s="11" t="s">
        <v>16</v>
      </c>
      <c r="E185" s="11" t="s">
        <v>51</v>
      </c>
      <c r="F185" s="11" t="s">
        <v>48</v>
      </c>
      <c r="G185" s="12">
        <v>2005</v>
      </c>
      <c r="H185" s="12" t="str">
        <f>IF(Table3[[#This Row],[Debut Year]]&lt;=2000,"1999–2000",
IF(Table3[[#This Row],[Debut Year]]&lt;=2005,"2001–2005",
IF(Table3[[#This Row],[Debut Year]]&lt;=2010,"2006–2010",
IF(Table3[[#This Row],[Debut Year]]&lt;=2015,"2011–2015",
IF(Table3[[#This Row],[Debut Year]]&lt;=2020,"2016–2020",
"2021–2025")))))</f>
        <v>2001–2005</v>
      </c>
      <c r="I185" s="12">
        <v>14402.3</v>
      </c>
      <c r="J185" s="12">
        <v>4417.2</v>
      </c>
      <c r="K185" s="12">
        <v>9988.5</v>
      </c>
      <c r="L185" s="4">
        <v>13038</v>
      </c>
      <c r="M185" s="6">
        <f>Table2[[#This Row],[% of Solo Streams]]/100</f>
        <v>0.90527207460000003</v>
      </c>
      <c r="N185" s="3">
        <v>1364.3</v>
      </c>
      <c r="O185" s="6">
        <f>Table2[[#This Row],[% of Collaborative Streams]]/100</f>
        <v>9.472792540000001E-2</v>
      </c>
      <c r="P185" s="4">
        <f>Table3[[#This Row],[Lead Streams (in millions)]]+Table3[[#This Row],[Feature Streams (in millions)]]</f>
        <v>14405.7</v>
      </c>
      <c r="Q185" s="4">
        <f>_xlfn.RANK.EQ(Table3[[#This Row],[Total Stream]],Table3[Total Stream],0)</f>
        <v>184</v>
      </c>
      <c r="R185" s="4">
        <f>Table3[[#This Row],[Total Streams (in millions)]]-Table3[[#This Row],[Total Stream]]</f>
        <v>-3.4000000000014552</v>
      </c>
      <c r="S185" s="8">
        <f>IFERROR(Table3[[#This Row],[Collaborative Streams (in millions)]]/Table3[[#This Row],[Total Stream]],0)</f>
        <v>9.470556793491465E-2</v>
      </c>
      <c r="T185" t="str">
        <f>IF(Table3[[#This Row],[Total Streams (in millions)]]&gt;=50000,"High Performer",IF(Table3[[#This Row],[Total Streams (in millions)]]&gt;=20000,"Medium Performer","Low Performer"))</f>
        <v>Low Performer</v>
      </c>
    </row>
    <row r="186" spans="1:20" x14ac:dyDescent="0.3">
      <c r="A186" s="9" t="s">
        <v>251</v>
      </c>
      <c r="B186" s="9" t="s">
        <v>14</v>
      </c>
      <c r="C186" s="9" t="s">
        <v>94</v>
      </c>
      <c r="D186" s="9" t="s">
        <v>16</v>
      </c>
      <c r="E186" s="9" t="s">
        <v>51</v>
      </c>
      <c r="F186" s="9" t="s">
        <v>18</v>
      </c>
      <c r="G186" s="10">
        <v>2008</v>
      </c>
      <c r="H186" s="10" t="str">
        <f>IF(Table3[[#This Row],[Debut Year]]&lt;=2000,"1999–2000",
IF(Table3[[#This Row],[Debut Year]]&lt;=2005,"2001–2005",
IF(Table3[[#This Row],[Debut Year]]&lt;=2010,"2006–2010",
IF(Table3[[#This Row],[Debut Year]]&lt;=2015,"2011–2015",
IF(Table3[[#This Row],[Debut Year]]&lt;=2020,"2016–2020",
"2021–2025")))))</f>
        <v>2006–2010</v>
      </c>
      <c r="I186" s="10">
        <v>14387.1</v>
      </c>
      <c r="J186" s="10">
        <v>13232.8</v>
      </c>
      <c r="K186" s="10">
        <v>1165.4000000000001</v>
      </c>
      <c r="L186" s="4">
        <v>12678.8</v>
      </c>
      <c r="M186" s="6">
        <f>Table2[[#This Row],[% of Solo Streams]]/100</f>
        <v>0.88126168579999997</v>
      </c>
      <c r="N186" s="3">
        <v>1708.3</v>
      </c>
      <c r="O186" s="6">
        <f>Table2[[#This Row],[% of Collaborative Streams]]/100</f>
        <v>0.1187383142</v>
      </c>
      <c r="P186" s="4">
        <f>Table3[[#This Row],[Lead Streams (in millions)]]+Table3[[#This Row],[Feature Streams (in millions)]]</f>
        <v>14398.199999999999</v>
      </c>
      <c r="Q186" s="4">
        <f>_xlfn.RANK.EQ(Table3[[#This Row],[Total Stream]],Table3[Total Stream],0)</f>
        <v>185</v>
      </c>
      <c r="R186" s="4">
        <f>Table3[[#This Row],[Total Streams (in millions)]]-Table3[[#This Row],[Total Stream]]</f>
        <v>-11.099999999998545</v>
      </c>
      <c r="S186" s="8">
        <f>IFERROR(Table3[[#This Row],[Collaborative Streams (in millions)]]/Table3[[#This Row],[Total Stream]],0)</f>
        <v>0.11864677529135587</v>
      </c>
      <c r="T186" t="str">
        <f>IF(Table3[[#This Row],[Total Streams (in millions)]]&gt;=50000,"High Performer",IF(Table3[[#This Row],[Total Streams (in millions)]]&gt;=20000,"Medium Performer","Low Performer"))</f>
        <v>Low Performer</v>
      </c>
    </row>
    <row r="187" spans="1:20" x14ac:dyDescent="0.3">
      <c r="A187" s="11" t="s">
        <v>252</v>
      </c>
      <c r="B187" s="11" t="s">
        <v>14</v>
      </c>
      <c r="C187" s="11" t="s">
        <v>242</v>
      </c>
      <c r="D187" s="11" t="s">
        <v>24</v>
      </c>
      <c r="E187" s="11" t="s">
        <v>25</v>
      </c>
      <c r="F187" s="11" t="s">
        <v>18</v>
      </c>
      <c r="G187" s="12">
        <v>2020</v>
      </c>
      <c r="H187" s="12" t="str">
        <f>IF(Table3[[#This Row],[Debut Year]]&lt;=2000,"1999–2000",
IF(Table3[[#This Row],[Debut Year]]&lt;=2005,"2001–2005",
IF(Table3[[#This Row],[Debut Year]]&lt;=2010,"2006–2010",
IF(Table3[[#This Row],[Debut Year]]&lt;=2015,"2011–2015",
IF(Table3[[#This Row],[Debut Year]]&lt;=2020,"2016–2020",
"2021–2025")))))</f>
        <v>2016–2020</v>
      </c>
      <c r="I187" s="12">
        <v>14345.2</v>
      </c>
      <c r="J187" s="12">
        <v>7659.9</v>
      </c>
      <c r="K187" s="12">
        <v>6698.1</v>
      </c>
      <c r="L187" s="4">
        <v>4914.8999999999996</v>
      </c>
      <c r="M187" s="6">
        <f>Table2[[#This Row],[% of Solo Streams]]/100</f>
        <v>0.34261634549999997</v>
      </c>
      <c r="N187" s="3">
        <v>9430.2999999999993</v>
      </c>
      <c r="O187" s="6">
        <f>Table2[[#This Row],[% of Collaborative Streams]]/100</f>
        <v>0.65738365450000003</v>
      </c>
      <c r="P187" s="4">
        <f>Table3[[#This Row],[Lead Streams (in millions)]]+Table3[[#This Row],[Feature Streams (in millions)]]</f>
        <v>14358</v>
      </c>
      <c r="Q187" s="4">
        <f>_xlfn.RANK.EQ(Table3[[#This Row],[Total Stream]],Table3[Total Stream],0)</f>
        <v>186</v>
      </c>
      <c r="R187" s="4">
        <f>Table3[[#This Row],[Total Streams (in millions)]]-Table3[[#This Row],[Total Stream]]</f>
        <v>-12.799999999999272</v>
      </c>
      <c r="S187" s="8">
        <f>IFERROR(Table3[[#This Row],[Collaborative Streams (in millions)]]/Table3[[#This Row],[Total Stream]],0)</f>
        <v>0.65679760412313692</v>
      </c>
      <c r="T187" t="str">
        <f>IF(Table3[[#This Row],[Total Streams (in millions)]]&gt;=50000,"High Performer",IF(Table3[[#This Row],[Total Streams (in millions)]]&gt;=20000,"Medium Performer","Low Performer"))</f>
        <v>Low Performer</v>
      </c>
    </row>
    <row r="188" spans="1:20" x14ac:dyDescent="0.3">
      <c r="A188" s="9" t="s">
        <v>253</v>
      </c>
      <c r="B188" s="9" t="s">
        <v>14</v>
      </c>
      <c r="C188" s="9" t="s">
        <v>42</v>
      </c>
      <c r="D188" s="9" t="s">
        <v>24</v>
      </c>
      <c r="E188" s="9" t="s">
        <v>82</v>
      </c>
      <c r="F188" s="9" t="s">
        <v>48</v>
      </c>
      <c r="G188" s="10">
        <v>2015</v>
      </c>
      <c r="H188" s="10" t="str">
        <f>IF(Table3[[#This Row],[Debut Year]]&lt;=2000,"1999–2000",
IF(Table3[[#This Row],[Debut Year]]&lt;=2005,"2001–2005",
IF(Table3[[#This Row],[Debut Year]]&lt;=2010,"2006–2010",
IF(Table3[[#This Row],[Debut Year]]&lt;=2015,"2011–2015",
IF(Table3[[#This Row],[Debut Year]]&lt;=2020,"2016–2020",
"2021–2025")))))</f>
        <v>2011–2015</v>
      </c>
      <c r="I188" s="10">
        <v>14293.7</v>
      </c>
      <c r="J188" s="10">
        <v>11695.5</v>
      </c>
      <c r="K188" s="10">
        <v>2609</v>
      </c>
      <c r="L188" s="4">
        <v>8588.9</v>
      </c>
      <c r="M188" s="6">
        <f>Table2[[#This Row],[% of Solo Streams]]/100</f>
        <v>0.60088710410000001</v>
      </c>
      <c r="N188" s="3">
        <v>5704.8</v>
      </c>
      <c r="O188" s="6">
        <f>Table2[[#This Row],[% of Collaborative Streams]]/100</f>
        <v>0.39911289590000004</v>
      </c>
      <c r="P188" s="4">
        <f>Table3[[#This Row],[Lead Streams (in millions)]]+Table3[[#This Row],[Feature Streams (in millions)]]</f>
        <v>14304.5</v>
      </c>
      <c r="Q188" s="4">
        <f>_xlfn.RANK.EQ(Table3[[#This Row],[Total Stream]],Table3[Total Stream],0)</f>
        <v>187</v>
      </c>
      <c r="R188" s="4">
        <f>Table3[[#This Row],[Total Streams (in millions)]]-Table3[[#This Row],[Total Stream]]</f>
        <v>-10.799999999999272</v>
      </c>
      <c r="S188" s="8">
        <f>IFERROR(Table3[[#This Row],[Collaborative Streams (in millions)]]/Table3[[#This Row],[Total Stream]],0)</f>
        <v>0.39881156279492469</v>
      </c>
      <c r="T188" t="str">
        <f>IF(Table3[[#This Row],[Total Streams (in millions)]]&gt;=50000,"High Performer",IF(Table3[[#This Row],[Total Streams (in millions)]]&gt;=20000,"Medium Performer","Low Performer"))</f>
        <v>Low Performer</v>
      </c>
    </row>
    <row r="189" spans="1:20" x14ac:dyDescent="0.3">
      <c r="A189" s="11" t="s">
        <v>254</v>
      </c>
      <c r="B189" s="11" t="s">
        <v>20</v>
      </c>
      <c r="C189" s="11" t="s">
        <v>147</v>
      </c>
      <c r="D189" s="11" t="s">
        <v>16</v>
      </c>
      <c r="E189" s="11" t="s">
        <v>22</v>
      </c>
      <c r="F189" s="11" t="s">
        <v>18</v>
      </c>
      <c r="G189" s="12">
        <v>2008</v>
      </c>
      <c r="H189" s="12" t="str">
        <f>IF(Table3[[#This Row],[Debut Year]]&lt;=2000,"1999–2000",
IF(Table3[[#This Row],[Debut Year]]&lt;=2005,"2001–2005",
IF(Table3[[#This Row],[Debut Year]]&lt;=2010,"2006–2010",
IF(Table3[[#This Row],[Debut Year]]&lt;=2015,"2011–2015",
IF(Table3[[#This Row],[Debut Year]]&lt;=2020,"2016–2020",
"2021–2025")))))</f>
        <v>2006–2010</v>
      </c>
      <c r="I189" s="12">
        <v>14221.3</v>
      </c>
      <c r="J189" s="12">
        <v>9372.1</v>
      </c>
      <c r="K189" s="12">
        <v>4858.7</v>
      </c>
      <c r="L189" s="4">
        <v>7138.3</v>
      </c>
      <c r="M189" s="6">
        <f>Table2[[#This Row],[% of Solo Streams]]/100</f>
        <v>0.50194426670000003</v>
      </c>
      <c r="N189" s="3">
        <v>7083</v>
      </c>
      <c r="O189" s="6">
        <f>Table2[[#This Row],[% of Collaborative Streams]]/100</f>
        <v>0.49805573330000003</v>
      </c>
      <c r="P189" s="4">
        <f>Table3[[#This Row],[Lead Streams (in millions)]]+Table3[[#This Row],[Feature Streams (in millions)]]</f>
        <v>14230.8</v>
      </c>
      <c r="Q189" s="4">
        <f>_xlfn.RANK.EQ(Table3[[#This Row],[Total Stream]],Table3[Total Stream],0)</f>
        <v>188</v>
      </c>
      <c r="R189" s="4">
        <f>Table3[[#This Row],[Total Streams (in millions)]]-Table3[[#This Row],[Total Stream]]</f>
        <v>-9.5</v>
      </c>
      <c r="S189" s="8">
        <f>IFERROR(Table3[[#This Row],[Collaborative Streams (in millions)]]/Table3[[#This Row],[Total Stream]],0)</f>
        <v>0.49772324816594993</v>
      </c>
      <c r="T189" t="str">
        <f>IF(Table3[[#This Row],[Total Streams (in millions)]]&gt;=50000,"High Performer",IF(Table3[[#This Row],[Total Streams (in millions)]]&gt;=20000,"Medium Performer","Low Performer"))</f>
        <v>Low Performer</v>
      </c>
    </row>
    <row r="190" spans="1:20" x14ac:dyDescent="0.3">
      <c r="A190" s="9" t="s">
        <v>255</v>
      </c>
      <c r="B190" s="9" t="s">
        <v>14</v>
      </c>
      <c r="C190" s="9" t="s">
        <v>89</v>
      </c>
      <c r="D190" s="9" t="s">
        <v>24</v>
      </c>
      <c r="E190" s="9" t="s">
        <v>90</v>
      </c>
      <c r="F190" s="9" t="s">
        <v>18</v>
      </c>
      <c r="G190" s="10">
        <v>2023</v>
      </c>
      <c r="H190" s="10" t="str">
        <f>IF(Table3[[#This Row],[Debut Year]]&lt;=2000,"1999–2000",
IF(Table3[[#This Row],[Debut Year]]&lt;=2005,"2001–2005",
IF(Table3[[#This Row],[Debut Year]]&lt;=2010,"2006–2010",
IF(Table3[[#This Row],[Debut Year]]&lt;=2015,"2011–2015",
IF(Table3[[#This Row],[Debut Year]]&lt;=2020,"2016–2020",
"2021–2025")))))</f>
        <v>2021–2025</v>
      </c>
      <c r="I190" s="10">
        <v>14166.6</v>
      </c>
      <c r="J190" s="10">
        <v>7969.4</v>
      </c>
      <c r="K190" s="10">
        <v>6215.6</v>
      </c>
      <c r="L190" s="4">
        <v>3646.4</v>
      </c>
      <c r="M190" s="6">
        <f>Table2[[#This Row],[% of Solo Streams]]/100</f>
        <v>0.25739415240000002</v>
      </c>
      <c r="N190" s="3">
        <v>10520.2</v>
      </c>
      <c r="O190" s="6">
        <f>Table2[[#This Row],[% of Collaborative Streams]]/100</f>
        <v>0.74260584760000004</v>
      </c>
      <c r="P190" s="4">
        <f>Table3[[#This Row],[Lead Streams (in millions)]]+Table3[[#This Row],[Feature Streams (in millions)]]</f>
        <v>14185</v>
      </c>
      <c r="Q190" s="4">
        <f>_xlfn.RANK.EQ(Table3[[#This Row],[Total Stream]],Table3[Total Stream],0)</f>
        <v>189</v>
      </c>
      <c r="R190" s="4">
        <f>Table3[[#This Row],[Total Streams (in millions)]]-Table3[[#This Row],[Total Stream]]</f>
        <v>-18.399999999999636</v>
      </c>
      <c r="S190" s="8">
        <f>IFERROR(Table3[[#This Row],[Collaborative Streams (in millions)]]/Table3[[#This Row],[Total Stream]],0)</f>
        <v>0.74164258019034202</v>
      </c>
      <c r="T190" t="str">
        <f>IF(Table3[[#This Row],[Total Streams (in millions)]]&gt;=50000,"High Performer",IF(Table3[[#This Row],[Total Streams (in millions)]]&gt;=20000,"Medium Performer","Low Performer"))</f>
        <v>Low Performer</v>
      </c>
    </row>
    <row r="191" spans="1:20" x14ac:dyDescent="0.3">
      <c r="A191" s="11" t="s">
        <v>256</v>
      </c>
      <c r="B191" s="11" t="s">
        <v>14</v>
      </c>
      <c r="C191" s="11" t="s">
        <v>59</v>
      </c>
      <c r="D191" s="11" t="s">
        <v>257</v>
      </c>
      <c r="E191" s="11" t="s">
        <v>17</v>
      </c>
      <c r="F191" s="11" t="s">
        <v>18</v>
      </c>
      <c r="G191" s="12">
        <v>2013</v>
      </c>
      <c r="H191" s="12" t="str">
        <f>IF(Table3[[#This Row],[Debut Year]]&lt;=2000,"1999–2000",
IF(Table3[[#This Row],[Debut Year]]&lt;=2005,"2001–2005",
IF(Table3[[#This Row],[Debut Year]]&lt;=2010,"2006–2010",
IF(Table3[[#This Row],[Debut Year]]&lt;=2015,"2011–2015",
IF(Table3[[#This Row],[Debut Year]]&lt;=2020,"2016–2020",
"2021–2025")))))</f>
        <v>2011–2015</v>
      </c>
      <c r="I191" s="12">
        <v>14127.8</v>
      </c>
      <c r="J191" s="12">
        <v>11142.3</v>
      </c>
      <c r="K191" s="12">
        <v>2993.2</v>
      </c>
      <c r="L191" s="4">
        <v>8903.2000000000007</v>
      </c>
      <c r="M191" s="6">
        <f>Table2[[#This Row],[% of Solo Streams]]/100</f>
        <v>0.63019012159999999</v>
      </c>
      <c r="N191" s="3">
        <v>5224.6000000000004</v>
      </c>
      <c r="O191" s="6">
        <f>Table2[[#This Row],[% of Collaborative Streams]]/100</f>
        <v>0.36980987839999996</v>
      </c>
      <c r="P191" s="4">
        <f>Table3[[#This Row],[Lead Streams (in millions)]]+Table3[[#This Row],[Feature Streams (in millions)]]</f>
        <v>14135.5</v>
      </c>
      <c r="Q191" s="4">
        <f>_xlfn.RANK.EQ(Table3[[#This Row],[Total Stream]],Table3[Total Stream],0)</f>
        <v>190</v>
      </c>
      <c r="R191" s="4">
        <f>Table3[[#This Row],[Total Streams (in millions)]]-Table3[[#This Row],[Total Stream]]</f>
        <v>-7.7000000000007276</v>
      </c>
      <c r="S191" s="8">
        <f>IFERROR(Table3[[#This Row],[Collaborative Streams (in millions)]]/Table3[[#This Row],[Total Stream]],0)</f>
        <v>0.36960843266952004</v>
      </c>
      <c r="T191" t="str">
        <f>IF(Table3[[#This Row],[Total Streams (in millions)]]&gt;=50000,"High Performer",IF(Table3[[#This Row],[Total Streams (in millions)]]&gt;=20000,"Medium Performer","Low Performer"))</f>
        <v>Low Performer</v>
      </c>
    </row>
    <row r="192" spans="1:20" x14ac:dyDescent="0.3">
      <c r="A192" s="9" t="s">
        <v>258</v>
      </c>
      <c r="B192" s="9" t="s">
        <v>14</v>
      </c>
      <c r="C192" s="9" t="s">
        <v>21</v>
      </c>
      <c r="D192" s="9" t="s">
        <v>16</v>
      </c>
      <c r="E192" s="9" t="s">
        <v>17</v>
      </c>
      <c r="F192" s="9" t="s">
        <v>18</v>
      </c>
      <c r="G192" s="10">
        <v>1991</v>
      </c>
      <c r="H192" s="10" t="str">
        <f>IF(Table3[[#This Row],[Debut Year]]&lt;=2000,"1999–2000",
IF(Table3[[#This Row],[Debut Year]]&lt;=2005,"2001–2005",
IF(Table3[[#This Row],[Debut Year]]&lt;=2010,"2006–2010",
IF(Table3[[#This Row],[Debut Year]]&lt;=2015,"2011–2015",
IF(Table3[[#This Row],[Debut Year]]&lt;=2020,"2016–2020",
"2021–2025")))))</f>
        <v>1999–2000</v>
      </c>
      <c r="I192" s="10">
        <v>14116.7</v>
      </c>
      <c r="J192" s="10">
        <v>13659.9</v>
      </c>
      <c r="K192" s="10">
        <v>462.4</v>
      </c>
      <c r="L192" s="4">
        <v>5423.2</v>
      </c>
      <c r="M192" s="6">
        <f>Table2[[#This Row],[% of Solo Streams]]/100</f>
        <v>0.38416910469999999</v>
      </c>
      <c r="N192" s="3">
        <v>8693.5</v>
      </c>
      <c r="O192" s="6">
        <f>Table2[[#This Row],[% of Collaborative Streams]]/100</f>
        <v>0.61583089530000001</v>
      </c>
      <c r="P192" s="4">
        <f>Table3[[#This Row],[Lead Streams (in millions)]]+Table3[[#This Row],[Feature Streams (in millions)]]</f>
        <v>14122.3</v>
      </c>
      <c r="Q192" s="4">
        <f>_xlfn.RANK.EQ(Table3[[#This Row],[Total Stream]],Table3[Total Stream],0)</f>
        <v>191</v>
      </c>
      <c r="R192" s="4">
        <f>Table3[[#This Row],[Total Streams (in millions)]]-Table3[[#This Row],[Total Stream]]</f>
        <v>-5.5999999999985448</v>
      </c>
      <c r="S192" s="8">
        <f>IFERROR(Table3[[#This Row],[Collaborative Streams (in millions)]]/Table3[[#This Row],[Total Stream]],0)</f>
        <v>0.61558669621803819</v>
      </c>
      <c r="T192" t="str">
        <f>IF(Table3[[#This Row],[Total Streams (in millions)]]&gt;=50000,"High Performer",IF(Table3[[#This Row],[Total Streams (in millions)]]&gt;=20000,"Medium Performer","Low Performer"))</f>
        <v>Low Performer</v>
      </c>
    </row>
    <row r="193" spans="1:20" x14ac:dyDescent="0.3">
      <c r="A193" s="11" t="s">
        <v>259</v>
      </c>
      <c r="B193" s="11" t="s">
        <v>14</v>
      </c>
      <c r="C193" s="11" t="s">
        <v>33</v>
      </c>
      <c r="D193" s="11" t="s">
        <v>16</v>
      </c>
      <c r="E193" s="11" t="s">
        <v>57</v>
      </c>
      <c r="F193" s="11" t="s">
        <v>48</v>
      </c>
      <c r="G193" s="12">
        <v>2001</v>
      </c>
      <c r="H193" s="12" t="str">
        <f>IF(Table3[[#This Row],[Debut Year]]&lt;=2000,"1999–2000",
IF(Table3[[#This Row],[Debut Year]]&lt;=2005,"2001–2005",
IF(Table3[[#This Row],[Debut Year]]&lt;=2010,"2006–2010",
IF(Table3[[#This Row],[Debut Year]]&lt;=2015,"2011–2015",
IF(Table3[[#This Row],[Debut Year]]&lt;=2020,"2016–2020",
"2021–2025")))))</f>
        <v>2001–2005</v>
      </c>
      <c r="I193" s="12">
        <v>14104.4</v>
      </c>
      <c r="J193" s="12">
        <v>14087.5</v>
      </c>
      <c r="K193" s="12">
        <v>23.4</v>
      </c>
      <c r="L193" s="4">
        <v>3963.9</v>
      </c>
      <c r="M193" s="6">
        <f>Table2[[#This Row],[% of Solo Streams]]/100</f>
        <v>0.28103995919999997</v>
      </c>
      <c r="N193" s="3">
        <v>10140.5</v>
      </c>
      <c r="O193" s="6">
        <f>Table2[[#This Row],[% of Collaborative Streams]]/100</f>
        <v>0.71896004079999998</v>
      </c>
      <c r="P193" s="4">
        <f>Table3[[#This Row],[Lead Streams (in millions)]]+Table3[[#This Row],[Feature Streams (in millions)]]</f>
        <v>14110.9</v>
      </c>
      <c r="Q193" s="4">
        <f>_xlfn.RANK.EQ(Table3[[#This Row],[Total Stream]],Table3[Total Stream],0)</f>
        <v>192</v>
      </c>
      <c r="R193" s="4">
        <f>Table3[[#This Row],[Total Streams (in millions)]]-Table3[[#This Row],[Total Stream]]</f>
        <v>-6.5</v>
      </c>
      <c r="S193" s="8">
        <f>IFERROR(Table3[[#This Row],[Collaborative Streams (in millions)]]/Table3[[#This Row],[Total Stream]],0)</f>
        <v>0.71862886137666626</v>
      </c>
      <c r="T193" t="str">
        <f>IF(Table3[[#This Row],[Total Streams (in millions)]]&gt;=50000,"High Performer",IF(Table3[[#This Row],[Total Streams (in millions)]]&gt;=20000,"Medium Performer","Low Performer"))</f>
        <v>Low Performer</v>
      </c>
    </row>
    <row r="194" spans="1:20" x14ac:dyDescent="0.3">
      <c r="A194" s="9" t="s">
        <v>260</v>
      </c>
      <c r="B194" s="9" t="s">
        <v>14</v>
      </c>
      <c r="C194" s="9" t="s">
        <v>85</v>
      </c>
      <c r="D194" s="9" t="s">
        <v>16</v>
      </c>
      <c r="E194" s="9" t="s">
        <v>22</v>
      </c>
      <c r="F194" s="9" t="s">
        <v>18</v>
      </c>
      <c r="G194" s="10">
        <v>2017</v>
      </c>
      <c r="H194" s="10" t="str">
        <f>IF(Table3[[#This Row],[Debut Year]]&lt;=2000,"1999–2000",
IF(Table3[[#This Row],[Debut Year]]&lt;=2005,"2001–2005",
IF(Table3[[#This Row],[Debut Year]]&lt;=2010,"2006–2010",
IF(Table3[[#This Row],[Debut Year]]&lt;=2015,"2011–2015",
IF(Table3[[#This Row],[Debut Year]]&lt;=2020,"2016–2020",
"2021–2025")))))</f>
        <v>2016–2020</v>
      </c>
      <c r="I194" s="10">
        <v>14087.8</v>
      </c>
      <c r="J194" s="10">
        <v>14091.2</v>
      </c>
      <c r="K194" s="10">
        <v>0</v>
      </c>
      <c r="L194" s="4">
        <v>13608.5</v>
      </c>
      <c r="M194" s="6">
        <f>Table2[[#This Row],[% of Solo Streams]]/100</f>
        <v>0.96597765440000005</v>
      </c>
      <c r="N194" s="3">
        <v>479.3</v>
      </c>
      <c r="O194" s="6">
        <f>Table2[[#This Row],[% of Collaborative Streams]]/100</f>
        <v>3.4022345580000002E-2</v>
      </c>
      <c r="P194" s="4">
        <f>Table3[[#This Row],[Lead Streams (in millions)]]+Table3[[#This Row],[Feature Streams (in millions)]]</f>
        <v>14091.2</v>
      </c>
      <c r="Q194" s="4">
        <f>_xlfn.RANK.EQ(Table3[[#This Row],[Total Stream]],Table3[Total Stream],0)</f>
        <v>193</v>
      </c>
      <c r="R194" s="4">
        <f>Table3[[#This Row],[Total Streams (in millions)]]-Table3[[#This Row],[Total Stream]]</f>
        <v>-3.4000000000014552</v>
      </c>
      <c r="S194" s="8">
        <f>IFERROR(Table3[[#This Row],[Collaborative Streams (in millions)]]/Table3[[#This Row],[Total Stream]],0)</f>
        <v>3.4014136482343589E-2</v>
      </c>
      <c r="T194" t="str">
        <f>IF(Table3[[#This Row],[Total Streams (in millions)]]&gt;=50000,"High Performer",IF(Table3[[#This Row],[Total Streams (in millions)]]&gt;=20000,"Medium Performer","Low Performer"))</f>
        <v>Low Performer</v>
      </c>
    </row>
    <row r="195" spans="1:20" x14ac:dyDescent="0.3">
      <c r="A195" s="11" t="s">
        <v>261</v>
      </c>
      <c r="B195" s="11" t="s">
        <v>14</v>
      </c>
      <c r="C195" s="11" t="s">
        <v>21</v>
      </c>
      <c r="D195" s="11" t="s">
        <v>24</v>
      </c>
      <c r="E195" s="11" t="s">
        <v>90</v>
      </c>
      <c r="F195" s="11" t="s">
        <v>48</v>
      </c>
      <c r="G195" s="12">
        <v>2022</v>
      </c>
      <c r="H195" s="12" t="str">
        <f>IF(Table3[[#This Row],[Debut Year]]&lt;=2000,"1999–2000",
IF(Table3[[#This Row],[Debut Year]]&lt;=2005,"2001–2005",
IF(Table3[[#This Row],[Debut Year]]&lt;=2010,"2006–2010",
IF(Table3[[#This Row],[Debut Year]]&lt;=2015,"2011–2015",
IF(Table3[[#This Row],[Debut Year]]&lt;=2020,"2016–2020",
"2021–2025")))))</f>
        <v>2021–2025</v>
      </c>
      <c r="I195" s="12">
        <v>13999.3</v>
      </c>
      <c r="J195" s="12">
        <v>8094.6</v>
      </c>
      <c r="K195" s="12">
        <v>5914.6</v>
      </c>
      <c r="L195" s="4">
        <v>2001.5</v>
      </c>
      <c r="M195" s="6">
        <f>Table2[[#This Row],[% of Solo Streams]]/100</f>
        <v>0.14297143430000001</v>
      </c>
      <c r="N195" s="3">
        <v>11997.8</v>
      </c>
      <c r="O195" s="6">
        <f>Table2[[#This Row],[% of Collaborative Streams]]/100</f>
        <v>0.85702856569999997</v>
      </c>
      <c r="P195" s="4">
        <f>Table3[[#This Row],[Lead Streams (in millions)]]+Table3[[#This Row],[Feature Streams (in millions)]]</f>
        <v>14009.2</v>
      </c>
      <c r="Q195" s="4">
        <f>_xlfn.RANK.EQ(Table3[[#This Row],[Total Stream]],Table3[Total Stream],0)</f>
        <v>194</v>
      </c>
      <c r="R195" s="4">
        <f>Table3[[#This Row],[Total Streams (in millions)]]-Table3[[#This Row],[Total Stream]]</f>
        <v>-9.9000000000014552</v>
      </c>
      <c r="S195" s="8">
        <f>IFERROR(Table3[[#This Row],[Collaborative Streams (in millions)]]/Table3[[#This Row],[Total Stream]],0)</f>
        <v>0.85642292207977611</v>
      </c>
      <c r="T195" t="str">
        <f>IF(Table3[[#This Row],[Total Streams (in millions)]]&gt;=50000,"High Performer",IF(Table3[[#This Row],[Total Streams (in millions)]]&gt;=20000,"Medium Performer","Low Performer"))</f>
        <v>Low Performer</v>
      </c>
    </row>
    <row r="196" spans="1:20" x14ac:dyDescent="0.3">
      <c r="A196" s="9" t="s">
        <v>262</v>
      </c>
      <c r="B196" s="9" t="s">
        <v>14</v>
      </c>
      <c r="C196" s="9" t="s">
        <v>42</v>
      </c>
      <c r="D196" s="9" t="s">
        <v>24</v>
      </c>
      <c r="E196" s="9" t="s">
        <v>22</v>
      </c>
      <c r="F196" s="9" t="s">
        <v>18</v>
      </c>
      <c r="G196" s="10">
        <v>2007</v>
      </c>
      <c r="H196" s="10" t="str">
        <f>IF(Table3[[#This Row],[Debut Year]]&lt;=2000,"1999–2000",
IF(Table3[[#This Row],[Debut Year]]&lt;=2005,"2001–2005",
IF(Table3[[#This Row],[Debut Year]]&lt;=2010,"2006–2010",
IF(Table3[[#This Row],[Debut Year]]&lt;=2015,"2011–2015",
IF(Table3[[#This Row],[Debut Year]]&lt;=2020,"2016–2020",
"2021–2025")))))</f>
        <v>2006–2010</v>
      </c>
      <c r="I196" s="10">
        <v>13994.1</v>
      </c>
      <c r="J196" s="10">
        <v>8290.1</v>
      </c>
      <c r="K196" s="10">
        <v>5703.9</v>
      </c>
      <c r="L196" s="4">
        <v>3475.3</v>
      </c>
      <c r="M196" s="6">
        <f>Table2[[#This Row],[% of Solo Streams]]/100</f>
        <v>0.248340372</v>
      </c>
      <c r="N196" s="3">
        <v>10518.8</v>
      </c>
      <c r="O196" s="6">
        <f>Table2[[#This Row],[% of Collaborative Streams]]/100</f>
        <v>0.75165962800000008</v>
      </c>
      <c r="P196" s="4">
        <f>Table3[[#This Row],[Lead Streams (in millions)]]+Table3[[#This Row],[Feature Streams (in millions)]]</f>
        <v>13994</v>
      </c>
      <c r="Q196" s="4">
        <f>_xlfn.RANK.EQ(Table3[[#This Row],[Total Stream]],Table3[Total Stream],0)</f>
        <v>195</v>
      </c>
      <c r="R196" s="4">
        <f>Table3[[#This Row],[Total Streams (in millions)]]-Table3[[#This Row],[Total Stream]]</f>
        <v>0.1000000000003638</v>
      </c>
      <c r="S196" s="8">
        <f>IFERROR(Table3[[#This Row],[Collaborative Streams (in millions)]]/Table3[[#This Row],[Total Stream]],0)</f>
        <v>0.75166499928540798</v>
      </c>
      <c r="T196" t="str">
        <f>IF(Table3[[#This Row],[Total Streams (in millions)]]&gt;=50000,"High Performer",IF(Table3[[#This Row],[Total Streams (in millions)]]&gt;=20000,"Medium Performer","Low Performer"))</f>
        <v>Low Performer</v>
      </c>
    </row>
    <row r="197" spans="1:20" x14ac:dyDescent="0.3">
      <c r="A197" s="11" t="s">
        <v>263</v>
      </c>
      <c r="B197" s="11" t="s">
        <v>14</v>
      </c>
      <c r="C197" s="11" t="s">
        <v>21</v>
      </c>
      <c r="D197" s="11" t="s">
        <v>24</v>
      </c>
      <c r="E197" s="11" t="s">
        <v>25</v>
      </c>
      <c r="F197" s="11" t="s">
        <v>18</v>
      </c>
      <c r="G197" s="12">
        <v>2009</v>
      </c>
      <c r="H197" s="12" t="str">
        <f>IF(Table3[[#This Row],[Debut Year]]&lt;=2000,"1999–2000",
IF(Table3[[#This Row],[Debut Year]]&lt;=2005,"2001–2005",
IF(Table3[[#This Row],[Debut Year]]&lt;=2010,"2006–2010",
IF(Table3[[#This Row],[Debut Year]]&lt;=2015,"2011–2015",
IF(Table3[[#This Row],[Debut Year]]&lt;=2020,"2016–2020",
"2021–2025")))))</f>
        <v>2006–2010</v>
      </c>
      <c r="I197" s="12">
        <v>13994</v>
      </c>
      <c r="J197" s="12">
        <v>944.9</v>
      </c>
      <c r="K197" s="12">
        <v>13049.1</v>
      </c>
      <c r="L197" s="4">
        <v>136</v>
      </c>
      <c r="M197" s="6">
        <f>Table2[[#This Row],[% of Solo Streams]]/100</f>
        <v>9.7184507649999991E-3</v>
      </c>
      <c r="N197" s="3">
        <v>13858</v>
      </c>
      <c r="O197" s="6">
        <f>Table2[[#This Row],[% of Collaborative Streams]]/100</f>
        <v>0.99028154920000011</v>
      </c>
      <c r="P197" s="4">
        <f>Table3[[#This Row],[Lead Streams (in millions)]]+Table3[[#This Row],[Feature Streams (in millions)]]</f>
        <v>13994</v>
      </c>
      <c r="Q197" s="4">
        <f>_xlfn.RANK.EQ(Table3[[#This Row],[Total Stream]],Table3[Total Stream],0)</f>
        <v>195</v>
      </c>
      <c r="R197" s="4">
        <f>Table3[[#This Row],[Total Streams (in millions)]]-Table3[[#This Row],[Total Stream]]</f>
        <v>0</v>
      </c>
      <c r="S197" s="8">
        <f>IFERROR(Table3[[#This Row],[Collaborative Streams (in millions)]]/Table3[[#This Row],[Total Stream]],0)</f>
        <v>0.99028154923538658</v>
      </c>
      <c r="T197" t="str">
        <f>IF(Table3[[#This Row],[Total Streams (in millions)]]&gt;=50000,"High Performer",IF(Table3[[#This Row],[Total Streams (in millions)]]&gt;=20000,"Medium Performer","Low Performer"))</f>
        <v>Low Performer</v>
      </c>
    </row>
    <row r="198" spans="1:20" x14ac:dyDescent="0.3">
      <c r="A198" s="9" t="s">
        <v>264</v>
      </c>
      <c r="B198" s="9" t="s">
        <v>14</v>
      </c>
      <c r="C198" s="9" t="s">
        <v>21</v>
      </c>
      <c r="D198" s="9" t="s">
        <v>16</v>
      </c>
      <c r="E198" s="9" t="s">
        <v>17</v>
      </c>
      <c r="F198" s="9" t="s">
        <v>18</v>
      </c>
      <c r="G198" s="10">
        <v>2007</v>
      </c>
      <c r="H198" s="10" t="str">
        <f>IF(Table3[[#This Row],[Debut Year]]&lt;=2000,"1999–2000",
IF(Table3[[#This Row],[Debut Year]]&lt;=2005,"2001–2005",
IF(Table3[[#This Row],[Debut Year]]&lt;=2010,"2006–2010",
IF(Table3[[#This Row],[Debut Year]]&lt;=2015,"2011–2015",
IF(Table3[[#This Row],[Debut Year]]&lt;=2020,"2016–2020",
"2021–2025")))))</f>
        <v>2006–2010</v>
      </c>
      <c r="I198" s="10">
        <v>13978.6</v>
      </c>
      <c r="J198" s="10">
        <v>4090.4</v>
      </c>
      <c r="K198" s="10">
        <v>9888.1</v>
      </c>
      <c r="L198" s="4">
        <v>895.7</v>
      </c>
      <c r="M198" s="6">
        <f>Table2[[#This Row],[% of Solo Streams]]/100</f>
        <v>6.4076516959999996E-2</v>
      </c>
      <c r="N198" s="3">
        <v>13082.9</v>
      </c>
      <c r="O198" s="6">
        <f>Table2[[#This Row],[% of Collaborative Streams]]/100</f>
        <v>0.93592348299999994</v>
      </c>
      <c r="P198" s="4">
        <f>Table3[[#This Row],[Lead Streams (in millions)]]+Table3[[#This Row],[Feature Streams (in millions)]]</f>
        <v>13978.5</v>
      </c>
      <c r="Q198" s="4">
        <f>_xlfn.RANK.EQ(Table3[[#This Row],[Total Stream]],Table3[Total Stream],0)</f>
        <v>197</v>
      </c>
      <c r="R198" s="4">
        <f>Table3[[#This Row],[Total Streams (in millions)]]-Table3[[#This Row],[Total Stream]]</f>
        <v>0.1000000000003638</v>
      </c>
      <c r="S198" s="8">
        <f>IFERROR(Table3[[#This Row],[Collaborative Streams (in millions)]]/Table3[[#This Row],[Total Stream]],0)</f>
        <v>0.93593017848839288</v>
      </c>
      <c r="T198" t="str">
        <f>IF(Table3[[#This Row],[Total Streams (in millions)]]&gt;=50000,"High Performer",IF(Table3[[#This Row],[Total Streams (in millions)]]&gt;=20000,"Medium Performer","Low Performer"))</f>
        <v>Low Performer</v>
      </c>
    </row>
    <row r="199" spans="1:20" x14ac:dyDescent="0.3">
      <c r="A199" s="11" t="s">
        <v>265</v>
      </c>
      <c r="B199" s="11" t="s">
        <v>14</v>
      </c>
      <c r="C199" s="11" t="s">
        <v>21</v>
      </c>
      <c r="D199" s="11" t="s">
        <v>16</v>
      </c>
      <c r="E199" s="11" t="s">
        <v>17</v>
      </c>
      <c r="F199" s="11" t="s">
        <v>18</v>
      </c>
      <c r="G199" s="12">
        <v>2010</v>
      </c>
      <c r="H199" s="12" t="str">
        <f>IF(Table3[[#This Row],[Debut Year]]&lt;=2000,"1999–2000",
IF(Table3[[#This Row],[Debut Year]]&lt;=2005,"2001–2005",
IF(Table3[[#This Row],[Debut Year]]&lt;=2010,"2006–2010",
IF(Table3[[#This Row],[Debut Year]]&lt;=2015,"2011–2015",
IF(Table3[[#This Row],[Debut Year]]&lt;=2020,"2016–2020",
"2021–2025")))))</f>
        <v>2006–2010</v>
      </c>
      <c r="I199" s="12">
        <v>13891.9</v>
      </c>
      <c r="J199" s="12">
        <v>9309.2000000000007</v>
      </c>
      <c r="K199" s="12">
        <v>4586.6000000000004</v>
      </c>
      <c r="L199" s="4">
        <v>12293.1</v>
      </c>
      <c r="M199" s="6">
        <f>Table2[[#This Row],[% of Solo Streams]]/100</f>
        <v>0.88491135119999997</v>
      </c>
      <c r="N199" s="3">
        <v>1598.8</v>
      </c>
      <c r="O199" s="6">
        <f>Table2[[#This Row],[% of Collaborative Streams]]/100</f>
        <v>0.11508864880000001</v>
      </c>
      <c r="P199" s="4">
        <f>Table3[[#This Row],[Lead Streams (in millions)]]+Table3[[#This Row],[Feature Streams (in millions)]]</f>
        <v>13895.800000000001</v>
      </c>
      <c r="Q199" s="4">
        <f>_xlfn.RANK.EQ(Table3[[#This Row],[Total Stream]],Table3[Total Stream],0)</f>
        <v>198</v>
      </c>
      <c r="R199" s="4">
        <f>Table3[[#This Row],[Total Streams (in millions)]]-Table3[[#This Row],[Total Stream]]</f>
        <v>-3.9000000000014552</v>
      </c>
      <c r="S199" s="8">
        <f>IFERROR(Table3[[#This Row],[Collaborative Streams (in millions)]]/Table3[[#This Row],[Total Stream]],0)</f>
        <v>0.11505634796125447</v>
      </c>
      <c r="T199" t="str">
        <f>IF(Table3[[#This Row],[Total Streams (in millions)]]&gt;=50000,"High Performer",IF(Table3[[#This Row],[Total Streams (in millions)]]&gt;=20000,"Medium Performer","Low Performer"))</f>
        <v>Low Performer</v>
      </c>
    </row>
    <row r="200" spans="1:20" x14ac:dyDescent="0.3">
      <c r="A200" s="9" t="s">
        <v>266</v>
      </c>
      <c r="B200" s="9" t="s">
        <v>14</v>
      </c>
      <c r="C200" s="9" t="s">
        <v>21</v>
      </c>
      <c r="D200" s="9" t="s">
        <v>16</v>
      </c>
      <c r="E200" s="9" t="s">
        <v>27</v>
      </c>
      <c r="F200" s="9" t="s">
        <v>18</v>
      </c>
      <c r="G200" s="10">
        <v>2011</v>
      </c>
      <c r="H200" s="10" t="str">
        <f>IF(Table3[[#This Row],[Debut Year]]&lt;=2000,"1999–2000",
IF(Table3[[#This Row],[Debut Year]]&lt;=2005,"2001–2005",
IF(Table3[[#This Row],[Debut Year]]&lt;=2010,"2006–2010",
IF(Table3[[#This Row],[Debut Year]]&lt;=2015,"2011–2015",
IF(Table3[[#This Row],[Debut Year]]&lt;=2020,"2016–2020",
"2021–2025")))))</f>
        <v>2011–2015</v>
      </c>
      <c r="I200" s="10">
        <v>13890.6</v>
      </c>
      <c r="J200" s="10">
        <v>13739.5</v>
      </c>
      <c r="K200" s="10">
        <v>155.6</v>
      </c>
      <c r="L200" s="4">
        <v>8915.5</v>
      </c>
      <c r="M200" s="6">
        <f>Table2[[#This Row],[% of Solo Streams]]/100</f>
        <v>0.64183692570000006</v>
      </c>
      <c r="N200" s="3">
        <v>4975.1000000000004</v>
      </c>
      <c r="O200" s="6">
        <f>Table2[[#This Row],[% of Collaborative Streams]]/100</f>
        <v>0.3581630743</v>
      </c>
      <c r="P200" s="4">
        <f>Table3[[#This Row],[Lead Streams (in millions)]]+Table3[[#This Row],[Feature Streams (in millions)]]</f>
        <v>13895.1</v>
      </c>
      <c r="Q200" s="4">
        <f>_xlfn.RANK.EQ(Table3[[#This Row],[Total Stream]],Table3[Total Stream],0)</f>
        <v>199</v>
      </c>
      <c r="R200" s="4">
        <f>Table3[[#This Row],[Total Streams (in millions)]]-Table3[[#This Row],[Total Stream]]</f>
        <v>-4.5</v>
      </c>
      <c r="S200" s="8">
        <f>IFERROR(Table3[[#This Row],[Collaborative Streams (in millions)]]/Table3[[#This Row],[Total Stream]],0)</f>
        <v>0.35804708134522245</v>
      </c>
      <c r="T200" t="str">
        <f>IF(Table3[[#This Row],[Total Streams (in millions)]]&gt;=50000,"High Performer",IF(Table3[[#This Row],[Total Streams (in millions)]]&gt;=20000,"Medium Performer","Low Performer"))</f>
        <v>Low Performer</v>
      </c>
    </row>
    <row r="201" spans="1:20" x14ac:dyDescent="0.3">
      <c r="A201" s="11" t="s">
        <v>267</v>
      </c>
      <c r="B201" s="11" t="s">
        <v>14</v>
      </c>
      <c r="C201" s="11" t="s">
        <v>242</v>
      </c>
      <c r="D201" s="11" t="s">
        <v>24</v>
      </c>
      <c r="E201" s="11" t="s">
        <v>17</v>
      </c>
      <c r="F201" s="11" t="s">
        <v>18</v>
      </c>
      <c r="G201" s="12">
        <v>2014</v>
      </c>
      <c r="H201" s="12" t="str">
        <f>IF(Table3[[#This Row],[Debut Year]]&lt;=2000,"1999–2000",
IF(Table3[[#This Row],[Debut Year]]&lt;=2005,"2001–2005",
IF(Table3[[#This Row],[Debut Year]]&lt;=2010,"2006–2010",
IF(Table3[[#This Row],[Debut Year]]&lt;=2015,"2011–2015",
IF(Table3[[#This Row],[Debut Year]]&lt;=2020,"2016–2020",
"2021–2025")))))</f>
        <v>2011–2015</v>
      </c>
      <c r="I201" s="12">
        <v>13734.1</v>
      </c>
      <c r="J201" s="12">
        <v>11278.9</v>
      </c>
      <c r="K201" s="12">
        <v>2462</v>
      </c>
      <c r="L201" s="4">
        <v>8953.7000000000007</v>
      </c>
      <c r="M201" s="6">
        <f>Table2[[#This Row],[% of Solo Streams]]/100</f>
        <v>0.65193205230000006</v>
      </c>
      <c r="N201" s="3">
        <v>4780.3999999999996</v>
      </c>
      <c r="O201" s="6">
        <f>Table2[[#This Row],[% of Collaborative Streams]]/100</f>
        <v>0.34806794770000005</v>
      </c>
      <c r="P201" s="4">
        <f>Table3[[#This Row],[Lead Streams (in millions)]]+Table3[[#This Row],[Feature Streams (in millions)]]</f>
        <v>13740.9</v>
      </c>
      <c r="Q201" s="4">
        <f>_xlfn.RANK.EQ(Table3[[#This Row],[Total Stream]],Table3[Total Stream],0)</f>
        <v>200</v>
      </c>
      <c r="R201" s="4">
        <f>Table3[[#This Row],[Total Streams (in millions)]]-Table3[[#This Row],[Total Stream]]</f>
        <v>-6.7999999999992724</v>
      </c>
      <c r="S201" s="8">
        <f>IFERROR(Table3[[#This Row],[Collaborative Streams (in millions)]]/Table3[[#This Row],[Total Stream]],0)</f>
        <v>0.34789569824392869</v>
      </c>
      <c r="T201" t="str">
        <f>IF(Table3[[#This Row],[Total Streams (in millions)]]&gt;=50000,"High Performer",IF(Table3[[#This Row],[Total Streams (in millions)]]&gt;=20000,"Medium Performer","Low Performer"))</f>
        <v>Low Performer</v>
      </c>
    </row>
    <row r="202" spans="1:20" x14ac:dyDescent="0.3">
      <c r="A202" s="9" t="s">
        <v>268</v>
      </c>
      <c r="B202" s="9" t="s">
        <v>14</v>
      </c>
      <c r="C202" s="9" t="s">
        <v>21</v>
      </c>
      <c r="D202" s="9" t="s">
        <v>16</v>
      </c>
      <c r="E202" s="9" t="s">
        <v>17</v>
      </c>
      <c r="F202" s="9" t="s">
        <v>18</v>
      </c>
      <c r="G202" s="10">
        <v>2017</v>
      </c>
      <c r="H202" s="10" t="str">
        <f>IF(Table3[[#This Row],[Debut Year]]&lt;=2000,"1999–2000",
IF(Table3[[#This Row],[Debut Year]]&lt;=2005,"2001–2005",
IF(Table3[[#This Row],[Debut Year]]&lt;=2010,"2006–2010",
IF(Table3[[#This Row],[Debut Year]]&lt;=2015,"2011–2015",
IF(Table3[[#This Row],[Debut Year]]&lt;=2020,"2016–2020",
"2021–2025")))))</f>
        <v>2016–2020</v>
      </c>
      <c r="I202" s="10">
        <v>13692</v>
      </c>
      <c r="J202" s="10">
        <v>6665</v>
      </c>
      <c r="K202" s="10">
        <v>7030</v>
      </c>
      <c r="L202" s="4">
        <v>4971.3</v>
      </c>
      <c r="M202" s="6">
        <f>Table2[[#This Row],[% of Solo Streams]]/100</f>
        <v>0.36308063099999999</v>
      </c>
      <c r="N202" s="3">
        <v>8720.7000000000007</v>
      </c>
      <c r="O202" s="6">
        <f>Table2[[#This Row],[% of Collaborative Streams]]/100</f>
        <v>0.63691936900000001</v>
      </c>
      <c r="P202" s="4">
        <f>Table3[[#This Row],[Lead Streams (in millions)]]+Table3[[#This Row],[Feature Streams (in millions)]]</f>
        <v>13695</v>
      </c>
      <c r="Q202" s="4">
        <f>_xlfn.RANK.EQ(Table3[[#This Row],[Total Stream]],Table3[Total Stream],0)</f>
        <v>201</v>
      </c>
      <c r="R202" s="4">
        <f>Table3[[#This Row],[Total Streams (in millions)]]-Table3[[#This Row],[Total Stream]]</f>
        <v>-3</v>
      </c>
      <c r="S202" s="8">
        <f>IFERROR(Table3[[#This Row],[Collaborative Streams (in millions)]]/Table3[[#This Row],[Total Stream]],0)</f>
        <v>0.63677984665936482</v>
      </c>
      <c r="T202" t="str">
        <f>IF(Table3[[#This Row],[Total Streams (in millions)]]&gt;=50000,"High Performer",IF(Table3[[#This Row],[Total Streams (in millions)]]&gt;=20000,"Medium Performer","Low Performer"))</f>
        <v>Low Performer</v>
      </c>
    </row>
    <row r="203" spans="1:20" x14ac:dyDescent="0.3">
      <c r="A203" s="11" t="s">
        <v>269</v>
      </c>
      <c r="B203" s="11" t="s">
        <v>14</v>
      </c>
      <c r="C203" s="11" t="s">
        <v>21</v>
      </c>
      <c r="D203" s="11" t="s">
        <v>16</v>
      </c>
      <c r="E203" s="11" t="s">
        <v>51</v>
      </c>
      <c r="F203" s="11" t="s">
        <v>48</v>
      </c>
      <c r="G203" s="12">
        <v>1985</v>
      </c>
      <c r="H203" s="12" t="str">
        <f>IF(Table3[[#This Row],[Debut Year]]&lt;=2000,"1999–2000",
IF(Table3[[#This Row],[Debut Year]]&lt;=2005,"2001–2005",
IF(Table3[[#This Row],[Debut Year]]&lt;=2010,"2006–2010",
IF(Table3[[#This Row],[Debut Year]]&lt;=2015,"2011–2015",
IF(Table3[[#This Row],[Debut Year]]&lt;=2020,"2016–2020",
"2021–2025")))))</f>
        <v>1999–2000</v>
      </c>
      <c r="I203" s="12">
        <v>13683</v>
      </c>
      <c r="J203" s="12">
        <v>13689.3</v>
      </c>
      <c r="K203" s="12">
        <v>0</v>
      </c>
      <c r="L203" s="4">
        <v>13682.2</v>
      </c>
      <c r="M203" s="6">
        <f>Table2[[#This Row],[% of Solo Streams]]/100</f>
        <v>0.99994153330000002</v>
      </c>
      <c r="N203" s="3">
        <v>0.8</v>
      </c>
      <c r="O203" s="6">
        <f>Table2[[#This Row],[% of Collaborative Streams]]/100</f>
        <v>5.8466710519999999E-5</v>
      </c>
      <c r="P203" s="4">
        <f>Table3[[#This Row],[Lead Streams (in millions)]]+Table3[[#This Row],[Feature Streams (in millions)]]</f>
        <v>13689.3</v>
      </c>
      <c r="Q203" s="4">
        <f>_xlfn.RANK.EQ(Table3[[#This Row],[Total Stream]],Table3[Total Stream],0)</f>
        <v>202</v>
      </c>
      <c r="R203" s="4">
        <f>Table3[[#This Row],[Total Streams (in millions)]]-Table3[[#This Row],[Total Stream]]</f>
        <v>-6.2999999999992724</v>
      </c>
      <c r="S203" s="8">
        <f>IFERROR(Table3[[#This Row],[Collaborative Streams (in millions)]]/Table3[[#This Row],[Total Stream]],0)</f>
        <v>5.8439803350061733E-5</v>
      </c>
      <c r="T203" t="str">
        <f>IF(Table3[[#This Row],[Total Streams (in millions)]]&gt;=50000,"High Performer",IF(Table3[[#This Row],[Total Streams (in millions)]]&gt;=20000,"Medium Performer","Low Performer"))</f>
        <v>Low Performer</v>
      </c>
    </row>
    <row r="204" spans="1:20" x14ac:dyDescent="0.3">
      <c r="A204" s="9" t="s">
        <v>270</v>
      </c>
      <c r="B204" s="9" t="s">
        <v>20</v>
      </c>
      <c r="C204" s="9" t="s">
        <v>21</v>
      </c>
      <c r="D204" s="9" t="s">
        <v>16</v>
      </c>
      <c r="E204" s="9" t="s">
        <v>22</v>
      </c>
      <c r="F204" s="9" t="s">
        <v>18</v>
      </c>
      <c r="G204" s="10">
        <v>1990</v>
      </c>
      <c r="H204" s="10" t="str">
        <f>IF(Table3[[#This Row],[Debut Year]]&lt;=2000,"1999–2000",
IF(Table3[[#This Row],[Debut Year]]&lt;=2005,"2001–2005",
IF(Table3[[#This Row],[Debut Year]]&lt;=2010,"2006–2010",
IF(Table3[[#This Row],[Debut Year]]&lt;=2015,"2011–2015",
IF(Table3[[#This Row],[Debut Year]]&lt;=2020,"2016–2020",
"2021–2025")))))</f>
        <v>1999–2000</v>
      </c>
      <c r="I204" s="10">
        <v>13650.2</v>
      </c>
      <c r="J204" s="10">
        <v>12396.8</v>
      </c>
      <c r="K204" s="10">
        <v>1258.3</v>
      </c>
      <c r="L204" s="4">
        <v>10348.700000000001</v>
      </c>
      <c r="M204" s="6">
        <f>Table2[[#This Row],[% of Solo Streams]]/100</f>
        <v>0.7581354119</v>
      </c>
      <c r="N204" s="3">
        <v>3301.5</v>
      </c>
      <c r="O204" s="6">
        <f>Table2[[#This Row],[% of Collaborative Streams]]/100</f>
        <v>0.2418645881</v>
      </c>
      <c r="P204" s="4">
        <f>Table3[[#This Row],[Lead Streams (in millions)]]+Table3[[#This Row],[Feature Streams (in millions)]]</f>
        <v>13655.099999999999</v>
      </c>
      <c r="Q204" s="4">
        <f>_xlfn.RANK.EQ(Table3[[#This Row],[Total Stream]],Table3[Total Stream],0)</f>
        <v>203</v>
      </c>
      <c r="R204" s="4">
        <f>Table3[[#This Row],[Total Streams (in millions)]]-Table3[[#This Row],[Total Stream]]</f>
        <v>-4.8999999999978172</v>
      </c>
      <c r="S204" s="8">
        <f>IFERROR(Table3[[#This Row],[Collaborative Streams (in millions)]]/Table3[[#This Row],[Total Stream]],0)</f>
        <v>0.2417777973065009</v>
      </c>
      <c r="T204" t="str">
        <f>IF(Table3[[#This Row],[Total Streams (in millions)]]&gt;=50000,"High Performer",IF(Table3[[#This Row],[Total Streams (in millions)]]&gt;=20000,"Medium Performer","Low Performer"))</f>
        <v>Low Performer</v>
      </c>
    </row>
    <row r="205" spans="1:20" x14ac:dyDescent="0.3">
      <c r="A205" s="11" t="s">
        <v>271</v>
      </c>
      <c r="B205" s="11" t="s">
        <v>14</v>
      </c>
      <c r="C205" s="11" t="s">
        <v>21</v>
      </c>
      <c r="D205" s="11" t="s">
        <v>16</v>
      </c>
      <c r="E205" s="11" t="s">
        <v>272</v>
      </c>
      <c r="F205" s="11" t="s">
        <v>18</v>
      </c>
      <c r="G205" s="12">
        <v>2017</v>
      </c>
      <c r="H205" s="12" t="str">
        <f>IF(Table3[[#This Row],[Debut Year]]&lt;=2000,"1999–2000",
IF(Table3[[#This Row],[Debut Year]]&lt;=2005,"2001–2005",
IF(Table3[[#This Row],[Debut Year]]&lt;=2010,"2006–2010",
IF(Table3[[#This Row],[Debut Year]]&lt;=2015,"2011–2015",
IF(Table3[[#This Row],[Debut Year]]&lt;=2020,"2016–2020",
"2021–2025")))))</f>
        <v>2016–2020</v>
      </c>
      <c r="I205" s="12">
        <v>13543.1</v>
      </c>
      <c r="J205" s="12">
        <v>12815.1</v>
      </c>
      <c r="K205" s="12">
        <v>728</v>
      </c>
      <c r="L205" s="4">
        <v>10726.1</v>
      </c>
      <c r="M205" s="6">
        <f>Table2[[#This Row],[% of Solo Streams]]/100</f>
        <v>0.79199740090000004</v>
      </c>
      <c r="N205" s="3">
        <v>2817</v>
      </c>
      <c r="O205" s="6">
        <f>Table2[[#This Row],[% of Collaborative Streams]]/100</f>
        <v>0.20800259910000002</v>
      </c>
      <c r="P205" s="4">
        <f>Table3[[#This Row],[Lead Streams (in millions)]]+Table3[[#This Row],[Feature Streams (in millions)]]</f>
        <v>13543.1</v>
      </c>
      <c r="Q205" s="4">
        <f>_xlfn.RANK.EQ(Table3[[#This Row],[Total Stream]],Table3[Total Stream],0)</f>
        <v>204</v>
      </c>
      <c r="R205" s="4">
        <f>Table3[[#This Row],[Total Streams (in millions)]]-Table3[[#This Row],[Total Stream]]</f>
        <v>0</v>
      </c>
      <c r="S205" s="8">
        <f>IFERROR(Table3[[#This Row],[Collaborative Streams (in millions)]]/Table3[[#This Row],[Total Stream]],0)</f>
        <v>0.20800259910950963</v>
      </c>
      <c r="T205" t="str">
        <f>IF(Table3[[#This Row],[Total Streams (in millions)]]&gt;=50000,"High Performer",IF(Table3[[#This Row],[Total Streams (in millions)]]&gt;=20000,"Medium Performer","Low Performer"))</f>
        <v>Low Performer</v>
      </c>
    </row>
    <row r="206" spans="1:20" x14ac:dyDescent="0.3">
      <c r="A206" s="9" t="s">
        <v>273</v>
      </c>
      <c r="B206" s="9" t="s">
        <v>20</v>
      </c>
      <c r="C206" s="9" t="s">
        <v>21</v>
      </c>
      <c r="D206" s="9" t="s">
        <v>16</v>
      </c>
      <c r="E206" s="9" t="s">
        <v>17</v>
      </c>
      <c r="F206" s="9" t="s">
        <v>18</v>
      </c>
      <c r="G206" s="10">
        <v>2016</v>
      </c>
      <c r="H206" s="10" t="str">
        <f>IF(Table3[[#This Row],[Debut Year]]&lt;=2000,"1999–2000",
IF(Table3[[#This Row],[Debut Year]]&lt;=2005,"2001–2005",
IF(Table3[[#This Row],[Debut Year]]&lt;=2010,"2006–2010",
IF(Table3[[#This Row],[Debut Year]]&lt;=2015,"2011–2015",
IF(Table3[[#This Row],[Debut Year]]&lt;=2020,"2016–2020",
"2021–2025")))))</f>
        <v>2016–2020</v>
      </c>
      <c r="I206" s="10">
        <v>13532</v>
      </c>
      <c r="J206" s="10">
        <v>7853.3</v>
      </c>
      <c r="K206" s="10">
        <v>5683.7</v>
      </c>
      <c r="L206" s="4">
        <v>4660.7</v>
      </c>
      <c r="M206" s="6">
        <f>Table2[[#This Row],[% of Solo Streams]]/100</f>
        <v>0.3444206326</v>
      </c>
      <c r="N206" s="3">
        <v>8871.2999999999993</v>
      </c>
      <c r="O206" s="6">
        <f>Table2[[#This Row],[% of Collaborative Streams]]/100</f>
        <v>0.6555793674</v>
      </c>
      <c r="P206" s="4">
        <f>Table3[[#This Row],[Lead Streams (in millions)]]+Table3[[#This Row],[Feature Streams (in millions)]]</f>
        <v>13537</v>
      </c>
      <c r="Q206" s="4">
        <f>_xlfn.RANK.EQ(Table3[[#This Row],[Total Stream]],Table3[Total Stream],0)</f>
        <v>205</v>
      </c>
      <c r="R206" s="4">
        <f>Table3[[#This Row],[Total Streams (in millions)]]-Table3[[#This Row],[Total Stream]]</f>
        <v>-5</v>
      </c>
      <c r="S206" s="8">
        <f>IFERROR(Table3[[#This Row],[Collaborative Streams (in millions)]]/Table3[[#This Row],[Total Stream]],0)</f>
        <v>0.65533722390485327</v>
      </c>
      <c r="T206" t="str">
        <f>IF(Table3[[#This Row],[Total Streams (in millions)]]&gt;=50000,"High Performer",IF(Table3[[#This Row],[Total Streams (in millions)]]&gt;=20000,"Medium Performer","Low Performer"))</f>
        <v>Low Performer</v>
      </c>
    </row>
    <row r="207" spans="1:20" x14ac:dyDescent="0.3">
      <c r="A207" s="11" t="s">
        <v>274</v>
      </c>
      <c r="B207" s="11" t="s">
        <v>14</v>
      </c>
      <c r="C207" s="11" t="s">
        <v>89</v>
      </c>
      <c r="D207" s="11" t="s">
        <v>24</v>
      </c>
      <c r="E207" s="11" t="s">
        <v>90</v>
      </c>
      <c r="F207" s="11" t="s">
        <v>18</v>
      </c>
      <c r="G207" s="12">
        <v>2016</v>
      </c>
      <c r="H207" s="12" t="str">
        <f>IF(Table3[[#This Row],[Debut Year]]&lt;=2000,"1999–2000",
IF(Table3[[#This Row],[Debut Year]]&lt;=2005,"2001–2005",
IF(Table3[[#This Row],[Debut Year]]&lt;=2010,"2006–2010",
IF(Table3[[#This Row],[Debut Year]]&lt;=2015,"2011–2015",
IF(Table3[[#This Row],[Debut Year]]&lt;=2020,"2016–2020",
"2021–2025")))))</f>
        <v>2016–2020</v>
      </c>
      <c r="I207" s="12">
        <v>13503.4</v>
      </c>
      <c r="J207" s="12">
        <v>9602.2999999999993</v>
      </c>
      <c r="K207" s="12">
        <v>3932.5</v>
      </c>
      <c r="L207" s="4">
        <v>8044.7</v>
      </c>
      <c r="M207" s="6">
        <f>Table2[[#This Row],[% of Solo Streams]]/100</f>
        <v>0.59575366200000002</v>
      </c>
      <c r="N207" s="3">
        <v>5458.7</v>
      </c>
      <c r="O207" s="6">
        <f>Table2[[#This Row],[% of Collaborative Streams]]/100</f>
        <v>0.40424633800000004</v>
      </c>
      <c r="P207" s="4">
        <f>Table3[[#This Row],[Lead Streams (in millions)]]+Table3[[#This Row],[Feature Streams (in millions)]]</f>
        <v>13534.8</v>
      </c>
      <c r="Q207" s="4">
        <f>_xlfn.RANK.EQ(Table3[[#This Row],[Total Stream]],Table3[Total Stream],0)</f>
        <v>206</v>
      </c>
      <c r="R207" s="4">
        <f>Table3[[#This Row],[Total Streams (in millions)]]-Table3[[#This Row],[Total Stream]]</f>
        <v>-31.399999999999636</v>
      </c>
      <c r="S207" s="8">
        <f>IFERROR(Table3[[#This Row],[Collaborative Streams (in millions)]]/Table3[[#This Row],[Total Stream]],0)</f>
        <v>0.40330850843750926</v>
      </c>
      <c r="T207" t="str">
        <f>IF(Table3[[#This Row],[Total Streams (in millions)]]&gt;=50000,"High Performer",IF(Table3[[#This Row],[Total Streams (in millions)]]&gt;=20000,"Medium Performer","Low Performer"))</f>
        <v>Low Performer</v>
      </c>
    </row>
    <row r="208" spans="1:20" x14ac:dyDescent="0.3">
      <c r="A208" s="9" t="s">
        <v>275</v>
      </c>
      <c r="B208" s="9" t="s">
        <v>14</v>
      </c>
      <c r="C208" s="9" t="s">
        <v>21</v>
      </c>
      <c r="D208" s="9" t="s">
        <v>16</v>
      </c>
      <c r="E208" s="9" t="s">
        <v>27</v>
      </c>
      <c r="F208" s="9" t="s">
        <v>18</v>
      </c>
      <c r="G208" s="10">
        <v>2013</v>
      </c>
      <c r="H208" s="10" t="str">
        <f>IF(Table3[[#This Row],[Debut Year]]&lt;=2000,"1999–2000",
IF(Table3[[#This Row],[Debut Year]]&lt;=2005,"2001–2005",
IF(Table3[[#This Row],[Debut Year]]&lt;=2010,"2006–2010",
IF(Table3[[#This Row],[Debut Year]]&lt;=2015,"2011–2015",
IF(Table3[[#This Row],[Debut Year]]&lt;=2020,"2016–2020",
"2021–2025")))))</f>
        <v>2011–2015</v>
      </c>
      <c r="I208" s="10">
        <v>13490.4</v>
      </c>
      <c r="J208" s="10">
        <v>9955.4</v>
      </c>
      <c r="K208" s="10">
        <v>3540.8</v>
      </c>
      <c r="L208" s="4">
        <v>8582.9</v>
      </c>
      <c r="M208" s="6">
        <f>Table2[[#This Row],[% of Solo Streams]]/100</f>
        <v>0.63622279550000005</v>
      </c>
      <c r="N208" s="3">
        <v>4907.5</v>
      </c>
      <c r="O208" s="6">
        <f>Table2[[#This Row],[% of Collaborative Streams]]/100</f>
        <v>0.36377720450000001</v>
      </c>
      <c r="P208" s="4">
        <f>Table3[[#This Row],[Lead Streams (in millions)]]+Table3[[#This Row],[Feature Streams (in millions)]]</f>
        <v>13496.2</v>
      </c>
      <c r="Q208" s="4">
        <f>_xlfn.RANK.EQ(Table3[[#This Row],[Total Stream]],Table3[Total Stream],0)</f>
        <v>207</v>
      </c>
      <c r="R208" s="4">
        <f>Table3[[#This Row],[Total Streams (in millions)]]-Table3[[#This Row],[Total Stream]]</f>
        <v>-5.8000000000010914</v>
      </c>
      <c r="S208" s="8">
        <f>IFERROR(Table3[[#This Row],[Collaborative Streams (in millions)]]/Table3[[#This Row],[Total Stream]],0)</f>
        <v>0.36362087106000207</v>
      </c>
      <c r="T208" t="str">
        <f>IF(Table3[[#This Row],[Total Streams (in millions)]]&gt;=50000,"High Performer",IF(Table3[[#This Row],[Total Streams (in millions)]]&gt;=20000,"Medium Performer","Low Performer"))</f>
        <v>Low Performer</v>
      </c>
    </row>
    <row r="209" spans="1:20" x14ac:dyDescent="0.3">
      <c r="A209" s="11" t="s">
        <v>276</v>
      </c>
      <c r="B209" s="11" t="s">
        <v>14</v>
      </c>
      <c r="C209" s="11" t="s">
        <v>181</v>
      </c>
      <c r="D209" s="11" t="s">
        <v>16</v>
      </c>
      <c r="E209" s="11" t="s">
        <v>60</v>
      </c>
      <c r="F209" s="11" t="s">
        <v>18</v>
      </c>
      <c r="G209" s="12">
        <v>2012</v>
      </c>
      <c r="H209" s="12" t="str">
        <f>IF(Table3[[#This Row],[Debut Year]]&lt;=2000,"1999–2000",
IF(Table3[[#This Row],[Debut Year]]&lt;=2005,"2001–2005",
IF(Table3[[#This Row],[Debut Year]]&lt;=2010,"2006–2010",
IF(Table3[[#This Row],[Debut Year]]&lt;=2015,"2011–2015",
IF(Table3[[#This Row],[Debut Year]]&lt;=2020,"2016–2020",
"2021–2025")))))</f>
        <v>2011–2015</v>
      </c>
      <c r="I209" s="12">
        <v>13468.7</v>
      </c>
      <c r="J209" s="12">
        <v>12222.3</v>
      </c>
      <c r="K209" s="12">
        <v>1249.7</v>
      </c>
      <c r="L209" s="4">
        <v>1202.8</v>
      </c>
      <c r="M209" s="6">
        <f>Table2[[#This Row],[% of Solo Streams]]/100</f>
        <v>8.9303347759999999E-2</v>
      </c>
      <c r="N209" s="3">
        <v>12265.9</v>
      </c>
      <c r="O209" s="6">
        <f>Table2[[#This Row],[% of Collaborative Streams]]/100</f>
        <v>0.91069665220000007</v>
      </c>
      <c r="P209" s="4">
        <f>Table3[[#This Row],[Lead Streams (in millions)]]+Table3[[#This Row],[Feature Streams (in millions)]]</f>
        <v>13472</v>
      </c>
      <c r="Q209" s="4">
        <f>_xlfn.RANK.EQ(Table3[[#This Row],[Total Stream]],Table3[Total Stream],0)</f>
        <v>208</v>
      </c>
      <c r="R209" s="4">
        <f>Table3[[#This Row],[Total Streams (in millions)]]-Table3[[#This Row],[Total Stream]]</f>
        <v>-3.2999999999992724</v>
      </c>
      <c r="S209" s="8">
        <f>IFERROR(Table3[[#This Row],[Collaborative Streams (in millions)]]/Table3[[#This Row],[Total Stream]],0)</f>
        <v>0.91047357482185265</v>
      </c>
      <c r="T209" t="str">
        <f>IF(Table3[[#This Row],[Total Streams (in millions)]]&gt;=50000,"High Performer",IF(Table3[[#This Row],[Total Streams (in millions)]]&gt;=20000,"Medium Performer","Low Performer"))</f>
        <v>Low Performer</v>
      </c>
    </row>
    <row r="210" spans="1:20" x14ac:dyDescent="0.3">
      <c r="A210" s="9" t="s">
        <v>277</v>
      </c>
      <c r="B210" s="9" t="s">
        <v>14</v>
      </c>
      <c r="C210" s="9" t="s">
        <v>89</v>
      </c>
      <c r="D210" s="9" t="s">
        <v>24</v>
      </c>
      <c r="E210" s="9" t="s">
        <v>90</v>
      </c>
      <c r="F210" s="9" t="s">
        <v>48</v>
      </c>
      <c r="G210" s="10">
        <v>2003</v>
      </c>
      <c r="H210" s="10" t="str">
        <f>IF(Table3[[#This Row],[Debut Year]]&lt;=2000,"1999–2000",
IF(Table3[[#This Row],[Debut Year]]&lt;=2005,"2001–2005",
IF(Table3[[#This Row],[Debut Year]]&lt;=2010,"2006–2010",
IF(Table3[[#This Row],[Debut Year]]&lt;=2015,"2011–2015",
IF(Table3[[#This Row],[Debut Year]]&lt;=2020,"2016–2020",
"2021–2025")))))</f>
        <v>2001–2005</v>
      </c>
      <c r="I210" s="10">
        <v>13433.6</v>
      </c>
      <c r="J210" s="10">
        <v>12366.7</v>
      </c>
      <c r="K210" s="10">
        <v>1072.9000000000001</v>
      </c>
      <c r="L210" s="4">
        <v>11154.7</v>
      </c>
      <c r="M210" s="6">
        <f>Table2[[#This Row],[% of Solo Streams]]/100</f>
        <v>0.83035820630000001</v>
      </c>
      <c r="N210" s="3">
        <v>2278.9</v>
      </c>
      <c r="O210" s="6">
        <f>Table2[[#This Row],[% of Collaborative Streams]]/100</f>
        <v>0.16964179369999999</v>
      </c>
      <c r="P210" s="4">
        <f>Table3[[#This Row],[Lead Streams (in millions)]]+Table3[[#This Row],[Feature Streams (in millions)]]</f>
        <v>13439.6</v>
      </c>
      <c r="Q210" s="4">
        <f>_xlfn.RANK.EQ(Table3[[#This Row],[Total Stream]],Table3[Total Stream],0)</f>
        <v>209</v>
      </c>
      <c r="R210" s="4">
        <f>Table3[[#This Row],[Total Streams (in millions)]]-Table3[[#This Row],[Total Stream]]</f>
        <v>-6</v>
      </c>
      <c r="S210" s="8">
        <f>IFERROR(Table3[[#This Row],[Collaborative Streams (in millions)]]/Table3[[#This Row],[Total Stream]],0)</f>
        <v>0.16956605851364623</v>
      </c>
      <c r="T210" t="str">
        <f>IF(Table3[[#This Row],[Total Streams (in millions)]]&gt;=50000,"High Performer",IF(Table3[[#This Row],[Total Streams (in millions)]]&gt;=20000,"Medium Performer","Low Performer"))</f>
        <v>Low Performer</v>
      </c>
    </row>
    <row r="211" spans="1:20" x14ac:dyDescent="0.3">
      <c r="A211" s="11" t="s">
        <v>278</v>
      </c>
      <c r="B211" s="11" t="s">
        <v>14</v>
      </c>
      <c r="C211" s="11" t="s">
        <v>33</v>
      </c>
      <c r="D211" s="11" t="s">
        <v>16</v>
      </c>
      <c r="E211" s="11" t="s">
        <v>51</v>
      </c>
      <c r="F211" s="11" t="s">
        <v>48</v>
      </c>
      <c r="G211" s="12">
        <v>1967</v>
      </c>
      <c r="H211" s="12" t="str">
        <f>IF(Table3[[#This Row],[Debut Year]]&lt;=2000,"1999–2000",
IF(Table3[[#This Row],[Debut Year]]&lt;=2005,"2001–2005",
IF(Table3[[#This Row],[Debut Year]]&lt;=2010,"2006–2010",
IF(Table3[[#This Row],[Debut Year]]&lt;=2015,"2011–2015",
IF(Table3[[#This Row],[Debut Year]]&lt;=2020,"2016–2020",
"2021–2025")))))</f>
        <v>1999–2000</v>
      </c>
      <c r="I211" s="12">
        <v>13404.2</v>
      </c>
      <c r="J211" s="12">
        <v>11623.7</v>
      </c>
      <c r="K211" s="12">
        <v>1790.5</v>
      </c>
      <c r="L211" s="4">
        <v>13400.7</v>
      </c>
      <c r="M211" s="6">
        <f>Table2[[#This Row],[% of Solo Streams]]/100</f>
        <v>0.99973888779999998</v>
      </c>
      <c r="N211" s="3">
        <v>3.5</v>
      </c>
      <c r="O211" s="6">
        <f>Table2[[#This Row],[% of Collaborative Streams]]/100</f>
        <v>2.6111218869999999E-4</v>
      </c>
      <c r="P211" s="4">
        <f>Table3[[#This Row],[Lead Streams (in millions)]]+Table3[[#This Row],[Feature Streams (in millions)]]</f>
        <v>13414.2</v>
      </c>
      <c r="Q211" s="4">
        <f>_xlfn.RANK.EQ(Table3[[#This Row],[Total Stream]],Table3[Total Stream],0)</f>
        <v>210</v>
      </c>
      <c r="R211" s="4">
        <f>Table3[[#This Row],[Total Streams (in millions)]]-Table3[[#This Row],[Total Stream]]</f>
        <v>-10</v>
      </c>
      <c r="S211" s="8">
        <f>IFERROR(Table3[[#This Row],[Collaborative Streams (in millions)]]/Table3[[#This Row],[Total Stream]],0)</f>
        <v>2.6091753514931939E-4</v>
      </c>
      <c r="T211" t="str">
        <f>IF(Table3[[#This Row],[Total Streams (in millions)]]&gt;=50000,"High Performer",IF(Table3[[#This Row],[Total Streams (in millions)]]&gt;=20000,"Medium Performer","Low Performer"))</f>
        <v>Low Performer</v>
      </c>
    </row>
    <row r="212" spans="1:20" x14ac:dyDescent="0.3">
      <c r="A212" s="9" t="s">
        <v>279</v>
      </c>
      <c r="B212" s="9" t="s">
        <v>14</v>
      </c>
      <c r="C212" s="9" t="s">
        <v>21</v>
      </c>
      <c r="D212" s="9" t="s">
        <v>16</v>
      </c>
      <c r="E212" s="9" t="s">
        <v>17</v>
      </c>
      <c r="F212" s="9" t="s">
        <v>18</v>
      </c>
      <c r="G212" s="10">
        <v>2006</v>
      </c>
      <c r="H212" s="10" t="str">
        <f>IF(Table3[[#This Row],[Debut Year]]&lt;=2000,"1999–2000",
IF(Table3[[#This Row],[Debut Year]]&lt;=2005,"2001–2005",
IF(Table3[[#This Row],[Debut Year]]&lt;=2010,"2006–2010",
IF(Table3[[#This Row],[Debut Year]]&lt;=2015,"2011–2015",
IF(Table3[[#This Row],[Debut Year]]&lt;=2020,"2016–2020",
"2021–2025")))))</f>
        <v>2006–2010</v>
      </c>
      <c r="I212" s="10">
        <v>13398.3</v>
      </c>
      <c r="J212" s="10">
        <v>13409.8</v>
      </c>
      <c r="K212" s="10">
        <v>0</v>
      </c>
      <c r="L212" s="4">
        <v>4665.5</v>
      </c>
      <c r="M212" s="6">
        <f>Table2[[#This Row],[% of Solo Streams]]/100</f>
        <v>0.34821581839999999</v>
      </c>
      <c r="N212" s="3">
        <v>8732.7999999999993</v>
      </c>
      <c r="O212" s="6">
        <f>Table2[[#This Row],[% of Collaborative Streams]]/100</f>
        <v>0.65178418160000007</v>
      </c>
      <c r="P212" s="4">
        <f>Table3[[#This Row],[Lead Streams (in millions)]]+Table3[[#This Row],[Feature Streams (in millions)]]</f>
        <v>13409.8</v>
      </c>
      <c r="Q212" s="4">
        <f>_xlfn.RANK.EQ(Table3[[#This Row],[Total Stream]],Table3[Total Stream],0)</f>
        <v>211</v>
      </c>
      <c r="R212" s="4">
        <f>Table3[[#This Row],[Total Streams (in millions)]]-Table3[[#This Row],[Total Stream]]</f>
        <v>-11.5</v>
      </c>
      <c r="S212" s="8">
        <f>IFERROR(Table3[[#This Row],[Collaborative Streams (in millions)]]/Table3[[#This Row],[Total Stream]],0)</f>
        <v>0.65122522334412147</v>
      </c>
      <c r="T212" t="str">
        <f>IF(Table3[[#This Row],[Total Streams (in millions)]]&gt;=50000,"High Performer",IF(Table3[[#This Row],[Total Streams (in millions)]]&gt;=20000,"Medium Performer","Low Performer"))</f>
        <v>Low Performer</v>
      </c>
    </row>
    <row r="213" spans="1:20" x14ac:dyDescent="0.3">
      <c r="A213" s="11" t="s">
        <v>280</v>
      </c>
      <c r="B213" s="11" t="s">
        <v>14</v>
      </c>
      <c r="C213" s="11" t="s">
        <v>21</v>
      </c>
      <c r="D213" s="11" t="s">
        <v>24</v>
      </c>
      <c r="E213" s="11" t="s">
        <v>25</v>
      </c>
      <c r="F213" s="11" t="s">
        <v>48</v>
      </c>
      <c r="G213" s="12">
        <v>1998</v>
      </c>
      <c r="H213" s="12" t="str">
        <f>IF(Table3[[#This Row],[Debut Year]]&lt;=2000,"1999–2000",
IF(Table3[[#This Row],[Debut Year]]&lt;=2005,"2001–2005",
IF(Table3[[#This Row],[Debut Year]]&lt;=2010,"2006–2010",
IF(Table3[[#This Row],[Debut Year]]&lt;=2015,"2011–2015",
IF(Table3[[#This Row],[Debut Year]]&lt;=2020,"2016–2020",
"2021–2025")))))</f>
        <v>1999–2000</v>
      </c>
      <c r="I213" s="12">
        <v>13323.2</v>
      </c>
      <c r="J213" s="12">
        <v>8971.1</v>
      </c>
      <c r="K213" s="12">
        <v>4360.5</v>
      </c>
      <c r="L213" s="4">
        <v>5734.4</v>
      </c>
      <c r="M213" s="6">
        <f>Table2[[#This Row],[% of Solo Streams]]/100</f>
        <v>0.43040710939999999</v>
      </c>
      <c r="N213" s="3">
        <v>7588.8</v>
      </c>
      <c r="O213" s="6">
        <f>Table2[[#This Row],[% of Collaborative Streams]]/100</f>
        <v>0.56959289060000007</v>
      </c>
      <c r="P213" s="4">
        <f>Table3[[#This Row],[Lead Streams (in millions)]]+Table3[[#This Row],[Feature Streams (in millions)]]</f>
        <v>13331.6</v>
      </c>
      <c r="Q213" s="4">
        <f>_xlfn.RANK.EQ(Table3[[#This Row],[Total Stream]],Table3[Total Stream],0)</f>
        <v>212</v>
      </c>
      <c r="R213" s="4">
        <f>Table3[[#This Row],[Total Streams (in millions)]]-Table3[[#This Row],[Total Stream]]</f>
        <v>-8.3999999999996362</v>
      </c>
      <c r="S213" s="8">
        <f>IFERROR(Table3[[#This Row],[Collaborative Streams (in millions)]]/Table3[[#This Row],[Total Stream]],0)</f>
        <v>0.56923400042005456</v>
      </c>
      <c r="T213" t="str">
        <f>IF(Table3[[#This Row],[Total Streams (in millions)]]&gt;=50000,"High Performer",IF(Table3[[#This Row],[Total Streams (in millions)]]&gt;=20000,"Medium Performer","Low Performer"))</f>
        <v>Low Performer</v>
      </c>
    </row>
    <row r="214" spans="1:20" x14ac:dyDescent="0.3">
      <c r="A214" s="9" t="s">
        <v>281</v>
      </c>
      <c r="B214" s="9" t="s">
        <v>14</v>
      </c>
      <c r="C214" s="9" t="s">
        <v>21</v>
      </c>
      <c r="D214" s="9" t="s">
        <v>16</v>
      </c>
      <c r="E214" s="9" t="s">
        <v>17</v>
      </c>
      <c r="F214" s="9" t="s">
        <v>18</v>
      </c>
      <c r="G214" s="10">
        <v>1984</v>
      </c>
      <c r="H214" s="10" t="str">
        <f>IF(Table3[[#This Row],[Debut Year]]&lt;=2000,"1999–2000",
IF(Table3[[#This Row],[Debut Year]]&lt;=2005,"2001–2005",
IF(Table3[[#This Row],[Debut Year]]&lt;=2010,"2006–2010",
IF(Table3[[#This Row],[Debut Year]]&lt;=2015,"2011–2015",
IF(Table3[[#This Row],[Debut Year]]&lt;=2020,"2016–2020",
"2021–2025")))))</f>
        <v>1999–2000</v>
      </c>
      <c r="I214" s="10">
        <v>13320.3</v>
      </c>
      <c r="J214" s="10">
        <v>8568.7000000000007</v>
      </c>
      <c r="K214" s="10">
        <v>4756.2</v>
      </c>
      <c r="L214" s="4">
        <v>464.4</v>
      </c>
      <c r="M214" s="6">
        <f>Table2[[#This Row],[% of Solo Streams]]/100</f>
        <v>3.4864079640000004E-2</v>
      </c>
      <c r="N214" s="3">
        <v>12855.9</v>
      </c>
      <c r="O214" s="6">
        <f>Table2[[#This Row],[% of Collaborative Streams]]/100</f>
        <v>0.96513592040000007</v>
      </c>
      <c r="P214" s="4">
        <f>Table3[[#This Row],[Lead Streams (in millions)]]+Table3[[#This Row],[Feature Streams (in millions)]]</f>
        <v>13324.900000000001</v>
      </c>
      <c r="Q214" s="4">
        <f>_xlfn.RANK.EQ(Table3[[#This Row],[Total Stream]],Table3[Total Stream],0)</f>
        <v>213</v>
      </c>
      <c r="R214" s="4">
        <f>Table3[[#This Row],[Total Streams (in millions)]]-Table3[[#This Row],[Total Stream]]</f>
        <v>-4.6000000000021828</v>
      </c>
      <c r="S214" s="8">
        <f>IFERROR(Table3[[#This Row],[Collaborative Streams (in millions)]]/Table3[[#This Row],[Total Stream]],0)</f>
        <v>0.96480273773161507</v>
      </c>
      <c r="T214" t="str">
        <f>IF(Table3[[#This Row],[Total Streams (in millions)]]&gt;=50000,"High Performer",IF(Table3[[#This Row],[Total Streams (in millions)]]&gt;=20000,"Medium Performer","Low Performer"))</f>
        <v>Low Performer</v>
      </c>
    </row>
    <row r="215" spans="1:20" x14ac:dyDescent="0.3">
      <c r="A215" s="11" t="s">
        <v>282</v>
      </c>
      <c r="B215" s="11" t="s">
        <v>14</v>
      </c>
      <c r="C215" s="11" t="s">
        <v>21</v>
      </c>
      <c r="D215" s="11" t="s">
        <v>24</v>
      </c>
      <c r="E215" s="11" t="s">
        <v>25</v>
      </c>
      <c r="F215" s="11" t="s">
        <v>18</v>
      </c>
      <c r="G215" s="12">
        <v>2017</v>
      </c>
      <c r="H215" s="12" t="str">
        <f>IF(Table3[[#This Row],[Debut Year]]&lt;=2000,"1999–2000",
IF(Table3[[#This Row],[Debut Year]]&lt;=2005,"2001–2005",
IF(Table3[[#This Row],[Debut Year]]&lt;=2010,"2006–2010",
IF(Table3[[#This Row],[Debut Year]]&lt;=2015,"2011–2015",
IF(Table3[[#This Row],[Debut Year]]&lt;=2020,"2016–2020",
"2021–2025")))))</f>
        <v>2016–2020</v>
      </c>
      <c r="I215" s="12">
        <v>13291</v>
      </c>
      <c r="J215" s="12">
        <v>10113.700000000001</v>
      </c>
      <c r="K215" s="12">
        <v>3183.3</v>
      </c>
      <c r="L215" s="4">
        <v>4068.1</v>
      </c>
      <c r="M215" s="6">
        <f>Table2[[#This Row],[% of Solo Streams]]/100</f>
        <v>0.30607930179999998</v>
      </c>
      <c r="N215" s="3">
        <v>9222.9</v>
      </c>
      <c r="O215" s="6">
        <f>Table2[[#This Row],[% of Collaborative Streams]]/100</f>
        <v>0.69392069820000002</v>
      </c>
      <c r="P215" s="4">
        <f>Table3[[#This Row],[Lead Streams (in millions)]]+Table3[[#This Row],[Feature Streams (in millions)]]</f>
        <v>13297</v>
      </c>
      <c r="Q215" s="4">
        <f>_xlfn.RANK.EQ(Table3[[#This Row],[Total Stream]],Table3[Total Stream],0)</f>
        <v>214</v>
      </c>
      <c r="R215" s="4">
        <f>Table3[[#This Row],[Total Streams (in millions)]]-Table3[[#This Row],[Total Stream]]</f>
        <v>-6</v>
      </c>
      <c r="S215" s="8">
        <f>IFERROR(Table3[[#This Row],[Collaborative Streams (in millions)]]/Table3[[#This Row],[Total Stream]],0)</f>
        <v>0.69360758065729111</v>
      </c>
      <c r="T215" t="str">
        <f>IF(Table3[[#This Row],[Total Streams (in millions)]]&gt;=50000,"High Performer",IF(Table3[[#This Row],[Total Streams (in millions)]]&gt;=20000,"Medium Performer","Low Performer"))</f>
        <v>Low Performer</v>
      </c>
    </row>
    <row r="216" spans="1:20" x14ac:dyDescent="0.3">
      <c r="A216" s="9" t="s">
        <v>283</v>
      </c>
      <c r="B216" s="9" t="s">
        <v>78</v>
      </c>
      <c r="C216" s="9" t="s">
        <v>21</v>
      </c>
      <c r="D216" s="9" t="s">
        <v>16</v>
      </c>
      <c r="E216" s="9" t="s">
        <v>57</v>
      </c>
      <c r="F216" s="9" t="s">
        <v>48</v>
      </c>
      <c r="G216" s="10">
        <v>2008</v>
      </c>
      <c r="H216" s="10" t="str">
        <f>IF(Table3[[#This Row],[Debut Year]]&lt;=2000,"1999–2000",
IF(Table3[[#This Row],[Debut Year]]&lt;=2005,"2001–2005",
IF(Table3[[#This Row],[Debut Year]]&lt;=2010,"2006–2010",
IF(Table3[[#This Row],[Debut Year]]&lt;=2015,"2011–2015",
IF(Table3[[#This Row],[Debut Year]]&lt;=2020,"2016–2020",
"2021–2025")))))</f>
        <v>2006–2010</v>
      </c>
      <c r="I216" s="10">
        <v>13287</v>
      </c>
      <c r="J216" s="10">
        <v>13294.9</v>
      </c>
      <c r="K216" s="10">
        <v>0</v>
      </c>
      <c r="L216" s="4">
        <v>13287</v>
      </c>
      <c r="M216" s="6">
        <f>Table2[[#This Row],[% of Solo Streams]]/100</f>
        <v>1</v>
      </c>
      <c r="N216" s="3">
        <v>0</v>
      </c>
      <c r="O216" s="6">
        <f>Table2[[#This Row],[% of Collaborative Streams]]/100</f>
        <v>0</v>
      </c>
      <c r="P216" s="4">
        <f>Table3[[#This Row],[Lead Streams (in millions)]]+Table3[[#This Row],[Feature Streams (in millions)]]</f>
        <v>13294.9</v>
      </c>
      <c r="Q216" s="4">
        <f>_xlfn.RANK.EQ(Table3[[#This Row],[Total Stream]],Table3[Total Stream],0)</f>
        <v>215</v>
      </c>
      <c r="R216" s="4">
        <f>Table3[[#This Row],[Total Streams (in millions)]]-Table3[[#This Row],[Total Stream]]</f>
        <v>-7.8999999999996362</v>
      </c>
      <c r="S216" s="8">
        <f>IFERROR(Table3[[#This Row],[Collaborative Streams (in millions)]]/Table3[[#This Row],[Total Stream]],0)</f>
        <v>0</v>
      </c>
      <c r="T216" t="str">
        <f>IF(Table3[[#This Row],[Total Streams (in millions)]]&gt;=50000,"High Performer",IF(Table3[[#This Row],[Total Streams (in millions)]]&gt;=20000,"Medium Performer","Low Performer"))</f>
        <v>Low Performer</v>
      </c>
    </row>
    <row r="217" spans="1:20" x14ac:dyDescent="0.3">
      <c r="A217" s="11" t="s">
        <v>284</v>
      </c>
      <c r="B217" s="11" t="s">
        <v>14</v>
      </c>
      <c r="C217" s="11" t="s">
        <v>21</v>
      </c>
      <c r="D217" s="11" t="s">
        <v>16</v>
      </c>
      <c r="E217" s="11" t="s">
        <v>17</v>
      </c>
      <c r="F217" s="11" t="s">
        <v>18</v>
      </c>
      <c r="G217" s="12">
        <v>2008</v>
      </c>
      <c r="H217" s="12" t="str">
        <f>IF(Table3[[#This Row],[Debut Year]]&lt;=2000,"1999–2000",
IF(Table3[[#This Row],[Debut Year]]&lt;=2005,"2001–2005",
IF(Table3[[#This Row],[Debut Year]]&lt;=2010,"2006–2010",
IF(Table3[[#This Row],[Debut Year]]&lt;=2015,"2011–2015",
IF(Table3[[#This Row],[Debut Year]]&lt;=2020,"2016–2020",
"2021–2025")))))</f>
        <v>2006–2010</v>
      </c>
      <c r="I217" s="12">
        <v>13281.8</v>
      </c>
      <c r="J217" s="12">
        <v>12309.2</v>
      </c>
      <c r="K217" s="12">
        <v>978.1</v>
      </c>
      <c r="L217" s="4">
        <v>11171.3</v>
      </c>
      <c r="M217" s="6">
        <f>Table2[[#This Row],[% of Solo Streams]]/100</f>
        <v>0.84109834510000003</v>
      </c>
      <c r="N217" s="3">
        <v>2110.5</v>
      </c>
      <c r="O217" s="6">
        <f>Table2[[#This Row],[% of Collaborative Streams]]/100</f>
        <v>0.15890165489999999</v>
      </c>
      <c r="P217" s="4">
        <f>Table3[[#This Row],[Lead Streams (in millions)]]+Table3[[#This Row],[Feature Streams (in millions)]]</f>
        <v>13287.300000000001</v>
      </c>
      <c r="Q217" s="4">
        <f>_xlfn.RANK.EQ(Table3[[#This Row],[Total Stream]],Table3[Total Stream],0)</f>
        <v>216</v>
      </c>
      <c r="R217" s="4">
        <f>Table3[[#This Row],[Total Streams (in millions)]]-Table3[[#This Row],[Total Stream]]</f>
        <v>-5.500000000001819</v>
      </c>
      <c r="S217" s="8">
        <f>IFERROR(Table3[[#This Row],[Collaborative Streams (in millions)]]/Table3[[#This Row],[Total Stream]],0)</f>
        <v>0.15883588087873382</v>
      </c>
      <c r="T217" t="str">
        <f>IF(Table3[[#This Row],[Total Streams (in millions)]]&gt;=50000,"High Performer",IF(Table3[[#This Row],[Total Streams (in millions)]]&gt;=20000,"Medium Performer","Low Performer"))</f>
        <v>Low Performer</v>
      </c>
    </row>
    <row r="218" spans="1:20" x14ac:dyDescent="0.3">
      <c r="A218" s="9" t="s">
        <v>285</v>
      </c>
      <c r="B218" s="9" t="s">
        <v>14</v>
      </c>
      <c r="C218" s="9" t="s">
        <v>21</v>
      </c>
      <c r="D218" s="9" t="s">
        <v>24</v>
      </c>
      <c r="E218" s="9" t="s">
        <v>25</v>
      </c>
      <c r="F218" s="9" t="s">
        <v>18</v>
      </c>
      <c r="G218" s="10">
        <v>2000</v>
      </c>
      <c r="H218" s="10" t="str">
        <f>IF(Table3[[#This Row],[Debut Year]]&lt;=2000,"1999–2000",
IF(Table3[[#This Row],[Debut Year]]&lt;=2005,"2001–2005",
IF(Table3[[#This Row],[Debut Year]]&lt;=2010,"2006–2010",
IF(Table3[[#This Row],[Debut Year]]&lt;=2015,"2011–2015",
IF(Table3[[#This Row],[Debut Year]]&lt;=2020,"2016–2020",
"2021–2025")))))</f>
        <v>1999–2000</v>
      </c>
      <c r="I218" s="10">
        <v>13273.4</v>
      </c>
      <c r="J218" s="10">
        <v>4702.2</v>
      </c>
      <c r="K218" s="10">
        <v>8580.5</v>
      </c>
      <c r="L218" s="4">
        <v>575.4</v>
      </c>
      <c r="M218" s="6">
        <f>Table2[[#This Row],[% of Solo Streams]]/100</f>
        <v>4.3349857610000007E-2</v>
      </c>
      <c r="N218" s="3">
        <v>12698</v>
      </c>
      <c r="O218" s="6">
        <f>Table2[[#This Row],[% of Collaborative Streams]]/100</f>
        <v>0.95665014240000001</v>
      </c>
      <c r="P218" s="4">
        <f>Table3[[#This Row],[Lead Streams (in millions)]]+Table3[[#This Row],[Feature Streams (in millions)]]</f>
        <v>13282.7</v>
      </c>
      <c r="Q218" s="4">
        <f>_xlfn.RANK.EQ(Table3[[#This Row],[Total Stream]],Table3[Total Stream],0)</f>
        <v>217</v>
      </c>
      <c r="R218" s="4">
        <f>Table3[[#This Row],[Total Streams (in millions)]]-Table3[[#This Row],[Total Stream]]</f>
        <v>-9.3000000000010914</v>
      </c>
      <c r="S218" s="8">
        <f>IFERROR(Table3[[#This Row],[Collaborative Streams (in millions)]]/Table3[[#This Row],[Total Stream]],0)</f>
        <v>0.95598033532339055</v>
      </c>
      <c r="T218" t="str">
        <f>IF(Table3[[#This Row],[Total Streams (in millions)]]&gt;=50000,"High Performer",IF(Table3[[#This Row],[Total Streams (in millions)]]&gt;=20000,"Medium Performer","Low Performer"))</f>
        <v>Low Performer</v>
      </c>
    </row>
    <row r="219" spans="1:20" x14ac:dyDescent="0.3">
      <c r="A219" s="11" t="s">
        <v>286</v>
      </c>
      <c r="B219" s="11" t="s">
        <v>78</v>
      </c>
      <c r="C219" s="11" t="s">
        <v>21</v>
      </c>
      <c r="D219" s="11" t="s">
        <v>16</v>
      </c>
      <c r="E219" s="11" t="s">
        <v>60</v>
      </c>
      <c r="F219" s="11" t="s">
        <v>48</v>
      </c>
      <c r="G219" s="12">
        <v>2009</v>
      </c>
      <c r="H219" s="12" t="str">
        <f>IF(Table3[[#This Row],[Debut Year]]&lt;=2000,"1999–2000",
IF(Table3[[#This Row],[Debut Year]]&lt;=2005,"2001–2005",
IF(Table3[[#This Row],[Debut Year]]&lt;=2010,"2006–2010",
IF(Table3[[#This Row],[Debut Year]]&lt;=2015,"2011–2015",
IF(Table3[[#This Row],[Debut Year]]&lt;=2020,"2016–2020",
"2021–2025")))))</f>
        <v>2006–2010</v>
      </c>
      <c r="I219" s="12">
        <v>13220.4</v>
      </c>
      <c r="J219" s="12">
        <v>11619.7</v>
      </c>
      <c r="K219" s="12">
        <v>1604</v>
      </c>
      <c r="L219" s="4">
        <v>45.4</v>
      </c>
      <c r="M219" s="6">
        <f>Table2[[#This Row],[% of Solo Streams]]/100</f>
        <v>3.4340867139999996E-3</v>
      </c>
      <c r="N219" s="3">
        <v>13175</v>
      </c>
      <c r="O219" s="6">
        <f>Table2[[#This Row],[% of Collaborative Streams]]/100</f>
        <v>0.99656591329999999</v>
      </c>
      <c r="P219" s="4">
        <f>Table3[[#This Row],[Lead Streams (in millions)]]+Table3[[#This Row],[Feature Streams (in millions)]]</f>
        <v>13223.7</v>
      </c>
      <c r="Q219" s="4">
        <f>_xlfn.RANK.EQ(Table3[[#This Row],[Total Stream]],Table3[Total Stream],0)</f>
        <v>218</v>
      </c>
      <c r="R219" s="4">
        <f>Table3[[#This Row],[Total Streams (in millions)]]-Table3[[#This Row],[Total Stream]]</f>
        <v>-3.3000000000010914</v>
      </c>
      <c r="S219" s="8">
        <f>IFERROR(Table3[[#This Row],[Collaborative Streams (in millions)]]/Table3[[#This Row],[Total Stream]],0)</f>
        <v>0.99631721832769948</v>
      </c>
      <c r="T219" t="str">
        <f>IF(Table3[[#This Row],[Total Streams (in millions)]]&gt;=50000,"High Performer",IF(Table3[[#This Row],[Total Streams (in millions)]]&gt;=20000,"Medium Performer","Low Performer"))</f>
        <v>Low Performer</v>
      </c>
    </row>
    <row r="220" spans="1:20" x14ac:dyDescent="0.3">
      <c r="A220" s="9" t="s">
        <v>287</v>
      </c>
      <c r="B220" s="9" t="s">
        <v>14</v>
      </c>
      <c r="C220" s="9" t="s">
        <v>21</v>
      </c>
      <c r="D220" s="9" t="s">
        <v>16</v>
      </c>
      <c r="E220" s="9" t="s">
        <v>22</v>
      </c>
      <c r="F220" s="9" t="s">
        <v>18</v>
      </c>
      <c r="G220" s="10">
        <v>1999</v>
      </c>
      <c r="H220" s="10" t="str">
        <f>IF(Table3[[#This Row],[Debut Year]]&lt;=2000,"1999–2000",
IF(Table3[[#This Row],[Debut Year]]&lt;=2005,"2001–2005",
IF(Table3[[#This Row],[Debut Year]]&lt;=2010,"2006–2010",
IF(Table3[[#This Row],[Debut Year]]&lt;=2015,"2011–2015",
IF(Table3[[#This Row],[Debut Year]]&lt;=2020,"2016–2020",
"2021–2025")))))</f>
        <v>1999–2000</v>
      </c>
      <c r="I220" s="10">
        <v>13208.3</v>
      </c>
      <c r="J220" s="10">
        <v>12134.4</v>
      </c>
      <c r="K220" s="10">
        <v>1076.8</v>
      </c>
      <c r="L220" s="4">
        <v>11821.4</v>
      </c>
      <c r="M220" s="6">
        <f>Table2[[#This Row],[% of Solo Streams]]/100</f>
        <v>0.89499784230000001</v>
      </c>
      <c r="N220" s="3">
        <v>1386.9</v>
      </c>
      <c r="O220" s="6">
        <f>Table2[[#This Row],[% of Collaborative Streams]]/100</f>
        <v>0.1050021577</v>
      </c>
      <c r="P220" s="4">
        <f>Table3[[#This Row],[Lead Streams (in millions)]]+Table3[[#This Row],[Feature Streams (in millions)]]</f>
        <v>13211.199999999999</v>
      </c>
      <c r="Q220" s="4">
        <f>_xlfn.RANK.EQ(Table3[[#This Row],[Total Stream]],Table3[Total Stream],0)</f>
        <v>219</v>
      </c>
      <c r="R220" s="4">
        <f>Table3[[#This Row],[Total Streams (in millions)]]-Table3[[#This Row],[Total Stream]]</f>
        <v>-2.8999999999996362</v>
      </c>
      <c r="S220" s="8">
        <f>IFERROR(Table3[[#This Row],[Collaborative Streams (in millions)]]/Table3[[#This Row],[Total Stream]],0)</f>
        <v>0.1049791086350975</v>
      </c>
      <c r="T220" t="str">
        <f>IF(Table3[[#This Row],[Total Streams (in millions)]]&gt;=50000,"High Performer",IF(Table3[[#This Row],[Total Streams (in millions)]]&gt;=20000,"Medium Performer","Low Performer"))</f>
        <v>Low Performer</v>
      </c>
    </row>
    <row r="221" spans="1:20" x14ac:dyDescent="0.3">
      <c r="A221" s="11" t="s">
        <v>288</v>
      </c>
      <c r="B221" s="11" t="s">
        <v>14</v>
      </c>
      <c r="C221" s="11" t="s">
        <v>21</v>
      </c>
      <c r="D221" s="11" t="s">
        <v>16</v>
      </c>
      <c r="E221" s="11" t="s">
        <v>27</v>
      </c>
      <c r="F221" s="11" t="s">
        <v>18</v>
      </c>
      <c r="G221" s="12">
        <v>2010</v>
      </c>
      <c r="H221" s="12" t="str">
        <f>IF(Table3[[#This Row],[Debut Year]]&lt;=2000,"1999–2000",
IF(Table3[[#This Row],[Debut Year]]&lt;=2005,"2001–2005",
IF(Table3[[#This Row],[Debut Year]]&lt;=2010,"2006–2010",
IF(Table3[[#This Row],[Debut Year]]&lt;=2015,"2011–2015",
IF(Table3[[#This Row],[Debut Year]]&lt;=2020,"2016–2020",
"2021–2025")))))</f>
        <v>2006–2010</v>
      </c>
      <c r="I221" s="12">
        <v>13065.7</v>
      </c>
      <c r="J221" s="12">
        <v>7612.4</v>
      </c>
      <c r="K221" s="12">
        <v>5460.1</v>
      </c>
      <c r="L221" s="4">
        <v>5541.7</v>
      </c>
      <c r="M221" s="6">
        <f>Table2[[#This Row],[% of Solo Streams]]/100</f>
        <v>0.42414107170000004</v>
      </c>
      <c r="N221" s="3">
        <v>7524</v>
      </c>
      <c r="O221" s="6">
        <f>Table2[[#This Row],[% of Collaborative Streams]]/100</f>
        <v>0.57585892829999996</v>
      </c>
      <c r="P221" s="4">
        <f>Table3[[#This Row],[Lead Streams (in millions)]]+Table3[[#This Row],[Feature Streams (in millions)]]</f>
        <v>13072.5</v>
      </c>
      <c r="Q221" s="4">
        <f>_xlfn.RANK.EQ(Table3[[#This Row],[Total Stream]],Table3[Total Stream],0)</f>
        <v>220</v>
      </c>
      <c r="R221" s="4">
        <f>Table3[[#This Row],[Total Streams (in millions)]]-Table3[[#This Row],[Total Stream]]</f>
        <v>-6.7999999999992724</v>
      </c>
      <c r="S221" s="8">
        <f>IFERROR(Table3[[#This Row],[Collaborative Streams (in millions)]]/Table3[[#This Row],[Total Stream]],0)</f>
        <v>0.5755593803786575</v>
      </c>
      <c r="T221" t="str">
        <f>IF(Table3[[#This Row],[Total Streams (in millions)]]&gt;=50000,"High Performer",IF(Table3[[#This Row],[Total Streams (in millions)]]&gt;=20000,"Medium Performer","Low Performer"))</f>
        <v>Low Performer</v>
      </c>
    </row>
    <row r="222" spans="1:20" x14ac:dyDescent="0.3">
      <c r="A222" s="9" t="s">
        <v>289</v>
      </c>
      <c r="B222" s="9" t="s">
        <v>14</v>
      </c>
      <c r="C222" s="9" t="s">
        <v>21</v>
      </c>
      <c r="D222" s="9" t="s">
        <v>16</v>
      </c>
      <c r="E222" s="9" t="s">
        <v>17</v>
      </c>
      <c r="F222" s="9" t="s">
        <v>18</v>
      </c>
      <c r="G222" s="10">
        <v>2018</v>
      </c>
      <c r="H222" s="10" t="str">
        <f>IF(Table3[[#This Row],[Debut Year]]&lt;=2000,"1999–2000",
IF(Table3[[#This Row],[Debut Year]]&lt;=2005,"2001–2005",
IF(Table3[[#This Row],[Debut Year]]&lt;=2010,"2006–2010",
IF(Table3[[#This Row],[Debut Year]]&lt;=2015,"2011–2015",
IF(Table3[[#This Row],[Debut Year]]&lt;=2020,"2016–2020",
"2021–2025")))))</f>
        <v>2016–2020</v>
      </c>
      <c r="I222" s="10">
        <v>13039.8</v>
      </c>
      <c r="J222" s="10">
        <v>12982.3</v>
      </c>
      <c r="K222" s="10">
        <v>59.7</v>
      </c>
      <c r="L222" s="4">
        <v>7413.1</v>
      </c>
      <c r="M222" s="6">
        <f>Table2[[#This Row],[% of Solo Streams]]/100</f>
        <v>0.56849798309999999</v>
      </c>
      <c r="N222" s="3">
        <v>5626.7</v>
      </c>
      <c r="O222" s="6">
        <f>Table2[[#This Row],[% of Collaborative Streams]]/100</f>
        <v>0.43150201690000001</v>
      </c>
      <c r="P222" s="4">
        <f>Table3[[#This Row],[Lead Streams (in millions)]]+Table3[[#This Row],[Feature Streams (in millions)]]</f>
        <v>13042</v>
      </c>
      <c r="Q222" s="4">
        <f>_xlfn.RANK.EQ(Table3[[#This Row],[Total Stream]],Table3[Total Stream],0)</f>
        <v>221</v>
      </c>
      <c r="R222" s="4">
        <f>Table3[[#This Row],[Total Streams (in millions)]]-Table3[[#This Row],[Total Stream]]</f>
        <v>-2.2000000000007276</v>
      </c>
      <c r="S222" s="8">
        <f>IFERROR(Table3[[#This Row],[Collaborative Streams (in millions)]]/Table3[[#This Row],[Total Stream]],0)</f>
        <v>0.43142922864591321</v>
      </c>
      <c r="T222" t="str">
        <f>IF(Table3[[#This Row],[Total Streams (in millions)]]&gt;=50000,"High Performer",IF(Table3[[#This Row],[Total Streams (in millions)]]&gt;=20000,"Medium Performer","Low Performer"))</f>
        <v>Low Performer</v>
      </c>
    </row>
    <row r="223" spans="1:20" x14ac:dyDescent="0.3">
      <c r="A223" s="11" t="s">
        <v>290</v>
      </c>
      <c r="B223" s="11" t="s">
        <v>14</v>
      </c>
      <c r="C223" s="11" t="s">
        <v>21</v>
      </c>
      <c r="D223" s="11" t="s">
        <v>16</v>
      </c>
      <c r="E223" s="11" t="s">
        <v>291</v>
      </c>
      <c r="F223" s="11" t="s">
        <v>48</v>
      </c>
      <c r="G223" s="12">
        <v>1998</v>
      </c>
      <c r="H223" s="12" t="str">
        <f>IF(Table3[[#This Row],[Debut Year]]&lt;=2000,"1999–2000",
IF(Table3[[#This Row],[Debut Year]]&lt;=2005,"2001–2005",
IF(Table3[[#This Row],[Debut Year]]&lt;=2010,"2006–2010",
IF(Table3[[#This Row],[Debut Year]]&lt;=2015,"2011–2015",
IF(Table3[[#This Row],[Debut Year]]&lt;=2020,"2016–2020",
"2021–2025")))))</f>
        <v>1999–2000</v>
      </c>
      <c r="I223" s="12">
        <v>13009.4</v>
      </c>
      <c r="J223" s="12">
        <v>13017.1</v>
      </c>
      <c r="K223" s="12">
        <v>0</v>
      </c>
      <c r="L223" s="4">
        <v>12963.5</v>
      </c>
      <c r="M223" s="6">
        <f>Table2[[#This Row],[% of Solo Streams]]/100</f>
        <v>0.99647178190000008</v>
      </c>
      <c r="N223" s="3">
        <v>45.9</v>
      </c>
      <c r="O223" s="6">
        <f>Table2[[#This Row],[% of Collaborative Streams]]/100</f>
        <v>3.5282180579999998E-3</v>
      </c>
      <c r="P223" s="4">
        <f>Table3[[#This Row],[Lead Streams (in millions)]]+Table3[[#This Row],[Feature Streams (in millions)]]</f>
        <v>13017.1</v>
      </c>
      <c r="Q223" s="4">
        <f>_xlfn.RANK.EQ(Table3[[#This Row],[Total Stream]],Table3[Total Stream],0)</f>
        <v>222</v>
      </c>
      <c r="R223" s="4">
        <f>Table3[[#This Row],[Total Streams (in millions)]]-Table3[[#This Row],[Total Stream]]</f>
        <v>-7.7000000000007276</v>
      </c>
      <c r="S223" s="8">
        <f>IFERROR(Table3[[#This Row],[Collaborative Streams (in millions)]]/Table3[[#This Row],[Total Stream]],0)</f>
        <v>3.526131012283842E-3</v>
      </c>
      <c r="T223" t="str">
        <f>IF(Table3[[#This Row],[Total Streams (in millions)]]&gt;=50000,"High Performer",IF(Table3[[#This Row],[Total Streams (in millions)]]&gt;=20000,"Medium Performer","Low Performer"))</f>
        <v>Low Performer</v>
      </c>
    </row>
    <row r="224" spans="1:20" x14ac:dyDescent="0.3">
      <c r="A224" s="9" t="s">
        <v>292</v>
      </c>
      <c r="B224" s="9" t="s">
        <v>14</v>
      </c>
      <c r="C224" s="9" t="s">
        <v>21</v>
      </c>
      <c r="D224" s="9" t="s">
        <v>16</v>
      </c>
      <c r="E224" s="9" t="s">
        <v>17</v>
      </c>
      <c r="F224" s="9" t="s">
        <v>18</v>
      </c>
      <c r="G224" s="10">
        <v>2009</v>
      </c>
      <c r="H224" s="10" t="str">
        <f>IF(Table3[[#This Row],[Debut Year]]&lt;=2000,"1999–2000",
IF(Table3[[#This Row],[Debut Year]]&lt;=2005,"2001–2005",
IF(Table3[[#This Row],[Debut Year]]&lt;=2010,"2006–2010",
IF(Table3[[#This Row],[Debut Year]]&lt;=2015,"2011–2015",
IF(Table3[[#This Row],[Debut Year]]&lt;=2020,"2016–2020",
"2021–2025")))))</f>
        <v>2006–2010</v>
      </c>
      <c r="I224" s="10">
        <v>12994.4</v>
      </c>
      <c r="J224" s="10">
        <v>12999.7</v>
      </c>
      <c r="K224" s="10">
        <v>0</v>
      </c>
      <c r="L224" s="4">
        <v>5593.4</v>
      </c>
      <c r="M224" s="6">
        <f>Table2[[#This Row],[% of Solo Streams]]/100</f>
        <v>0.43044696180000003</v>
      </c>
      <c r="N224" s="3">
        <v>7401</v>
      </c>
      <c r="O224" s="6">
        <f>Table2[[#This Row],[% of Collaborative Streams]]/100</f>
        <v>0.56955303820000003</v>
      </c>
      <c r="P224" s="4">
        <f>Table3[[#This Row],[Lead Streams (in millions)]]+Table3[[#This Row],[Feature Streams (in millions)]]</f>
        <v>12999.7</v>
      </c>
      <c r="Q224" s="4">
        <f>_xlfn.RANK.EQ(Table3[[#This Row],[Total Stream]],Table3[Total Stream],0)</f>
        <v>223</v>
      </c>
      <c r="R224" s="4">
        <f>Table3[[#This Row],[Total Streams (in millions)]]-Table3[[#This Row],[Total Stream]]</f>
        <v>-5.3000000000010914</v>
      </c>
      <c r="S224" s="8">
        <f>IFERROR(Table3[[#This Row],[Collaborative Streams (in millions)]]/Table3[[#This Row],[Total Stream]],0)</f>
        <v>0.56932083048070337</v>
      </c>
      <c r="T224" t="str">
        <f>IF(Table3[[#This Row],[Total Streams (in millions)]]&gt;=50000,"High Performer",IF(Table3[[#This Row],[Total Streams (in millions)]]&gt;=20000,"Medium Performer","Low Performer"))</f>
        <v>Low Performer</v>
      </c>
    </row>
    <row r="225" spans="1:20" x14ac:dyDescent="0.3">
      <c r="A225" s="11" t="s">
        <v>293</v>
      </c>
      <c r="B225" s="11" t="s">
        <v>78</v>
      </c>
      <c r="C225" s="11" t="s">
        <v>147</v>
      </c>
      <c r="D225" s="11" t="s">
        <v>16</v>
      </c>
      <c r="E225" s="11" t="s">
        <v>22</v>
      </c>
      <c r="F225" s="11" t="s">
        <v>48</v>
      </c>
      <c r="G225" s="12">
        <v>1972</v>
      </c>
      <c r="H225" s="12" t="str">
        <f>IF(Table3[[#This Row],[Debut Year]]&lt;=2000,"1999–2000",
IF(Table3[[#This Row],[Debut Year]]&lt;=2005,"2001–2005",
IF(Table3[[#This Row],[Debut Year]]&lt;=2010,"2006–2010",
IF(Table3[[#This Row],[Debut Year]]&lt;=2015,"2011–2015",
IF(Table3[[#This Row],[Debut Year]]&lt;=2020,"2016–2020",
"2021–2025")))))</f>
        <v>1999–2000</v>
      </c>
      <c r="I225" s="12">
        <v>12992.2</v>
      </c>
      <c r="J225" s="12">
        <v>10479.5</v>
      </c>
      <c r="K225" s="12">
        <v>2516.3000000000002</v>
      </c>
      <c r="L225" s="4">
        <v>12992.2</v>
      </c>
      <c r="M225" s="6">
        <f>Table2[[#This Row],[% of Solo Streams]]/100</f>
        <v>1</v>
      </c>
      <c r="N225" s="3">
        <v>0</v>
      </c>
      <c r="O225" s="6">
        <f>Table2[[#This Row],[% of Collaborative Streams]]/100</f>
        <v>0</v>
      </c>
      <c r="P225" s="4">
        <f>Table3[[#This Row],[Lead Streams (in millions)]]+Table3[[#This Row],[Feature Streams (in millions)]]</f>
        <v>12995.8</v>
      </c>
      <c r="Q225" s="4">
        <f>_xlfn.RANK.EQ(Table3[[#This Row],[Total Stream]],Table3[Total Stream],0)</f>
        <v>224</v>
      </c>
      <c r="R225" s="4">
        <f>Table3[[#This Row],[Total Streams (in millions)]]-Table3[[#This Row],[Total Stream]]</f>
        <v>-3.5999999999985448</v>
      </c>
      <c r="S225" s="8">
        <f>IFERROR(Table3[[#This Row],[Collaborative Streams (in millions)]]/Table3[[#This Row],[Total Stream]],0)</f>
        <v>0</v>
      </c>
      <c r="T225" t="str">
        <f>IF(Table3[[#This Row],[Total Streams (in millions)]]&gt;=50000,"High Performer",IF(Table3[[#This Row],[Total Streams (in millions)]]&gt;=20000,"Medium Performer","Low Performer"))</f>
        <v>Low Performer</v>
      </c>
    </row>
    <row r="226" spans="1:20" x14ac:dyDescent="0.3">
      <c r="A226" s="9" t="s">
        <v>294</v>
      </c>
      <c r="B226" s="9" t="s">
        <v>20</v>
      </c>
      <c r="C226" s="9" t="s">
        <v>21</v>
      </c>
      <c r="D226" s="9" t="s">
        <v>24</v>
      </c>
      <c r="E226" s="9" t="s">
        <v>82</v>
      </c>
      <c r="F226" s="9" t="s">
        <v>18</v>
      </c>
      <c r="G226" s="10">
        <v>2013</v>
      </c>
      <c r="H226" s="10" t="str">
        <f>IF(Table3[[#This Row],[Debut Year]]&lt;=2000,"1999–2000",
IF(Table3[[#This Row],[Debut Year]]&lt;=2005,"2001–2005",
IF(Table3[[#This Row],[Debut Year]]&lt;=2010,"2006–2010",
IF(Table3[[#This Row],[Debut Year]]&lt;=2015,"2011–2015",
IF(Table3[[#This Row],[Debut Year]]&lt;=2020,"2016–2020",
"2021–2025")))))</f>
        <v>2011–2015</v>
      </c>
      <c r="I226" s="10">
        <v>12985.2</v>
      </c>
      <c r="J226" s="10">
        <v>8772.2000000000007</v>
      </c>
      <c r="K226" s="10">
        <v>4216.8</v>
      </c>
      <c r="L226" s="4">
        <v>2160.8000000000002</v>
      </c>
      <c r="M226" s="6">
        <f>Table2[[#This Row],[% of Solo Streams]]/100</f>
        <v>0.16640483010000001</v>
      </c>
      <c r="N226" s="3">
        <v>10824.4</v>
      </c>
      <c r="O226" s="6">
        <f>Table2[[#This Row],[% of Collaborative Streams]]/100</f>
        <v>0.83359516990000004</v>
      </c>
      <c r="P226" s="4">
        <f>Table3[[#This Row],[Lead Streams (in millions)]]+Table3[[#This Row],[Feature Streams (in millions)]]</f>
        <v>12989</v>
      </c>
      <c r="Q226" s="4">
        <f>_xlfn.RANK.EQ(Table3[[#This Row],[Total Stream]],Table3[Total Stream],0)</f>
        <v>225</v>
      </c>
      <c r="R226" s="4">
        <f>Table3[[#This Row],[Total Streams (in millions)]]-Table3[[#This Row],[Total Stream]]</f>
        <v>-3.7999999999992724</v>
      </c>
      <c r="S226" s="8">
        <f>IFERROR(Table3[[#This Row],[Collaborative Streams (in millions)]]/Table3[[#This Row],[Total Stream]],0)</f>
        <v>0.83335129725152046</v>
      </c>
      <c r="T226" t="str">
        <f>IF(Table3[[#This Row],[Total Streams (in millions)]]&gt;=50000,"High Performer",IF(Table3[[#This Row],[Total Streams (in millions)]]&gt;=20000,"Medium Performer","Low Performer"))</f>
        <v>Low Performer</v>
      </c>
    </row>
    <row r="227" spans="1:20" x14ac:dyDescent="0.3">
      <c r="A227" s="11" t="s">
        <v>295</v>
      </c>
      <c r="B227" s="11" t="s">
        <v>14</v>
      </c>
      <c r="C227" s="11" t="s">
        <v>21</v>
      </c>
      <c r="D227" s="11" t="s">
        <v>24</v>
      </c>
      <c r="E227" s="11" t="s">
        <v>25</v>
      </c>
      <c r="F227" s="11" t="s">
        <v>18</v>
      </c>
      <c r="G227" s="12">
        <v>2003</v>
      </c>
      <c r="H227" s="12" t="str">
        <f>IF(Table3[[#This Row],[Debut Year]]&lt;=2000,"1999–2000",
IF(Table3[[#This Row],[Debut Year]]&lt;=2005,"2001–2005",
IF(Table3[[#This Row],[Debut Year]]&lt;=2010,"2006–2010",
IF(Table3[[#This Row],[Debut Year]]&lt;=2015,"2011–2015",
IF(Table3[[#This Row],[Debut Year]]&lt;=2020,"2016–2020",
"2021–2025")))))</f>
        <v>2001–2005</v>
      </c>
      <c r="I227" s="12">
        <v>12929.7</v>
      </c>
      <c r="J227" s="12">
        <v>5938.5</v>
      </c>
      <c r="K227" s="12">
        <v>6997.8</v>
      </c>
      <c r="L227" s="4">
        <v>1490.1</v>
      </c>
      <c r="M227" s="6">
        <f>Table2[[#This Row],[% of Solo Streams]]/100</f>
        <v>0.1152462934</v>
      </c>
      <c r="N227" s="3">
        <v>11439.6</v>
      </c>
      <c r="O227" s="6">
        <f>Table2[[#This Row],[% of Collaborative Streams]]/100</f>
        <v>0.88475370659999997</v>
      </c>
      <c r="P227" s="4">
        <f>Table3[[#This Row],[Lead Streams (in millions)]]+Table3[[#This Row],[Feature Streams (in millions)]]</f>
        <v>12936.3</v>
      </c>
      <c r="Q227" s="4">
        <f>_xlfn.RANK.EQ(Table3[[#This Row],[Total Stream]],Table3[Total Stream],0)</f>
        <v>226</v>
      </c>
      <c r="R227" s="4">
        <f>Table3[[#This Row],[Total Streams (in millions)]]-Table3[[#This Row],[Total Stream]]</f>
        <v>-6.5999999999985448</v>
      </c>
      <c r="S227" s="8">
        <f>IFERROR(Table3[[#This Row],[Collaborative Streams (in millions)]]/Table3[[#This Row],[Total Stream]],0)</f>
        <v>0.88430231209851351</v>
      </c>
      <c r="T227" t="str">
        <f>IF(Table3[[#This Row],[Total Streams (in millions)]]&gt;=50000,"High Performer",IF(Table3[[#This Row],[Total Streams (in millions)]]&gt;=20000,"Medium Performer","Low Performer"))</f>
        <v>Low Performer</v>
      </c>
    </row>
    <row r="228" spans="1:20" x14ac:dyDescent="0.3">
      <c r="A228" s="9" t="s">
        <v>296</v>
      </c>
      <c r="B228" s="9" t="s">
        <v>14</v>
      </c>
      <c r="C228" s="9" t="s">
        <v>242</v>
      </c>
      <c r="D228" s="9" t="s">
        <v>24</v>
      </c>
      <c r="E228" s="9" t="s">
        <v>82</v>
      </c>
      <c r="F228" s="9" t="s">
        <v>18</v>
      </c>
      <c r="G228" s="10">
        <v>1995</v>
      </c>
      <c r="H228" s="10" t="str">
        <f>IF(Table3[[#This Row],[Debut Year]]&lt;=2000,"1999–2000",
IF(Table3[[#This Row],[Debut Year]]&lt;=2005,"2001–2005",
IF(Table3[[#This Row],[Debut Year]]&lt;=2010,"2006–2010",
IF(Table3[[#This Row],[Debut Year]]&lt;=2015,"2011–2015",
IF(Table3[[#This Row],[Debut Year]]&lt;=2020,"2016–2020",
"2021–2025")))))</f>
        <v>1999–2000</v>
      </c>
      <c r="I228" s="10">
        <v>12857.9</v>
      </c>
      <c r="J228" s="10">
        <v>11010.3</v>
      </c>
      <c r="K228" s="10">
        <v>1853</v>
      </c>
      <c r="L228" s="4">
        <v>3301</v>
      </c>
      <c r="M228" s="6">
        <f>Table2[[#This Row],[% of Solo Streams]]/100</f>
        <v>0.25672932589999997</v>
      </c>
      <c r="N228" s="3">
        <v>9556.9</v>
      </c>
      <c r="O228" s="6">
        <f>Table2[[#This Row],[% of Collaborative Streams]]/100</f>
        <v>0.74327067410000003</v>
      </c>
      <c r="P228" s="4">
        <f>Table3[[#This Row],[Lead Streams (in millions)]]+Table3[[#This Row],[Feature Streams (in millions)]]</f>
        <v>12863.3</v>
      </c>
      <c r="Q228" s="4">
        <f>_xlfn.RANK.EQ(Table3[[#This Row],[Total Stream]],Table3[Total Stream],0)</f>
        <v>227</v>
      </c>
      <c r="R228" s="4">
        <f>Table3[[#This Row],[Total Streams (in millions)]]-Table3[[#This Row],[Total Stream]]</f>
        <v>-5.3999999999996362</v>
      </c>
      <c r="S228" s="8">
        <f>IFERROR(Table3[[#This Row],[Collaborative Streams (in millions)]]/Table3[[#This Row],[Total Stream]],0)</f>
        <v>0.74295864980215032</v>
      </c>
      <c r="T228" t="str">
        <f>IF(Table3[[#This Row],[Total Streams (in millions)]]&gt;=50000,"High Performer",IF(Table3[[#This Row],[Total Streams (in millions)]]&gt;=20000,"Medium Performer","Low Performer"))</f>
        <v>Low Performer</v>
      </c>
    </row>
    <row r="229" spans="1:20" x14ac:dyDescent="0.3">
      <c r="A229" s="11" t="s">
        <v>297</v>
      </c>
      <c r="B229" s="11" t="s">
        <v>14</v>
      </c>
      <c r="C229" s="11" t="s">
        <v>21</v>
      </c>
      <c r="D229" s="11" t="s">
        <v>16</v>
      </c>
      <c r="E229" s="11" t="s">
        <v>17</v>
      </c>
      <c r="F229" s="11" t="s">
        <v>18</v>
      </c>
      <c r="G229" s="12">
        <v>2015</v>
      </c>
      <c r="H229" s="12" t="str">
        <f>IF(Table3[[#This Row],[Debut Year]]&lt;=2000,"1999–2000",
IF(Table3[[#This Row],[Debut Year]]&lt;=2005,"2001–2005",
IF(Table3[[#This Row],[Debut Year]]&lt;=2010,"2006–2010",
IF(Table3[[#This Row],[Debut Year]]&lt;=2015,"2011–2015",
IF(Table3[[#This Row],[Debut Year]]&lt;=2020,"2016–2020",
"2021–2025")))))</f>
        <v>2011–2015</v>
      </c>
      <c r="I229" s="12">
        <v>12823.8</v>
      </c>
      <c r="J229" s="12">
        <v>5535</v>
      </c>
      <c r="K229" s="12">
        <v>7288.8</v>
      </c>
      <c r="L229" s="4">
        <v>2109.1999999999998</v>
      </c>
      <c r="M229" s="6">
        <f>Table2[[#This Row],[% of Solo Streams]]/100</f>
        <v>0.16447542850000002</v>
      </c>
      <c r="N229" s="3">
        <v>10714.6</v>
      </c>
      <c r="O229" s="6">
        <f>Table2[[#This Row],[% of Collaborative Streams]]/100</f>
        <v>0.83552457149999992</v>
      </c>
      <c r="P229" s="4">
        <f>Table3[[#This Row],[Lead Streams (in millions)]]+Table3[[#This Row],[Feature Streams (in millions)]]</f>
        <v>12823.8</v>
      </c>
      <c r="Q229" s="4">
        <f>_xlfn.RANK.EQ(Table3[[#This Row],[Total Stream]],Table3[Total Stream],0)</f>
        <v>228</v>
      </c>
      <c r="R229" s="4">
        <f>Table3[[#This Row],[Total Streams (in millions)]]-Table3[[#This Row],[Total Stream]]</f>
        <v>0</v>
      </c>
      <c r="S229" s="8">
        <f>IFERROR(Table3[[#This Row],[Collaborative Streams (in millions)]]/Table3[[#This Row],[Total Stream]],0)</f>
        <v>0.83552457149986747</v>
      </c>
      <c r="T229" t="str">
        <f>IF(Table3[[#This Row],[Total Streams (in millions)]]&gt;=50000,"High Performer",IF(Table3[[#This Row],[Total Streams (in millions)]]&gt;=20000,"Medium Performer","Low Performer"))</f>
        <v>Low Performer</v>
      </c>
    </row>
    <row r="230" spans="1:20" x14ac:dyDescent="0.3">
      <c r="A230" s="9" t="s">
        <v>298</v>
      </c>
      <c r="B230" s="9" t="s">
        <v>14</v>
      </c>
      <c r="C230" s="9" t="s">
        <v>89</v>
      </c>
      <c r="D230" s="9" t="s">
        <v>24</v>
      </c>
      <c r="E230" s="9" t="s">
        <v>90</v>
      </c>
      <c r="F230" s="9" t="s">
        <v>18</v>
      </c>
      <c r="G230" s="10">
        <v>2018</v>
      </c>
      <c r="H230" s="10" t="str">
        <f>IF(Table3[[#This Row],[Debut Year]]&lt;=2000,"1999–2000",
IF(Table3[[#This Row],[Debut Year]]&lt;=2005,"2001–2005",
IF(Table3[[#This Row],[Debut Year]]&lt;=2010,"2006–2010",
IF(Table3[[#This Row],[Debut Year]]&lt;=2015,"2011–2015",
IF(Table3[[#This Row],[Debut Year]]&lt;=2020,"2016–2020",
"2021–2025")))))</f>
        <v>2016–2020</v>
      </c>
      <c r="I230" s="10">
        <v>12810.9</v>
      </c>
      <c r="J230" s="10">
        <v>6582.9</v>
      </c>
      <c r="K230" s="10">
        <v>6236.2</v>
      </c>
      <c r="L230" s="4">
        <v>1707.5</v>
      </c>
      <c r="M230" s="6">
        <f>Table2[[#This Row],[% of Solo Streams]]/100</f>
        <v>0.13328493699999999</v>
      </c>
      <c r="N230" s="3">
        <v>11103.4</v>
      </c>
      <c r="O230" s="6">
        <f>Table2[[#This Row],[% of Collaborative Streams]]/100</f>
        <v>0.86671506300000001</v>
      </c>
      <c r="P230" s="4">
        <f>Table3[[#This Row],[Lead Streams (in millions)]]+Table3[[#This Row],[Feature Streams (in millions)]]</f>
        <v>12819.099999999999</v>
      </c>
      <c r="Q230" s="4">
        <f>_xlfn.RANK.EQ(Table3[[#This Row],[Total Stream]],Table3[Total Stream],0)</f>
        <v>229</v>
      </c>
      <c r="R230" s="4">
        <f>Table3[[#This Row],[Total Streams (in millions)]]-Table3[[#This Row],[Total Stream]]</f>
        <v>-8.1999999999989086</v>
      </c>
      <c r="S230" s="8">
        <f>IFERROR(Table3[[#This Row],[Collaborative Streams (in millions)]]/Table3[[#This Row],[Total Stream]],0)</f>
        <v>0.86616065090372962</v>
      </c>
      <c r="T230" t="str">
        <f>IF(Table3[[#This Row],[Total Streams (in millions)]]&gt;=50000,"High Performer",IF(Table3[[#This Row],[Total Streams (in millions)]]&gt;=20000,"Medium Performer","Low Performer"))</f>
        <v>Low Performer</v>
      </c>
    </row>
    <row r="231" spans="1:20" x14ac:dyDescent="0.3">
      <c r="A231" s="11" t="s">
        <v>299</v>
      </c>
      <c r="B231" s="11" t="s">
        <v>14</v>
      </c>
      <c r="C231" s="11" t="s">
        <v>21</v>
      </c>
      <c r="D231" s="11" t="s">
        <v>24</v>
      </c>
      <c r="E231" s="11" t="s">
        <v>25</v>
      </c>
      <c r="F231" s="11" t="s">
        <v>48</v>
      </c>
      <c r="G231" s="12">
        <v>2000</v>
      </c>
      <c r="H231" s="12" t="str">
        <f>IF(Table3[[#This Row],[Debut Year]]&lt;=2000,"1999–2000",
IF(Table3[[#This Row],[Debut Year]]&lt;=2005,"2001–2005",
IF(Table3[[#This Row],[Debut Year]]&lt;=2010,"2006–2010",
IF(Table3[[#This Row],[Debut Year]]&lt;=2015,"2011–2015",
IF(Table3[[#This Row],[Debut Year]]&lt;=2020,"2016–2020",
"2021–2025")))))</f>
        <v>1999–2000</v>
      </c>
      <c r="I231" s="12">
        <v>12799.8</v>
      </c>
      <c r="J231" s="12">
        <v>5018.3999999999996</v>
      </c>
      <c r="K231" s="12">
        <v>7786.4</v>
      </c>
      <c r="L231" s="4">
        <v>1713.9</v>
      </c>
      <c r="M231" s="6">
        <f>Table2[[#This Row],[% of Solo Streams]]/100</f>
        <v>0.13390052969999999</v>
      </c>
      <c r="N231" s="3">
        <v>11085.9</v>
      </c>
      <c r="O231" s="6">
        <f>Table2[[#This Row],[% of Collaborative Streams]]/100</f>
        <v>0.86609947030000001</v>
      </c>
      <c r="P231" s="4">
        <f>Table3[[#This Row],[Lead Streams (in millions)]]+Table3[[#This Row],[Feature Streams (in millions)]]</f>
        <v>12804.8</v>
      </c>
      <c r="Q231" s="4">
        <f>_xlfn.RANK.EQ(Table3[[#This Row],[Total Stream]],Table3[Total Stream],0)</f>
        <v>230</v>
      </c>
      <c r="R231" s="4">
        <f>Table3[[#This Row],[Total Streams (in millions)]]-Table3[[#This Row],[Total Stream]]</f>
        <v>-5</v>
      </c>
      <c r="S231" s="8">
        <f>IFERROR(Table3[[#This Row],[Collaborative Streams (in millions)]]/Table3[[#This Row],[Total Stream]],0)</f>
        <v>0.86576127702111705</v>
      </c>
      <c r="T231" t="str">
        <f>IF(Table3[[#This Row],[Total Streams (in millions)]]&gt;=50000,"High Performer",IF(Table3[[#This Row],[Total Streams (in millions)]]&gt;=20000,"Medium Performer","Low Performer"))</f>
        <v>Low Performer</v>
      </c>
    </row>
    <row r="232" spans="1:20" x14ac:dyDescent="0.3">
      <c r="A232" s="9" t="s">
        <v>300</v>
      </c>
      <c r="B232" s="9" t="s">
        <v>14</v>
      </c>
      <c r="C232" s="9" t="s">
        <v>94</v>
      </c>
      <c r="D232" s="9" t="s">
        <v>16</v>
      </c>
      <c r="E232" s="9" t="s">
        <v>51</v>
      </c>
      <c r="F232" s="9" t="s">
        <v>48</v>
      </c>
      <c r="G232" s="10">
        <v>2011</v>
      </c>
      <c r="H232" s="10" t="str">
        <f>IF(Table3[[#This Row],[Debut Year]]&lt;=2000,"1999–2000",
IF(Table3[[#This Row],[Debut Year]]&lt;=2005,"2001–2005",
IF(Table3[[#This Row],[Debut Year]]&lt;=2010,"2006–2010",
IF(Table3[[#This Row],[Debut Year]]&lt;=2015,"2011–2015",
IF(Table3[[#This Row],[Debut Year]]&lt;=2020,"2016–2020",
"2021–2025")))))</f>
        <v>2011–2015</v>
      </c>
      <c r="I232" s="10">
        <v>12788.3</v>
      </c>
      <c r="J232" s="10">
        <v>12025.6</v>
      </c>
      <c r="K232" s="10">
        <v>766.3</v>
      </c>
      <c r="L232" s="4">
        <v>11526.4</v>
      </c>
      <c r="M232" s="6">
        <f>Table2[[#This Row],[% of Solo Streams]]/100</f>
        <v>0.90132386629999994</v>
      </c>
      <c r="N232" s="3">
        <v>1261.9000000000001</v>
      </c>
      <c r="O232" s="6">
        <f>Table2[[#This Row],[% of Collaborative Streams]]/100</f>
        <v>9.8676133649999997E-2</v>
      </c>
      <c r="P232" s="4">
        <f>Table3[[#This Row],[Lead Streams (in millions)]]+Table3[[#This Row],[Feature Streams (in millions)]]</f>
        <v>12791.9</v>
      </c>
      <c r="Q232" s="4">
        <f>_xlfn.RANK.EQ(Table3[[#This Row],[Total Stream]],Table3[Total Stream],0)</f>
        <v>231</v>
      </c>
      <c r="R232" s="4">
        <f>Table3[[#This Row],[Total Streams (in millions)]]-Table3[[#This Row],[Total Stream]]</f>
        <v>-3.6000000000003638</v>
      </c>
      <c r="S232" s="8">
        <f>IFERROR(Table3[[#This Row],[Collaborative Streams (in millions)]]/Table3[[#This Row],[Total Stream]],0)</f>
        <v>9.8648363417475127E-2</v>
      </c>
      <c r="T232" t="str">
        <f>IF(Table3[[#This Row],[Total Streams (in millions)]]&gt;=50000,"High Performer",IF(Table3[[#This Row],[Total Streams (in millions)]]&gt;=20000,"Medium Performer","Low Performer"))</f>
        <v>Low Performer</v>
      </c>
    </row>
    <row r="233" spans="1:20" x14ac:dyDescent="0.3">
      <c r="A233" s="11" t="s">
        <v>301</v>
      </c>
      <c r="B233" s="11" t="s">
        <v>14</v>
      </c>
      <c r="C233" s="11" t="s">
        <v>21</v>
      </c>
      <c r="D233" s="11" t="s">
        <v>16</v>
      </c>
      <c r="E233" s="11" t="s">
        <v>17</v>
      </c>
      <c r="F233" s="11" t="s">
        <v>18</v>
      </c>
      <c r="G233" s="12">
        <v>2015</v>
      </c>
      <c r="H233" s="12" t="str">
        <f>IF(Table3[[#This Row],[Debut Year]]&lt;=2000,"1999–2000",
IF(Table3[[#This Row],[Debut Year]]&lt;=2005,"2001–2005",
IF(Table3[[#This Row],[Debut Year]]&lt;=2010,"2006–2010",
IF(Table3[[#This Row],[Debut Year]]&lt;=2015,"2011–2015",
IF(Table3[[#This Row],[Debut Year]]&lt;=2020,"2016–2020",
"2021–2025")))))</f>
        <v>2011–2015</v>
      </c>
      <c r="I233" s="12">
        <v>12751</v>
      </c>
      <c r="J233" s="12">
        <v>8481.6</v>
      </c>
      <c r="K233" s="12">
        <v>4272.5</v>
      </c>
      <c r="L233" s="4">
        <v>5659.8</v>
      </c>
      <c r="M233" s="6">
        <f>Table2[[#This Row],[% of Solo Streams]]/100</f>
        <v>0.4438710689</v>
      </c>
      <c r="N233" s="3">
        <v>7091.2</v>
      </c>
      <c r="O233" s="6">
        <f>Table2[[#This Row],[% of Collaborative Streams]]/100</f>
        <v>0.55612893110000006</v>
      </c>
      <c r="P233" s="4">
        <f>Table3[[#This Row],[Lead Streams (in millions)]]+Table3[[#This Row],[Feature Streams (in millions)]]</f>
        <v>12754.1</v>
      </c>
      <c r="Q233" s="4">
        <f>_xlfn.RANK.EQ(Table3[[#This Row],[Total Stream]],Table3[Total Stream],0)</f>
        <v>232</v>
      </c>
      <c r="R233" s="4">
        <f>Table3[[#This Row],[Total Streams (in millions)]]-Table3[[#This Row],[Total Stream]]</f>
        <v>-3.1000000000003638</v>
      </c>
      <c r="S233" s="8">
        <f>IFERROR(Table3[[#This Row],[Collaborative Streams (in millions)]]/Table3[[#This Row],[Total Stream]],0)</f>
        <v>0.55599375886969682</v>
      </c>
      <c r="T233" t="str">
        <f>IF(Table3[[#This Row],[Total Streams (in millions)]]&gt;=50000,"High Performer",IF(Table3[[#This Row],[Total Streams (in millions)]]&gt;=20000,"Medium Performer","Low Performer"))</f>
        <v>Low Performer</v>
      </c>
    </row>
    <row r="234" spans="1:20" x14ac:dyDescent="0.3">
      <c r="A234" s="9" t="s">
        <v>302</v>
      </c>
      <c r="B234" s="9" t="s">
        <v>20</v>
      </c>
      <c r="C234" s="9" t="s">
        <v>45</v>
      </c>
      <c r="D234" s="9" t="s">
        <v>46</v>
      </c>
      <c r="E234" s="9" t="s">
        <v>47</v>
      </c>
      <c r="F234" s="9" t="s">
        <v>48</v>
      </c>
      <c r="G234" s="10">
        <v>2015</v>
      </c>
      <c r="H234" s="10" t="str">
        <f>IF(Table3[[#This Row],[Debut Year]]&lt;=2000,"1999–2000",
IF(Table3[[#This Row],[Debut Year]]&lt;=2005,"2001–2005",
IF(Table3[[#This Row],[Debut Year]]&lt;=2010,"2006–2010",
IF(Table3[[#This Row],[Debut Year]]&lt;=2015,"2011–2015",
IF(Table3[[#This Row],[Debut Year]]&lt;=2020,"2016–2020",
"2021–2025")))))</f>
        <v>2011–2015</v>
      </c>
      <c r="I234" s="10">
        <v>12716.2</v>
      </c>
      <c r="J234" s="10">
        <v>2648.7</v>
      </c>
      <c r="K234" s="10">
        <v>10073.4</v>
      </c>
      <c r="L234" s="4">
        <v>12242.6</v>
      </c>
      <c r="M234" s="6">
        <f>Table2[[#This Row],[% of Solo Streams]]/100</f>
        <v>0.96275616929999996</v>
      </c>
      <c r="N234" s="3">
        <v>473.6</v>
      </c>
      <c r="O234" s="6">
        <f>Table2[[#This Row],[% of Collaborative Streams]]/100</f>
        <v>3.7243830700000001E-2</v>
      </c>
      <c r="P234" s="4">
        <f>Table3[[#This Row],[Lead Streams (in millions)]]+Table3[[#This Row],[Feature Streams (in millions)]]</f>
        <v>12722.099999999999</v>
      </c>
      <c r="Q234" s="4">
        <f>_xlfn.RANK.EQ(Table3[[#This Row],[Total Stream]],Table3[Total Stream],0)</f>
        <v>233</v>
      </c>
      <c r="R234" s="4">
        <f>Table3[[#This Row],[Total Streams (in millions)]]-Table3[[#This Row],[Total Stream]]</f>
        <v>-5.8999999999978172</v>
      </c>
      <c r="S234" s="8">
        <f>IFERROR(Table3[[#This Row],[Collaborative Streams (in millions)]]/Table3[[#This Row],[Total Stream]],0)</f>
        <v>3.722655850842236E-2</v>
      </c>
      <c r="T234" t="str">
        <f>IF(Table3[[#This Row],[Total Streams (in millions)]]&gt;=50000,"High Performer",IF(Table3[[#This Row],[Total Streams (in millions)]]&gt;=20000,"Medium Performer","Low Performer"))</f>
        <v>Low Performer</v>
      </c>
    </row>
    <row r="235" spans="1:20" x14ac:dyDescent="0.3">
      <c r="A235" s="11" t="s">
        <v>303</v>
      </c>
      <c r="B235" s="11" t="s">
        <v>14</v>
      </c>
      <c r="C235" s="11" t="s">
        <v>21</v>
      </c>
      <c r="D235" s="11" t="s">
        <v>24</v>
      </c>
      <c r="E235" s="11" t="s">
        <v>25</v>
      </c>
      <c r="F235" s="11" t="s">
        <v>18</v>
      </c>
      <c r="G235" s="12">
        <v>2004</v>
      </c>
      <c r="H235" s="12" t="str">
        <f>IF(Table3[[#This Row],[Debut Year]]&lt;=2000,"1999–2000",
IF(Table3[[#This Row],[Debut Year]]&lt;=2005,"2001–2005",
IF(Table3[[#This Row],[Debut Year]]&lt;=2010,"2006–2010",
IF(Table3[[#This Row],[Debut Year]]&lt;=2015,"2011–2015",
IF(Table3[[#This Row],[Debut Year]]&lt;=2020,"2016–2020",
"2021–2025")))))</f>
        <v>2001–2005</v>
      </c>
      <c r="I235" s="12">
        <v>12713.2</v>
      </c>
      <c r="J235" s="12">
        <v>12596.1</v>
      </c>
      <c r="K235" s="12">
        <v>124.8</v>
      </c>
      <c r="L235" s="4">
        <v>1284.7</v>
      </c>
      <c r="M235" s="6">
        <f>Table2[[#This Row],[% of Solo Streams]]/100</f>
        <v>0.10105244940000001</v>
      </c>
      <c r="N235" s="3">
        <v>11428.5</v>
      </c>
      <c r="O235" s="6">
        <f>Table2[[#This Row],[% of Collaborative Streams]]/100</f>
        <v>0.89894755059999998</v>
      </c>
      <c r="P235" s="4">
        <f>Table3[[#This Row],[Lead Streams (in millions)]]+Table3[[#This Row],[Feature Streams (in millions)]]</f>
        <v>12720.9</v>
      </c>
      <c r="Q235" s="4">
        <f>_xlfn.RANK.EQ(Table3[[#This Row],[Total Stream]],Table3[Total Stream],0)</f>
        <v>234</v>
      </c>
      <c r="R235" s="4">
        <f>Table3[[#This Row],[Total Streams (in millions)]]-Table3[[#This Row],[Total Stream]]</f>
        <v>-7.6999999999989086</v>
      </c>
      <c r="S235" s="8">
        <f>IFERROR(Table3[[#This Row],[Collaborative Streams (in millions)]]/Table3[[#This Row],[Total Stream]],0)</f>
        <v>0.89840341485272268</v>
      </c>
      <c r="T235" t="str">
        <f>IF(Table3[[#This Row],[Total Streams (in millions)]]&gt;=50000,"High Performer",IF(Table3[[#This Row],[Total Streams (in millions)]]&gt;=20000,"Medium Performer","Low Performer"))</f>
        <v>Low Performer</v>
      </c>
    </row>
    <row r="236" spans="1:20" x14ac:dyDescent="0.3">
      <c r="A236" s="9" t="s">
        <v>304</v>
      </c>
      <c r="B236" s="9" t="s">
        <v>20</v>
      </c>
      <c r="C236" s="9" t="s">
        <v>21</v>
      </c>
      <c r="D236" s="9" t="s">
        <v>16</v>
      </c>
      <c r="E236" s="9" t="s">
        <v>22</v>
      </c>
      <c r="F236" s="9" t="s">
        <v>18</v>
      </c>
      <c r="G236" s="10">
        <v>2008</v>
      </c>
      <c r="H236" s="10" t="str">
        <f>IF(Table3[[#This Row],[Debut Year]]&lt;=2000,"1999–2000",
IF(Table3[[#This Row],[Debut Year]]&lt;=2005,"2001–2005",
IF(Table3[[#This Row],[Debut Year]]&lt;=2010,"2006–2010",
IF(Table3[[#This Row],[Debut Year]]&lt;=2015,"2011–2015",
IF(Table3[[#This Row],[Debut Year]]&lt;=2020,"2016–2020",
"2021–2025")))))</f>
        <v>2006–2010</v>
      </c>
      <c r="I236" s="10">
        <v>12700.7</v>
      </c>
      <c r="J236" s="10">
        <v>8281.2000000000007</v>
      </c>
      <c r="K236" s="10">
        <v>4423.1000000000004</v>
      </c>
      <c r="L236" s="4">
        <v>7763.9</v>
      </c>
      <c r="M236" s="6">
        <f>Table2[[#This Row],[% of Solo Streams]]/100</f>
        <v>0.61129701510000001</v>
      </c>
      <c r="N236" s="3">
        <v>4936.8</v>
      </c>
      <c r="O236" s="6">
        <f>Table2[[#This Row],[% of Collaborative Streams]]/100</f>
        <v>0.38870298490000005</v>
      </c>
      <c r="P236" s="4">
        <f>Table3[[#This Row],[Lead Streams (in millions)]]+Table3[[#This Row],[Feature Streams (in millions)]]</f>
        <v>12704.300000000001</v>
      </c>
      <c r="Q236" s="4">
        <f>_xlfn.RANK.EQ(Table3[[#This Row],[Total Stream]],Table3[Total Stream],0)</f>
        <v>235</v>
      </c>
      <c r="R236" s="4">
        <f>Table3[[#This Row],[Total Streams (in millions)]]-Table3[[#This Row],[Total Stream]]</f>
        <v>-3.6000000000003638</v>
      </c>
      <c r="S236" s="8">
        <f>IFERROR(Table3[[#This Row],[Collaborative Streams (in millions)]]/Table3[[#This Row],[Total Stream]],0)</f>
        <v>0.38859283864518313</v>
      </c>
      <c r="T236" t="str">
        <f>IF(Table3[[#This Row],[Total Streams (in millions)]]&gt;=50000,"High Performer",IF(Table3[[#This Row],[Total Streams (in millions)]]&gt;=20000,"Medium Performer","Low Performer"))</f>
        <v>Low Performer</v>
      </c>
    </row>
    <row r="237" spans="1:20" x14ac:dyDescent="0.3">
      <c r="A237" s="11" t="s">
        <v>305</v>
      </c>
      <c r="B237" s="11" t="s">
        <v>14</v>
      </c>
      <c r="C237" s="11" t="s">
        <v>33</v>
      </c>
      <c r="D237" s="11" t="s">
        <v>16</v>
      </c>
      <c r="E237" s="11" t="s">
        <v>22</v>
      </c>
      <c r="F237" s="11" t="s">
        <v>18</v>
      </c>
      <c r="G237" s="12">
        <v>2010</v>
      </c>
      <c r="H237" s="12" t="str">
        <f>IF(Table3[[#This Row],[Debut Year]]&lt;=2000,"1999–2000",
IF(Table3[[#This Row],[Debut Year]]&lt;=2005,"2001–2005",
IF(Table3[[#This Row],[Debut Year]]&lt;=2010,"2006–2010",
IF(Table3[[#This Row],[Debut Year]]&lt;=2015,"2011–2015",
IF(Table3[[#This Row],[Debut Year]]&lt;=2020,"2016–2020",
"2021–2025")))))</f>
        <v>2006–2010</v>
      </c>
      <c r="I237" s="12">
        <v>12650.8</v>
      </c>
      <c r="J237" s="12">
        <v>11398.2</v>
      </c>
      <c r="K237" s="12">
        <v>1255.5</v>
      </c>
      <c r="L237" s="4">
        <v>5777.3</v>
      </c>
      <c r="M237" s="6">
        <f>Table2[[#This Row],[% of Solo Streams]]/100</f>
        <v>0.4566746767</v>
      </c>
      <c r="N237" s="3">
        <v>6873.5</v>
      </c>
      <c r="O237" s="6">
        <f>Table2[[#This Row],[% of Collaborative Streams]]/100</f>
        <v>0.54332532329999994</v>
      </c>
      <c r="P237" s="4">
        <f>Table3[[#This Row],[Lead Streams (in millions)]]+Table3[[#This Row],[Feature Streams (in millions)]]</f>
        <v>12653.7</v>
      </c>
      <c r="Q237" s="4">
        <f>_xlfn.RANK.EQ(Table3[[#This Row],[Total Stream]],Table3[Total Stream],0)</f>
        <v>236</v>
      </c>
      <c r="R237" s="4">
        <f>Table3[[#This Row],[Total Streams (in millions)]]-Table3[[#This Row],[Total Stream]]</f>
        <v>-2.9000000000014552</v>
      </c>
      <c r="S237" s="8">
        <f>IFERROR(Table3[[#This Row],[Collaborative Streams (in millions)]]/Table3[[#This Row],[Total Stream]],0)</f>
        <v>0.54320080292720707</v>
      </c>
      <c r="T237" t="str">
        <f>IF(Table3[[#This Row],[Total Streams (in millions)]]&gt;=50000,"High Performer",IF(Table3[[#This Row],[Total Streams (in millions)]]&gt;=20000,"Medium Performer","Low Performer"))</f>
        <v>Low Performer</v>
      </c>
    </row>
    <row r="238" spans="1:20" x14ac:dyDescent="0.3">
      <c r="A238" s="9" t="s">
        <v>306</v>
      </c>
      <c r="B238" s="9" t="s">
        <v>14</v>
      </c>
      <c r="C238" s="9" t="s">
        <v>15</v>
      </c>
      <c r="D238" s="9" t="s">
        <v>16</v>
      </c>
      <c r="E238" s="9" t="s">
        <v>22</v>
      </c>
      <c r="F238" s="9" t="s">
        <v>18</v>
      </c>
      <c r="G238" s="10">
        <v>2001</v>
      </c>
      <c r="H238" s="10" t="str">
        <f>IF(Table3[[#This Row],[Debut Year]]&lt;=2000,"1999–2000",
IF(Table3[[#This Row],[Debut Year]]&lt;=2005,"2001–2005",
IF(Table3[[#This Row],[Debut Year]]&lt;=2010,"2006–2010",
IF(Table3[[#This Row],[Debut Year]]&lt;=2015,"2011–2015",
IF(Table3[[#This Row],[Debut Year]]&lt;=2020,"2016–2020",
"2021–2025")))))</f>
        <v>2001–2005</v>
      </c>
      <c r="I238" s="10">
        <v>12647.5</v>
      </c>
      <c r="J238" s="10">
        <v>11934</v>
      </c>
      <c r="K238" s="10">
        <v>715.4</v>
      </c>
      <c r="L238" s="4">
        <v>10362.700000000001</v>
      </c>
      <c r="M238" s="6">
        <f>Table2[[#This Row],[% of Solo Streams]]/100</f>
        <v>0.8193476972</v>
      </c>
      <c r="N238" s="3">
        <v>2284.8000000000002</v>
      </c>
      <c r="O238" s="6">
        <f>Table2[[#This Row],[% of Collaborative Streams]]/100</f>
        <v>0.18065230280000003</v>
      </c>
      <c r="P238" s="4">
        <f>Table3[[#This Row],[Lead Streams (in millions)]]+Table3[[#This Row],[Feature Streams (in millions)]]</f>
        <v>12649.4</v>
      </c>
      <c r="Q238" s="4">
        <f>_xlfn.RANK.EQ(Table3[[#This Row],[Total Stream]],Table3[Total Stream],0)</f>
        <v>237</v>
      </c>
      <c r="R238" s="4">
        <f>Table3[[#This Row],[Total Streams (in millions)]]-Table3[[#This Row],[Total Stream]]</f>
        <v>-1.8999999999996362</v>
      </c>
      <c r="S238" s="8">
        <f>IFERROR(Table3[[#This Row],[Collaborative Streams (in millions)]]/Table3[[#This Row],[Total Stream]],0)</f>
        <v>0.18062516799215775</v>
      </c>
      <c r="T238" t="str">
        <f>IF(Table3[[#This Row],[Total Streams (in millions)]]&gt;=50000,"High Performer",IF(Table3[[#This Row],[Total Streams (in millions)]]&gt;=20000,"Medium Performer","Low Performer"))</f>
        <v>Low Performer</v>
      </c>
    </row>
    <row r="239" spans="1:20" x14ac:dyDescent="0.3">
      <c r="A239" s="11" t="s">
        <v>307</v>
      </c>
      <c r="B239" s="11" t="s">
        <v>14</v>
      </c>
      <c r="C239" s="11" t="s">
        <v>21</v>
      </c>
      <c r="D239" s="11" t="s">
        <v>16</v>
      </c>
      <c r="E239" s="11" t="s">
        <v>17</v>
      </c>
      <c r="F239" s="11" t="s">
        <v>18</v>
      </c>
      <c r="G239" s="12">
        <v>2000</v>
      </c>
      <c r="H239" s="12" t="str">
        <f>IF(Table3[[#This Row],[Debut Year]]&lt;=2000,"1999–2000",
IF(Table3[[#This Row],[Debut Year]]&lt;=2005,"2001–2005",
IF(Table3[[#This Row],[Debut Year]]&lt;=2010,"2006–2010",
IF(Table3[[#This Row],[Debut Year]]&lt;=2015,"2011–2015",
IF(Table3[[#This Row],[Debut Year]]&lt;=2020,"2016–2020",
"2021–2025")))))</f>
        <v>1999–2000</v>
      </c>
      <c r="I239" s="12">
        <v>12593.2</v>
      </c>
      <c r="J239" s="12">
        <v>6266</v>
      </c>
      <c r="K239" s="12">
        <v>6330.7</v>
      </c>
      <c r="L239" s="4">
        <v>351.5</v>
      </c>
      <c r="M239" s="6">
        <f>Table2[[#This Row],[% of Solo Streams]]/100</f>
        <v>2.7911888959999999E-2</v>
      </c>
      <c r="N239" s="3">
        <v>12241.7</v>
      </c>
      <c r="O239" s="6">
        <f>Table2[[#This Row],[% of Collaborative Streams]]/100</f>
        <v>0.97208811100000003</v>
      </c>
      <c r="P239" s="4">
        <f>Table3[[#This Row],[Lead Streams (in millions)]]+Table3[[#This Row],[Feature Streams (in millions)]]</f>
        <v>12596.7</v>
      </c>
      <c r="Q239" s="4">
        <f>_xlfn.RANK.EQ(Table3[[#This Row],[Total Stream]],Table3[Total Stream],0)</f>
        <v>238</v>
      </c>
      <c r="R239" s="4">
        <f>Table3[[#This Row],[Total Streams (in millions)]]-Table3[[#This Row],[Total Stream]]</f>
        <v>-3.5</v>
      </c>
      <c r="S239" s="8">
        <f>IFERROR(Table3[[#This Row],[Collaborative Streams (in millions)]]/Table3[[#This Row],[Total Stream]],0)</f>
        <v>0.97181801582954264</v>
      </c>
      <c r="T239" t="str">
        <f>IF(Table3[[#This Row],[Total Streams (in millions)]]&gt;=50000,"High Performer",IF(Table3[[#This Row],[Total Streams (in millions)]]&gt;=20000,"Medium Performer","Low Performer"))</f>
        <v>Low Performer</v>
      </c>
    </row>
    <row r="240" spans="1:20" x14ac:dyDescent="0.3">
      <c r="A240" s="9" t="s">
        <v>308</v>
      </c>
      <c r="B240" s="9" t="s">
        <v>20</v>
      </c>
      <c r="C240" s="9" t="s">
        <v>33</v>
      </c>
      <c r="D240" s="9" t="s">
        <v>16</v>
      </c>
      <c r="E240" s="9" t="s">
        <v>22</v>
      </c>
      <c r="F240" s="9" t="s">
        <v>18</v>
      </c>
      <c r="G240" s="10">
        <v>2013</v>
      </c>
      <c r="H240" s="10" t="str">
        <f>IF(Table3[[#This Row],[Debut Year]]&lt;=2000,"1999–2000",
IF(Table3[[#This Row],[Debut Year]]&lt;=2005,"2001–2005",
IF(Table3[[#This Row],[Debut Year]]&lt;=2010,"2006–2010",
IF(Table3[[#This Row],[Debut Year]]&lt;=2015,"2011–2015",
IF(Table3[[#This Row],[Debut Year]]&lt;=2020,"2016–2020",
"2021–2025")))))</f>
        <v>2011–2015</v>
      </c>
      <c r="I240" s="10">
        <v>12593</v>
      </c>
      <c r="J240" s="10">
        <v>12542.7</v>
      </c>
      <c r="K240" s="10">
        <v>29.5</v>
      </c>
      <c r="L240" s="4">
        <v>3706.6</v>
      </c>
      <c r="M240" s="6">
        <f>Table2[[#This Row],[% of Solo Streams]]/100</f>
        <v>0.29433812440000001</v>
      </c>
      <c r="N240" s="3">
        <v>8886.4</v>
      </c>
      <c r="O240" s="6">
        <f>Table2[[#This Row],[% of Collaborative Streams]]/100</f>
        <v>0.70566187560000004</v>
      </c>
      <c r="P240" s="4">
        <f>Table3[[#This Row],[Lead Streams (in millions)]]+Table3[[#This Row],[Feature Streams (in millions)]]</f>
        <v>12572.2</v>
      </c>
      <c r="Q240" s="4">
        <f>_xlfn.RANK.EQ(Table3[[#This Row],[Total Stream]],Table3[Total Stream],0)</f>
        <v>239</v>
      </c>
      <c r="R240" s="4">
        <f>Table3[[#This Row],[Total Streams (in millions)]]-Table3[[#This Row],[Total Stream]]</f>
        <v>20.799999999999272</v>
      </c>
      <c r="S240" s="8">
        <f>IFERROR(Table3[[#This Row],[Collaborative Streams (in millions)]]/Table3[[#This Row],[Total Stream]],0)</f>
        <v>0.70682935365329846</v>
      </c>
      <c r="T240" t="str">
        <f>IF(Table3[[#This Row],[Total Streams (in millions)]]&gt;=50000,"High Performer",IF(Table3[[#This Row],[Total Streams (in millions)]]&gt;=20000,"Medium Performer","Low Performer"))</f>
        <v>Low Performer</v>
      </c>
    </row>
    <row r="241" spans="1:20" x14ac:dyDescent="0.3">
      <c r="A241" s="11" t="s">
        <v>309</v>
      </c>
      <c r="B241" s="11" t="s">
        <v>14</v>
      </c>
      <c r="C241" s="11" t="s">
        <v>33</v>
      </c>
      <c r="D241" s="11" t="s">
        <v>16</v>
      </c>
      <c r="E241" s="11" t="s">
        <v>51</v>
      </c>
      <c r="F241" s="11" t="s">
        <v>48</v>
      </c>
      <c r="G241" s="12">
        <v>1964</v>
      </c>
      <c r="H241" s="12" t="str">
        <f>IF(Table3[[#This Row],[Debut Year]]&lt;=2000,"1999–2000",
IF(Table3[[#This Row],[Debut Year]]&lt;=2005,"2001–2005",
IF(Table3[[#This Row],[Debut Year]]&lt;=2010,"2006–2010",
IF(Table3[[#This Row],[Debut Year]]&lt;=2015,"2011–2015",
IF(Table3[[#This Row],[Debut Year]]&lt;=2020,"2016–2020",
"2021–2025")))))</f>
        <v>1999–2000</v>
      </c>
      <c r="I241" s="12">
        <v>12566.2</v>
      </c>
      <c r="J241" s="12">
        <v>4905.7</v>
      </c>
      <c r="K241" s="12">
        <v>7658.9</v>
      </c>
      <c r="L241" s="4">
        <v>12335.7</v>
      </c>
      <c r="M241" s="6">
        <f>Table2[[#This Row],[% of Solo Streams]]/100</f>
        <v>0.98165714380000002</v>
      </c>
      <c r="N241" s="3">
        <v>230.5</v>
      </c>
      <c r="O241" s="6">
        <f>Table2[[#This Row],[% of Collaborative Streams]]/100</f>
        <v>1.8342856229999999E-2</v>
      </c>
      <c r="P241" s="4">
        <f>Table3[[#This Row],[Lead Streams (in millions)]]+Table3[[#This Row],[Feature Streams (in millions)]]</f>
        <v>12564.599999999999</v>
      </c>
      <c r="Q241" s="4">
        <f>_xlfn.RANK.EQ(Table3[[#This Row],[Total Stream]],Table3[Total Stream],0)</f>
        <v>240</v>
      </c>
      <c r="R241" s="4">
        <f>Table3[[#This Row],[Total Streams (in millions)]]-Table3[[#This Row],[Total Stream]]</f>
        <v>1.6000000000021828</v>
      </c>
      <c r="S241" s="8">
        <f>IFERROR(Table3[[#This Row],[Collaborative Streams (in millions)]]/Table3[[#This Row],[Total Stream]],0)</f>
        <v>1.8345192047498529E-2</v>
      </c>
      <c r="T241" t="str">
        <f>IF(Table3[[#This Row],[Total Streams (in millions)]]&gt;=50000,"High Performer",IF(Table3[[#This Row],[Total Streams (in millions)]]&gt;=20000,"Medium Performer","Low Performer"))</f>
        <v>Low Performer</v>
      </c>
    </row>
    <row r="242" spans="1:20" x14ac:dyDescent="0.3">
      <c r="A242" s="9" t="s">
        <v>310</v>
      </c>
      <c r="B242" s="9" t="s">
        <v>14</v>
      </c>
      <c r="C242" s="9" t="s">
        <v>21</v>
      </c>
      <c r="D242" s="9" t="s">
        <v>16</v>
      </c>
      <c r="E242" s="9" t="s">
        <v>22</v>
      </c>
      <c r="F242" s="9" t="s">
        <v>18</v>
      </c>
      <c r="G242" s="10">
        <v>1939</v>
      </c>
      <c r="H242" s="10" t="str">
        <f>IF(Table3[[#This Row],[Debut Year]]&lt;=2000,"1999–2000",
IF(Table3[[#This Row],[Debut Year]]&lt;=2005,"2001–2005",
IF(Table3[[#This Row],[Debut Year]]&lt;=2010,"2006–2010",
IF(Table3[[#This Row],[Debut Year]]&lt;=2015,"2011–2015",
IF(Table3[[#This Row],[Debut Year]]&lt;=2020,"2016–2020",
"2021–2025")))))</f>
        <v>1999–2000</v>
      </c>
      <c r="I242" s="10">
        <v>12421.7</v>
      </c>
      <c r="J242" s="10">
        <v>11999.7</v>
      </c>
      <c r="K242" s="10">
        <v>421.9</v>
      </c>
      <c r="L242" s="4">
        <v>9162.6</v>
      </c>
      <c r="M242" s="6">
        <f>Table2[[#This Row],[% of Solo Streams]]/100</f>
        <v>0.73762850499999999</v>
      </c>
      <c r="N242" s="3">
        <v>3259.1</v>
      </c>
      <c r="O242" s="6">
        <f>Table2[[#This Row],[% of Collaborative Streams]]/100</f>
        <v>0.26237149500000001</v>
      </c>
      <c r="P242" s="4">
        <f>Table3[[#This Row],[Lead Streams (in millions)]]+Table3[[#This Row],[Feature Streams (in millions)]]</f>
        <v>12421.6</v>
      </c>
      <c r="Q242" s="4">
        <f>_xlfn.RANK.EQ(Table3[[#This Row],[Total Stream]],Table3[Total Stream],0)</f>
        <v>241</v>
      </c>
      <c r="R242" s="4">
        <f>Table3[[#This Row],[Total Streams (in millions)]]-Table3[[#This Row],[Total Stream]]</f>
        <v>0.1000000000003638</v>
      </c>
      <c r="S242" s="8">
        <f>IFERROR(Table3[[#This Row],[Collaborative Streams (in millions)]]/Table3[[#This Row],[Total Stream]],0)</f>
        <v>0.26237360726476461</v>
      </c>
      <c r="T242" t="str">
        <f>IF(Table3[[#This Row],[Total Streams (in millions)]]&gt;=50000,"High Performer",IF(Table3[[#This Row],[Total Streams (in millions)]]&gt;=20000,"Medium Performer","Low Performer"))</f>
        <v>Low Performer</v>
      </c>
    </row>
    <row r="243" spans="1:20" x14ac:dyDescent="0.3">
      <c r="A243" s="11" t="s">
        <v>311</v>
      </c>
      <c r="B243" s="11" t="s">
        <v>14</v>
      </c>
      <c r="C243" s="11" t="s">
        <v>128</v>
      </c>
      <c r="D243" s="11" t="s">
        <v>129</v>
      </c>
      <c r="E243" s="11" t="s">
        <v>60</v>
      </c>
      <c r="F243" s="11" t="s">
        <v>18</v>
      </c>
      <c r="G243" s="12">
        <v>2014</v>
      </c>
      <c r="H243" s="12" t="str">
        <f>IF(Table3[[#This Row],[Debut Year]]&lt;=2000,"1999–2000",
IF(Table3[[#This Row],[Debut Year]]&lt;=2005,"2001–2005",
IF(Table3[[#This Row],[Debut Year]]&lt;=2010,"2006–2010",
IF(Table3[[#This Row],[Debut Year]]&lt;=2015,"2011–2015",
IF(Table3[[#This Row],[Debut Year]]&lt;=2020,"2016–2020",
"2021–2025")))))</f>
        <v>2011–2015</v>
      </c>
      <c r="I243" s="12">
        <v>12403.3</v>
      </c>
      <c r="J243" s="12">
        <v>7261.2</v>
      </c>
      <c r="K243" s="12">
        <v>5145.8</v>
      </c>
      <c r="L243" s="4">
        <v>376.4</v>
      </c>
      <c r="M243" s="6">
        <f>Table2[[#This Row],[% of Solo Streams]]/100</f>
        <v>3.0346762560000001E-2</v>
      </c>
      <c r="N243" s="3">
        <v>12026.9</v>
      </c>
      <c r="O243" s="6">
        <f>Table2[[#This Row],[% of Collaborative Streams]]/100</f>
        <v>0.96965323739999998</v>
      </c>
      <c r="P243" s="4">
        <f>Table3[[#This Row],[Lead Streams (in millions)]]+Table3[[#This Row],[Feature Streams (in millions)]]</f>
        <v>12407</v>
      </c>
      <c r="Q243" s="4">
        <f>_xlfn.RANK.EQ(Table3[[#This Row],[Total Stream]],Table3[Total Stream],0)</f>
        <v>242</v>
      </c>
      <c r="R243" s="4">
        <f>Table3[[#This Row],[Total Streams (in millions)]]-Table3[[#This Row],[Total Stream]]</f>
        <v>-3.7000000000007276</v>
      </c>
      <c r="S243" s="8">
        <f>IFERROR(Table3[[#This Row],[Collaborative Streams (in millions)]]/Table3[[#This Row],[Total Stream]],0)</f>
        <v>0.96936406867091152</v>
      </c>
      <c r="T243" t="str">
        <f>IF(Table3[[#This Row],[Total Streams (in millions)]]&gt;=50000,"High Performer",IF(Table3[[#This Row],[Total Streams (in millions)]]&gt;=20000,"Medium Performer","Low Performer"))</f>
        <v>Low Performer</v>
      </c>
    </row>
    <row r="244" spans="1:20" x14ac:dyDescent="0.3">
      <c r="A244" s="9" t="s">
        <v>312</v>
      </c>
      <c r="B244" s="9" t="s">
        <v>14</v>
      </c>
      <c r="C244" s="9" t="s">
        <v>21</v>
      </c>
      <c r="D244" s="9" t="s">
        <v>24</v>
      </c>
      <c r="E244" s="9" t="s">
        <v>25</v>
      </c>
      <c r="F244" s="9" t="s">
        <v>18</v>
      </c>
      <c r="G244" s="10">
        <v>2015</v>
      </c>
      <c r="H244" s="10" t="str">
        <f>IF(Table3[[#This Row],[Debut Year]]&lt;=2000,"1999–2000",
IF(Table3[[#This Row],[Debut Year]]&lt;=2005,"2001–2005",
IF(Table3[[#This Row],[Debut Year]]&lt;=2010,"2006–2010",
IF(Table3[[#This Row],[Debut Year]]&lt;=2015,"2011–2015",
IF(Table3[[#This Row],[Debut Year]]&lt;=2020,"2016–2020",
"2021–2025")))))</f>
        <v>2011–2015</v>
      </c>
      <c r="I244" s="10">
        <v>12394.6</v>
      </c>
      <c r="J244" s="10">
        <v>4419.3999999999996</v>
      </c>
      <c r="K244" s="10">
        <v>7981.5</v>
      </c>
      <c r="L244" s="4">
        <v>1528.1</v>
      </c>
      <c r="M244" s="6">
        <f>Table2[[#This Row],[% of Solo Streams]]/100</f>
        <v>0.12328756070000001</v>
      </c>
      <c r="N244" s="3">
        <v>10866.5</v>
      </c>
      <c r="O244" s="6">
        <f>Table2[[#This Row],[% of Collaborative Streams]]/100</f>
        <v>0.87671243929999998</v>
      </c>
      <c r="P244" s="4">
        <f>Table3[[#This Row],[Lead Streams (in millions)]]+Table3[[#This Row],[Feature Streams (in millions)]]</f>
        <v>12400.9</v>
      </c>
      <c r="Q244" s="4">
        <f>_xlfn.RANK.EQ(Table3[[#This Row],[Total Stream]],Table3[Total Stream],0)</f>
        <v>243</v>
      </c>
      <c r="R244" s="4">
        <f>Table3[[#This Row],[Total Streams (in millions)]]-Table3[[#This Row],[Total Stream]]</f>
        <v>-6.2999999999992724</v>
      </c>
      <c r="S244" s="8">
        <f>IFERROR(Table3[[#This Row],[Collaborative Streams (in millions)]]/Table3[[#This Row],[Total Stream]],0)</f>
        <v>0.87626704513382092</v>
      </c>
      <c r="T244" t="str">
        <f>IF(Table3[[#This Row],[Total Streams (in millions)]]&gt;=50000,"High Performer",IF(Table3[[#This Row],[Total Streams (in millions)]]&gt;=20000,"Medium Performer","Low Performer"))</f>
        <v>Low Performer</v>
      </c>
    </row>
    <row r="245" spans="1:20" x14ac:dyDescent="0.3">
      <c r="A245" s="11" t="s">
        <v>313</v>
      </c>
      <c r="B245" s="11" t="s">
        <v>14</v>
      </c>
      <c r="C245" s="11" t="s">
        <v>166</v>
      </c>
      <c r="D245" s="11" t="s">
        <v>167</v>
      </c>
      <c r="E245" s="11" t="s">
        <v>168</v>
      </c>
      <c r="F245" s="11" t="s">
        <v>18</v>
      </c>
      <c r="G245" s="12">
        <v>2009</v>
      </c>
      <c r="H245" s="12" t="str">
        <f>IF(Table3[[#This Row],[Debut Year]]&lt;=2000,"1999–2000",
IF(Table3[[#This Row],[Debut Year]]&lt;=2005,"2001–2005",
IF(Table3[[#This Row],[Debut Year]]&lt;=2010,"2006–2010",
IF(Table3[[#This Row],[Debut Year]]&lt;=2015,"2011–2015",
IF(Table3[[#This Row],[Debut Year]]&lt;=2020,"2016–2020",
"2021–2025")))))</f>
        <v>2006–2010</v>
      </c>
      <c r="I245" s="12">
        <v>12324.9</v>
      </c>
      <c r="J245" s="12">
        <v>10393.6</v>
      </c>
      <c r="K245" s="12">
        <v>1924.7</v>
      </c>
      <c r="L245" s="4">
        <v>8841.9</v>
      </c>
      <c r="M245" s="6">
        <f>Table2[[#This Row],[% of Solo Streams]]/100</f>
        <v>0.71740135820000006</v>
      </c>
      <c r="N245" s="3">
        <v>3483</v>
      </c>
      <c r="O245" s="6">
        <f>Table2[[#This Row],[% of Collaborative Streams]]/100</f>
        <v>0.28259864179999999</v>
      </c>
      <c r="P245" s="4">
        <f>Table3[[#This Row],[Lead Streams (in millions)]]+Table3[[#This Row],[Feature Streams (in millions)]]</f>
        <v>12318.300000000001</v>
      </c>
      <c r="Q245" s="4">
        <f>_xlfn.RANK.EQ(Table3[[#This Row],[Total Stream]],Table3[Total Stream],0)</f>
        <v>244</v>
      </c>
      <c r="R245" s="4">
        <f>Table3[[#This Row],[Total Streams (in millions)]]-Table3[[#This Row],[Total Stream]]</f>
        <v>6.5999999999985448</v>
      </c>
      <c r="S245" s="8">
        <f>IFERROR(Table3[[#This Row],[Collaborative Streams (in millions)]]/Table3[[#This Row],[Total Stream]],0)</f>
        <v>0.28275005479652221</v>
      </c>
      <c r="T245" t="str">
        <f>IF(Table3[[#This Row],[Total Streams (in millions)]]&gt;=50000,"High Performer",IF(Table3[[#This Row],[Total Streams (in millions)]]&gt;=20000,"Medium Performer","Low Performer"))</f>
        <v>Low Performer</v>
      </c>
    </row>
    <row r="246" spans="1:20" x14ac:dyDescent="0.3">
      <c r="A246" s="9" t="s">
        <v>314</v>
      </c>
      <c r="B246" s="9" t="s">
        <v>14</v>
      </c>
      <c r="C246" s="9" t="s">
        <v>21</v>
      </c>
      <c r="D246" s="9" t="s">
        <v>24</v>
      </c>
      <c r="E246" s="9" t="s">
        <v>17</v>
      </c>
      <c r="F246" s="9" t="s">
        <v>18</v>
      </c>
      <c r="G246" s="10">
        <v>2017</v>
      </c>
      <c r="H246" s="10" t="str">
        <f>IF(Table3[[#This Row],[Debut Year]]&lt;=2000,"1999–2000",
IF(Table3[[#This Row],[Debut Year]]&lt;=2005,"2001–2005",
IF(Table3[[#This Row],[Debut Year]]&lt;=2010,"2006–2010",
IF(Table3[[#This Row],[Debut Year]]&lt;=2015,"2011–2015",
IF(Table3[[#This Row],[Debut Year]]&lt;=2020,"2016–2020",
"2021–2025")))))</f>
        <v>2016–2020</v>
      </c>
      <c r="I246" s="10">
        <v>12209.5</v>
      </c>
      <c r="J246" s="10">
        <v>8937.9</v>
      </c>
      <c r="K246" s="10">
        <v>3281.7</v>
      </c>
      <c r="L246" s="4">
        <v>3226.5</v>
      </c>
      <c r="M246" s="6">
        <f>Table2[[#This Row],[% of Solo Streams]]/100</f>
        <v>0.2642614358</v>
      </c>
      <c r="N246" s="3">
        <v>8983</v>
      </c>
      <c r="O246" s="6">
        <f>Table2[[#This Row],[% of Collaborative Streams]]/100</f>
        <v>0.73573856419999994</v>
      </c>
      <c r="P246" s="4">
        <f>Table3[[#This Row],[Lead Streams (in millions)]]+Table3[[#This Row],[Feature Streams (in millions)]]</f>
        <v>12219.599999999999</v>
      </c>
      <c r="Q246" s="4">
        <f>_xlfn.RANK.EQ(Table3[[#This Row],[Total Stream]],Table3[Total Stream],0)</f>
        <v>245</v>
      </c>
      <c r="R246" s="4">
        <f>Table3[[#This Row],[Total Streams (in millions)]]-Table3[[#This Row],[Total Stream]]</f>
        <v>-10.099999999998545</v>
      </c>
      <c r="S246" s="8">
        <f>IFERROR(Table3[[#This Row],[Collaborative Streams (in millions)]]/Table3[[#This Row],[Total Stream]],0)</f>
        <v>0.7351304461684508</v>
      </c>
      <c r="T246" t="str">
        <f>IF(Table3[[#This Row],[Total Streams (in millions)]]&gt;=50000,"High Performer",IF(Table3[[#This Row],[Total Streams (in millions)]]&gt;=20000,"Medium Performer","Low Performer"))</f>
        <v>Low Performer</v>
      </c>
    </row>
    <row r="247" spans="1:20" x14ac:dyDescent="0.3">
      <c r="A247" s="11" t="s">
        <v>315</v>
      </c>
      <c r="B247" s="11" t="s">
        <v>14</v>
      </c>
      <c r="C247" s="11" t="s">
        <v>89</v>
      </c>
      <c r="D247" s="11" t="s">
        <v>24</v>
      </c>
      <c r="E247" s="11" t="s">
        <v>90</v>
      </c>
      <c r="F247" s="11" t="s">
        <v>48</v>
      </c>
      <c r="G247" s="12">
        <v>2014</v>
      </c>
      <c r="H247" s="12" t="str">
        <f>IF(Table3[[#This Row],[Debut Year]]&lt;=2000,"1999–2000",
IF(Table3[[#This Row],[Debut Year]]&lt;=2005,"2001–2005",
IF(Table3[[#This Row],[Debut Year]]&lt;=2010,"2006–2010",
IF(Table3[[#This Row],[Debut Year]]&lt;=2015,"2011–2015",
IF(Table3[[#This Row],[Debut Year]]&lt;=2020,"2016–2020",
"2021–2025")))))</f>
        <v>2011–2015</v>
      </c>
      <c r="I247" s="12">
        <v>12151.3</v>
      </c>
      <c r="J247" s="12">
        <v>8589.7999999999993</v>
      </c>
      <c r="K247" s="12">
        <v>3569.6</v>
      </c>
      <c r="L247" s="4">
        <v>2705.2</v>
      </c>
      <c r="M247" s="6">
        <f>Table2[[#This Row],[% of Solo Streams]]/100</f>
        <v>0.22262638570000001</v>
      </c>
      <c r="N247" s="3">
        <v>9446.1</v>
      </c>
      <c r="O247" s="6">
        <f>Table2[[#This Row],[% of Collaborative Streams]]/100</f>
        <v>0.77737361430000007</v>
      </c>
      <c r="P247" s="4">
        <f>Table3[[#This Row],[Lead Streams (in millions)]]+Table3[[#This Row],[Feature Streams (in millions)]]</f>
        <v>12159.4</v>
      </c>
      <c r="Q247" s="4">
        <f>_xlfn.RANK.EQ(Table3[[#This Row],[Total Stream]],Table3[Total Stream],0)</f>
        <v>246</v>
      </c>
      <c r="R247" s="4">
        <f>Table3[[#This Row],[Total Streams (in millions)]]-Table3[[#This Row],[Total Stream]]</f>
        <v>-8.1000000000003638</v>
      </c>
      <c r="S247" s="8">
        <f>IFERROR(Table3[[#This Row],[Collaborative Streams (in millions)]]/Table3[[#This Row],[Total Stream]],0)</f>
        <v>0.77685576590950212</v>
      </c>
      <c r="T247" t="str">
        <f>IF(Table3[[#This Row],[Total Streams (in millions)]]&gt;=50000,"High Performer",IF(Table3[[#This Row],[Total Streams (in millions)]]&gt;=20000,"Medium Performer","Low Performer"))</f>
        <v>Low Performer</v>
      </c>
    </row>
    <row r="248" spans="1:20" x14ac:dyDescent="0.3">
      <c r="A248" s="9" t="s">
        <v>316</v>
      </c>
      <c r="B248" s="9" t="s">
        <v>14</v>
      </c>
      <c r="C248" s="9" t="s">
        <v>71</v>
      </c>
      <c r="D248" s="9" t="s">
        <v>72</v>
      </c>
      <c r="E248" s="9" t="s">
        <v>73</v>
      </c>
      <c r="F248" s="9" t="s">
        <v>18</v>
      </c>
      <c r="G248" s="10">
        <v>2008</v>
      </c>
      <c r="H248" s="10" t="str">
        <f>IF(Table3[[#This Row],[Debut Year]]&lt;=2000,"1999–2000",
IF(Table3[[#This Row],[Debut Year]]&lt;=2005,"2001–2005",
IF(Table3[[#This Row],[Debut Year]]&lt;=2010,"2006–2010",
IF(Table3[[#This Row],[Debut Year]]&lt;=2015,"2011–2015",
IF(Table3[[#This Row],[Debut Year]]&lt;=2020,"2016–2020",
"2021–2025")))))</f>
        <v>2006–2010</v>
      </c>
      <c r="I248" s="10">
        <v>12136.7</v>
      </c>
      <c r="J248" s="10">
        <v>8.4</v>
      </c>
      <c r="K248" s="10">
        <v>12135.9</v>
      </c>
      <c r="L248" s="4">
        <v>0</v>
      </c>
      <c r="M248" s="6">
        <f>Table2[[#This Row],[% of Solo Streams]]/100</f>
        <v>0</v>
      </c>
      <c r="N248" s="3">
        <v>12136.7</v>
      </c>
      <c r="O248" s="6">
        <f>Table2[[#This Row],[% of Collaborative Streams]]/100</f>
        <v>1</v>
      </c>
      <c r="P248" s="4">
        <f>Table3[[#This Row],[Lead Streams (in millions)]]+Table3[[#This Row],[Feature Streams (in millions)]]</f>
        <v>12144.3</v>
      </c>
      <c r="Q248" s="4">
        <f>_xlfn.RANK.EQ(Table3[[#This Row],[Total Stream]],Table3[Total Stream],0)</f>
        <v>247</v>
      </c>
      <c r="R248" s="4">
        <f>Table3[[#This Row],[Total Streams (in millions)]]-Table3[[#This Row],[Total Stream]]</f>
        <v>-7.5999999999985448</v>
      </c>
      <c r="S248" s="8">
        <f>IFERROR(Table3[[#This Row],[Collaborative Streams (in millions)]]/Table3[[#This Row],[Total Stream]],0)</f>
        <v>0.99937419200777333</v>
      </c>
      <c r="T248" t="str">
        <f>IF(Table3[[#This Row],[Total Streams (in millions)]]&gt;=50000,"High Performer",IF(Table3[[#This Row],[Total Streams (in millions)]]&gt;=20000,"Medium Performer","Low Performer"))</f>
        <v>Low Performer</v>
      </c>
    </row>
    <row r="249" spans="1:20" x14ac:dyDescent="0.3">
      <c r="A249" s="11" t="s">
        <v>317</v>
      </c>
      <c r="B249" s="11" t="s">
        <v>20</v>
      </c>
      <c r="C249" s="11" t="s">
        <v>21</v>
      </c>
      <c r="D249" s="11" t="s">
        <v>16</v>
      </c>
      <c r="E249" s="11" t="s">
        <v>27</v>
      </c>
      <c r="F249" s="11" t="s">
        <v>18</v>
      </c>
      <c r="G249" s="12">
        <v>2001</v>
      </c>
      <c r="H249" s="12" t="str">
        <f>IF(Table3[[#This Row],[Debut Year]]&lt;=2000,"1999–2000",
IF(Table3[[#This Row],[Debut Year]]&lt;=2005,"2001–2005",
IF(Table3[[#This Row],[Debut Year]]&lt;=2010,"2006–2010",
IF(Table3[[#This Row],[Debut Year]]&lt;=2015,"2011–2015",
IF(Table3[[#This Row],[Debut Year]]&lt;=2020,"2016–2020",
"2021–2025")))))</f>
        <v>2001–2005</v>
      </c>
      <c r="I249" s="12">
        <v>12099.6</v>
      </c>
      <c r="J249" s="12">
        <v>8350.5</v>
      </c>
      <c r="K249" s="12">
        <v>3754.7</v>
      </c>
      <c r="L249" s="4">
        <v>7341.3</v>
      </c>
      <c r="M249" s="6">
        <f>Table2[[#This Row],[% of Solo Streams]]/100</f>
        <v>0.60673906580000003</v>
      </c>
      <c r="N249" s="3">
        <v>4758.3</v>
      </c>
      <c r="O249" s="6">
        <f>Table2[[#This Row],[% of Collaborative Streams]]/100</f>
        <v>0.39326093419999997</v>
      </c>
      <c r="P249" s="4">
        <f>Table3[[#This Row],[Lead Streams (in millions)]]+Table3[[#This Row],[Feature Streams (in millions)]]</f>
        <v>12105.2</v>
      </c>
      <c r="Q249" s="4">
        <f>_xlfn.RANK.EQ(Table3[[#This Row],[Total Stream]],Table3[Total Stream],0)</f>
        <v>248</v>
      </c>
      <c r="R249" s="4">
        <f>Table3[[#This Row],[Total Streams (in millions)]]-Table3[[#This Row],[Total Stream]]</f>
        <v>-5.6000000000003638</v>
      </c>
      <c r="S249" s="8">
        <f>IFERROR(Table3[[#This Row],[Collaborative Streams (in millions)]]/Table3[[#This Row],[Total Stream]],0)</f>
        <v>0.39307900736873408</v>
      </c>
      <c r="T249" t="str">
        <f>IF(Table3[[#This Row],[Total Streams (in millions)]]&gt;=50000,"High Performer",IF(Table3[[#This Row],[Total Streams (in millions)]]&gt;=20000,"Medium Performer","Low Performer"))</f>
        <v>Low Performer</v>
      </c>
    </row>
    <row r="250" spans="1:20" x14ac:dyDescent="0.3">
      <c r="A250" s="9" t="s">
        <v>318</v>
      </c>
      <c r="B250" s="9" t="s">
        <v>20</v>
      </c>
      <c r="C250" s="9" t="s">
        <v>21</v>
      </c>
      <c r="D250" s="9" t="s">
        <v>16</v>
      </c>
      <c r="E250" s="9" t="s">
        <v>22</v>
      </c>
      <c r="F250" s="9" t="s">
        <v>18</v>
      </c>
      <c r="G250" s="10">
        <v>2009</v>
      </c>
      <c r="H250" s="10" t="str">
        <f>IF(Table3[[#This Row],[Debut Year]]&lt;=2000,"1999–2000",
IF(Table3[[#This Row],[Debut Year]]&lt;=2005,"2001–2005",
IF(Table3[[#This Row],[Debut Year]]&lt;=2010,"2006–2010",
IF(Table3[[#This Row],[Debut Year]]&lt;=2015,"2011–2015",
IF(Table3[[#This Row],[Debut Year]]&lt;=2020,"2016–2020",
"2021–2025")))))</f>
        <v>2006–2010</v>
      </c>
      <c r="I250" s="10">
        <v>12094.7</v>
      </c>
      <c r="J250" s="10">
        <v>7821.4</v>
      </c>
      <c r="K250" s="10">
        <v>4279.1000000000004</v>
      </c>
      <c r="L250" s="4">
        <v>7189.4</v>
      </c>
      <c r="M250" s="6">
        <f>Table2[[#This Row],[% of Solo Streams]]/100</f>
        <v>0.59442565749999998</v>
      </c>
      <c r="N250" s="3">
        <v>4905.3</v>
      </c>
      <c r="O250" s="6">
        <f>Table2[[#This Row],[% of Collaborative Streams]]/100</f>
        <v>0.40557434250000002</v>
      </c>
      <c r="P250" s="4">
        <f>Table3[[#This Row],[Lead Streams (in millions)]]+Table3[[#This Row],[Feature Streams (in millions)]]</f>
        <v>12100.5</v>
      </c>
      <c r="Q250" s="4">
        <f>_xlfn.RANK.EQ(Table3[[#This Row],[Total Stream]],Table3[Total Stream],0)</f>
        <v>249</v>
      </c>
      <c r="R250" s="4">
        <f>Table3[[#This Row],[Total Streams (in millions)]]-Table3[[#This Row],[Total Stream]]</f>
        <v>-5.7999999999992724</v>
      </c>
      <c r="S250" s="8">
        <f>IFERROR(Table3[[#This Row],[Collaborative Streams (in millions)]]/Table3[[#This Row],[Total Stream]],0)</f>
        <v>0.40537994297756291</v>
      </c>
      <c r="T250" t="str">
        <f>IF(Table3[[#This Row],[Total Streams (in millions)]]&gt;=50000,"High Performer",IF(Table3[[#This Row],[Total Streams (in millions)]]&gt;=20000,"Medium Performer","Low Performer"))</f>
        <v>Low Performer</v>
      </c>
    </row>
    <row r="251" spans="1:20" x14ac:dyDescent="0.3">
      <c r="A251" s="11" t="s">
        <v>319</v>
      </c>
      <c r="B251" s="11" t="s">
        <v>14</v>
      </c>
      <c r="C251" s="11" t="s">
        <v>21</v>
      </c>
      <c r="D251" s="11" t="s">
        <v>16</v>
      </c>
      <c r="E251" s="11" t="s">
        <v>22</v>
      </c>
      <c r="F251" s="11" t="s">
        <v>18</v>
      </c>
      <c r="G251" s="12">
        <v>2015</v>
      </c>
      <c r="H251" s="12" t="str">
        <f>IF(Table3[[#This Row],[Debut Year]]&lt;=2000,"1999–2000",
IF(Table3[[#This Row],[Debut Year]]&lt;=2005,"2001–2005",
IF(Table3[[#This Row],[Debut Year]]&lt;=2010,"2006–2010",
IF(Table3[[#This Row],[Debut Year]]&lt;=2015,"2011–2015",
IF(Table3[[#This Row],[Debut Year]]&lt;=2020,"2016–2020",
"2021–2025")))))</f>
        <v>2011–2015</v>
      </c>
      <c r="I251" s="12">
        <v>11966.9</v>
      </c>
      <c r="J251" s="12">
        <v>10802.2</v>
      </c>
      <c r="K251" s="12">
        <v>1167.0999999999999</v>
      </c>
      <c r="L251" s="4">
        <v>7423</v>
      </c>
      <c r="M251" s="6">
        <f>Table2[[#This Row],[% of Solo Streams]]/100</f>
        <v>0.62029431180000005</v>
      </c>
      <c r="N251" s="3">
        <v>4543.8999999999996</v>
      </c>
      <c r="O251" s="6">
        <f>Table2[[#This Row],[% of Collaborative Streams]]/100</f>
        <v>0.37970568819999995</v>
      </c>
      <c r="P251" s="4">
        <f>Table3[[#This Row],[Lead Streams (in millions)]]+Table3[[#This Row],[Feature Streams (in millions)]]</f>
        <v>11969.300000000001</v>
      </c>
      <c r="Q251" s="4">
        <f>_xlfn.RANK.EQ(Table3[[#This Row],[Total Stream]],Table3[Total Stream],0)</f>
        <v>250</v>
      </c>
      <c r="R251" s="4">
        <f>Table3[[#This Row],[Total Streams (in millions)]]-Table3[[#This Row],[Total Stream]]</f>
        <v>-2.4000000000014552</v>
      </c>
      <c r="S251" s="8">
        <f>IFERROR(Table3[[#This Row],[Collaborative Streams (in millions)]]/Table3[[#This Row],[Total Stream]],0)</f>
        <v>0.37962955227122713</v>
      </c>
      <c r="T251" t="str">
        <f>IF(Table3[[#This Row],[Total Streams (in millions)]]&gt;=50000,"High Performer",IF(Table3[[#This Row],[Total Streams (in millions)]]&gt;=20000,"Medium Performer","Low Performer"))</f>
        <v>Low Performer</v>
      </c>
    </row>
    <row r="252" spans="1:20" x14ac:dyDescent="0.3">
      <c r="A252" s="9" t="s">
        <v>320</v>
      </c>
      <c r="B252" s="9" t="s">
        <v>20</v>
      </c>
      <c r="C252" s="9" t="s">
        <v>21</v>
      </c>
      <c r="D252" s="9" t="s">
        <v>16</v>
      </c>
      <c r="E252" s="9" t="s">
        <v>22</v>
      </c>
      <c r="F252" s="9" t="s">
        <v>18</v>
      </c>
      <c r="G252" s="10">
        <v>1982</v>
      </c>
      <c r="H252" s="10" t="str">
        <f>IF(Table3[[#This Row],[Debut Year]]&lt;=2000,"1999–2000",
IF(Table3[[#This Row],[Debut Year]]&lt;=2005,"2001–2005",
IF(Table3[[#This Row],[Debut Year]]&lt;=2010,"2006–2010",
IF(Table3[[#This Row],[Debut Year]]&lt;=2015,"2011–2015",
IF(Table3[[#This Row],[Debut Year]]&lt;=2020,"2016–2020",
"2021–2025")))))</f>
        <v>1999–2000</v>
      </c>
      <c r="I252" s="10">
        <v>11879.6</v>
      </c>
      <c r="J252" s="10">
        <v>10122.700000000001</v>
      </c>
      <c r="K252" s="10">
        <v>1768.2</v>
      </c>
      <c r="L252" s="4">
        <v>8527.5</v>
      </c>
      <c r="M252" s="6">
        <f>Table2[[#This Row],[% of Solo Streams]]/100</f>
        <v>0.71782719959999997</v>
      </c>
      <c r="N252" s="3">
        <v>3352.1</v>
      </c>
      <c r="O252" s="6">
        <f>Table2[[#This Row],[% of Collaborative Streams]]/100</f>
        <v>0.28217280039999998</v>
      </c>
      <c r="P252" s="4">
        <f>Table3[[#This Row],[Lead Streams (in millions)]]+Table3[[#This Row],[Feature Streams (in millions)]]</f>
        <v>11890.900000000001</v>
      </c>
      <c r="Q252" s="4">
        <f>_xlfn.RANK.EQ(Table3[[#This Row],[Total Stream]],Table3[Total Stream],0)</f>
        <v>251</v>
      </c>
      <c r="R252" s="4">
        <f>Table3[[#This Row],[Total Streams (in millions)]]-Table3[[#This Row],[Total Stream]]</f>
        <v>-11.300000000001091</v>
      </c>
      <c r="S252" s="8">
        <f>IFERROR(Table3[[#This Row],[Collaborative Streams (in millions)]]/Table3[[#This Row],[Total Stream]],0)</f>
        <v>0.28190464977419705</v>
      </c>
      <c r="T252" t="str">
        <f>IF(Table3[[#This Row],[Total Streams (in millions)]]&gt;=50000,"High Performer",IF(Table3[[#This Row],[Total Streams (in millions)]]&gt;=20000,"Medium Performer","Low Performer"))</f>
        <v>Low Performer</v>
      </c>
    </row>
    <row r="253" spans="1:20" x14ac:dyDescent="0.3">
      <c r="A253" s="11" t="s">
        <v>321</v>
      </c>
      <c r="B253" s="11" t="s">
        <v>14</v>
      </c>
      <c r="C253" s="11" t="s">
        <v>89</v>
      </c>
      <c r="D253" s="11" t="s">
        <v>24</v>
      </c>
      <c r="E253" s="11" t="s">
        <v>82</v>
      </c>
      <c r="F253" s="11" t="s">
        <v>48</v>
      </c>
      <c r="G253" s="12">
        <v>2005</v>
      </c>
      <c r="H253" s="12" t="str">
        <f>IF(Table3[[#This Row],[Debut Year]]&lt;=2000,"1999–2000",
IF(Table3[[#This Row],[Debut Year]]&lt;=2005,"2001–2005",
IF(Table3[[#This Row],[Debut Year]]&lt;=2010,"2006–2010",
IF(Table3[[#This Row],[Debut Year]]&lt;=2015,"2011–2015",
IF(Table3[[#This Row],[Debut Year]]&lt;=2020,"2016–2020",
"2021–2025")))))</f>
        <v>2001–2005</v>
      </c>
      <c r="I253" s="12">
        <v>11853.7</v>
      </c>
      <c r="J253" s="12">
        <v>9900.6</v>
      </c>
      <c r="K253" s="12">
        <v>1953.1</v>
      </c>
      <c r="L253" s="4">
        <v>5248.7</v>
      </c>
      <c r="M253" s="6">
        <f>Table2[[#This Row],[% of Solo Streams]]/100</f>
        <v>0.44279001489999997</v>
      </c>
      <c r="N253" s="3">
        <v>6605</v>
      </c>
      <c r="O253" s="6">
        <f>Table2[[#This Row],[% of Collaborative Streams]]/100</f>
        <v>0.55720998509999997</v>
      </c>
      <c r="P253" s="4">
        <f>Table3[[#This Row],[Lead Streams (in millions)]]+Table3[[#This Row],[Feature Streams (in millions)]]</f>
        <v>11853.7</v>
      </c>
      <c r="Q253" s="4">
        <f>_xlfn.RANK.EQ(Table3[[#This Row],[Total Stream]],Table3[Total Stream],0)</f>
        <v>252</v>
      </c>
      <c r="R253" s="4">
        <f>Table3[[#This Row],[Total Streams (in millions)]]-Table3[[#This Row],[Total Stream]]</f>
        <v>0</v>
      </c>
      <c r="S253" s="8">
        <f>IFERROR(Table3[[#This Row],[Collaborative Streams (in millions)]]/Table3[[#This Row],[Total Stream]],0)</f>
        <v>0.55720998506795338</v>
      </c>
      <c r="T253" t="str">
        <f>IF(Table3[[#This Row],[Total Streams (in millions)]]&gt;=50000,"High Performer",IF(Table3[[#This Row],[Total Streams (in millions)]]&gt;=20000,"Medium Performer","Low Performer"))</f>
        <v>Low Performer</v>
      </c>
    </row>
    <row r="254" spans="1:20" x14ac:dyDescent="0.3">
      <c r="A254" s="9" t="s">
        <v>322</v>
      </c>
      <c r="B254" s="9" t="s">
        <v>14</v>
      </c>
      <c r="C254" s="9" t="s">
        <v>21</v>
      </c>
      <c r="D254" s="9" t="s">
        <v>16</v>
      </c>
      <c r="E254" s="9" t="s">
        <v>27</v>
      </c>
      <c r="F254" s="9" t="s">
        <v>18</v>
      </c>
      <c r="G254" s="10">
        <v>2004</v>
      </c>
      <c r="H254" s="10" t="str">
        <f>IF(Table3[[#This Row],[Debut Year]]&lt;=2000,"1999–2000",
IF(Table3[[#This Row],[Debut Year]]&lt;=2005,"2001–2005",
IF(Table3[[#This Row],[Debut Year]]&lt;=2010,"2006–2010",
IF(Table3[[#This Row],[Debut Year]]&lt;=2015,"2011–2015",
IF(Table3[[#This Row],[Debut Year]]&lt;=2020,"2016–2020",
"2021–2025")))))</f>
        <v>2001–2005</v>
      </c>
      <c r="I254" s="10">
        <v>11821.6</v>
      </c>
      <c r="J254" s="10">
        <v>7454.6</v>
      </c>
      <c r="K254" s="10">
        <v>4369.1000000000004</v>
      </c>
      <c r="L254" s="4">
        <v>5783.2</v>
      </c>
      <c r="M254" s="6">
        <f>Table2[[#This Row],[% of Solo Streams]]/100</f>
        <v>0.48920619879999999</v>
      </c>
      <c r="N254" s="3">
        <v>6038.4</v>
      </c>
      <c r="O254" s="6">
        <f>Table2[[#This Row],[% of Collaborative Streams]]/100</f>
        <v>0.51079380120000006</v>
      </c>
      <c r="P254" s="4">
        <f>Table3[[#This Row],[Lead Streams (in millions)]]+Table3[[#This Row],[Feature Streams (in millions)]]</f>
        <v>11823.7</v>
      </c>
      <c r="Q254" s="4">
        <f>_xlfn.RANK.EQ(Table3[[#This Row],[Total Stream]],Table3[Total Stream],0)</f>
        <v>253</v>
      </c>
      <c r="R254" s="4">
        <f>Table3[[#This Row],[Total Streams (in millions)]]-Table3[[#This Row],[Total Stream]]</f>
        <v>-2.1000000000003638</v>
      </c>
      <c r="S254" s="8">
        <f>IFERROR(Table3[[#This Row],[Collaborative Streams (in millions)]]/Table3[[#This Row],[Total Stream]],0)</f>
        <v>0.51070307940830695</v>
      </c>
      <c r="T254" t="str">
        <f>IF(Table3[[#This Row],[Total Streams (in millions)]]&gt;=50000,"High Performer",IF(Table3[[#This Row],[Total Streams (in millions)]]&gt;=20000,"Medium Performer","Low Performer"))</f>
        <v>Low Performer</v>
      </c>
    </row>
    <row r="255" spans="1:20" x14ac:dyDescent="0.3">
      <c r="A255" s="11" t="s">
        <v>323</v>
      </c>
      <c r="B255" s="11" t="s">
        <v>20</v>
      </c>
      <c r="C255" s="11" t="s">
        <v>21</v>
      </c>
      <c r="D255" s="11" t="s">
        <v>16</v>
      </c>
      <c r="E255" s="11" t="s">
        <v>22</v>
      </c>
      <c r="F255" s="11" t="s">
        <v>18</v>
      </c>
      <c r="G255" s="12">
        <v>2009</v>
      </c>
      <c r="H255" s="12" t="str">
        <f>IF(Table3[[#This Row],[Debut Year]]&lt;=2000,"1999–2000",
IF(Table3[[#This Row],[Debut Year]]&lt;=2005,"2001–2005",
IF(Table3[[#This Row],[Debut Year]]&lt;=2010,"2006–2010",
IF(Table3[[#This Row],[Debut Year]]&lt;=2015,"2011–2015",
IF(Table3[[#This Row],[Debut Year]]&lt;=2020,"2016–2020",
"2021–2025")))))</f>
        <v>2006–2010</v>
      </c>
      <c r="I255" s="12">
        <v>11817.1</v>
      </c>
      <c r="J255" s="12">
        <v>9731.6</v>
      </c>
      <c r="K255" s="12">
        <v>2088</v>
      </c>
      <c r="L255" s="4">
        <v>7684.3</v>
      </c>
      <c r="M255" s="6">
        <f>Table2[[#This Row],[% of Solo Streams]]/100</f>
        <v>0.65026952469999999</v>
      </c>
      <c r="N255" s="3">
        <v>4132.8</v>
      </c>
      <c r="O255" s="6">
        <f>Table2[[#This Row],[% of Collaborative Streams]]/100</f>
        <v>0.34973047530000001</v>
      </c>
      <c r="P255" s="4">
        <f>Table3[[#This Row],[Lead Streams (in millions)]]+Table3[[#This Row],[Feature Streams (in millions)]]</f>
        <v>11819.6</v>
      </c>
      <c r="Q255" s="4">
        <f>_xlfn.RANK.EQ(Table3[[#This Row],[Total Stream]],Table3[Total Stream],0)</f>
        <v>254</v>
      </c>
      <c r="R255" s="4">
        <f>Table3[[#This Row],[Total Streams (in millions)]]-Table3[[#This Row],[Total Stream]]</f>
        <v>-2.5</v>
      </c>
      <c r="S255" s="8">
        <f>IFERROR(Table3[[#This Row],[Collaborative Streams (in millions)]]/Table3[[#This Row],[Total Stream]],0)</f>
        <v>0.34965650275813059</v>
      </c>
      <c r="T255" t="str">
        <f>IF(Table3[[#This Row],[Total Streams (in millions)]]&gt;=50000,"High Performer",IF(Table3[[#This Row],[Total Streams (in millions)]]&gt;=20000,"Medium Performer","Low Performer"))</f>
        <v>Low Performer</v>
      </c>
    </row>
    <row r="256" spans="1:20" x14ac:dyDescent="0.3">
      <c r="A256" s="9" t="s">
        <v>324</v>
      </c>
      <c r="B256" s="9" t="s">
        <v>14</v>
      </c>
      <c r="C256" s="9" t="s">
        <v>21</v>
      </c>
      <c r="D256" s="9" t="s">
        <v>16</v>
      </c>
      <c r="E256" s="9" t="s">
        <v>17</v>
      </c>
      <c r="F256" s="9" t="s">
        <v>18</v>
      </c>
      <c r="G256" s="10">
        <v>2017</v>
      </c>
      <c r="H256" s="10" t="str">
        <f>IF(Table3[[#This Row],[Debut Year]]&lt;=2000,"1999–2000",
IF(Table3[[#This Row],[Debut Year]]&lt;=2005,"2001–2005",
IF(Table3[[#This Row],[Debut Year]]&lt;=2010,"2006–2010",
IF(Table3[[#This Row],[Debut Year]]&lt;=2015,"2011–2015",
IF(Table3[[#This Row],[Debut Year]]&lt;=2020,"2016–2020",
"2021–2025")))))</f>
        <v>2016–2020</v>
      </c>
      <c r="I256" s="10">
        <v>11783.3</v>
      </c>
      <c r="J256" s="10">
        <v>10687.5</v>
      </c>
      <c r="K256" s="10">
        <v>1099.4000000000001</v>
      </c>
      <c r="L256" s="4">
        <v>8809.7999999999993</v>
      </c>
      <c r="M256" s="6">
        <f>Table2[[#This Row],[% of Solo Streams]]/100</f>
        <v>0.74765133709999998</v>
      </c>
      <c r="N256" s="3">
        <v>2973.5</v>
      </c>
      <c r="O256" s="6">
        <f>Table2[[#This Row],[% of Collaborative Streams]]/100</f>
        <v>0.25234866290000002</v>
      </c>
      <c r="P256" s="4">
        <f>Table3[[#This Row],[Lead Streams (in millions)]]+Table3[[#This Row],[Feature Streams (in millions)]]</f>
        <v>11786.9</v>
      </c>
      <c r="Q256" s="4">
        <f>_xlfn.RANK.EQ(Table3[[#This Row],[Total Stream]],Table3[Total Stream],0)</f>
        <v>255</v>
      </c>
      <c r="R256" s="4">
        <f>Table3[[#This Row],[Total Streams (in millions)]]-Table3[[#This Row],[Total Stream]]</f>
        <v>-3.6000000000003638</v>
      </c>
      <c r="S256" s="8">
        <f>IFERROR(Table3[[#This Row],[Collaborative Streams (in millions)]]/Table3[[#This Row],[Total Stream]],0)</f>
        <v>0.25227158964613255</v>
      </c>
      <c r="T256" t="str">
        <f>IF(Table3[[#This Row],[Total Streams (in millions)]]&gt;=50000,"High Performer",IF(Table3[[#This Row],[Total Streams (in millions)]]&gt;=20000,"Medium Performer","Low Performer"))</f>
        <v>Low Performer</v>
      </c>
    </row>
    <row r="257" spans="1:20" x14ac:dyDescent="0.3">
      <c r="A257" s="11" t="s">
        <v>325</v>
      </c>
      <c r="B257" s="11" t="s">
        <v>20</v>
      </c>
      <c r="C257" s="11" t="s">
        <v>326</v>
      </c>
      <c r="D257" s="11" t="s">
        <v>16</v>
      </c>
      <c r="E257" s="11" t="s">
        <v>22</v>
      </c>
      <c r="F257" s="11" t="s">
        <v>18</v>
      </c>
      <c r="G257" s="12">
        <v>2012</v>
      </c>
      <c r="H257" s="12" t="str">
        <f>IF(Table3[[#This Row],[Debut Year]]&lt;=2000,"1999–2000",
IF(Table3[[#This Row],[Debut Year]]&lt;=2005,"2001–2005",
IF(Table3[[#This Row],[Debut Year]]&lt;=2010,"2006–2010",
IF(Table3[[#This Row],[Debut Year]]&lt;=2015,"2011–2015",
IF(Table3[[#This Row],[Debut Year]]&lt;=2020,"2016–2020",
"2021–2025")))))</f>
        <v>2011–2015</v>
      </c>
      <c r="I257" s="12">
        <v>11721</v>
      </c>
      <c r="J257" s="12">
        <v>11036</v>
      </c>
      <c r="K257" s="12">
        <v>689</v>
      </c>
      <c r="L257" s="4">
        <v>10605.6</v>
      </c>
      <c r="M257" s="6">
        <f>Table2[[#This Row],[% of Solo Streams]]/100</f>
        <v>0.90483747120000002</v>
      </c>
      <c r="N257" s="3">
        <v>1115.4000000000001</v>
      </c>
      <c r="O257" s="6">
        <f>Table2[[#This Row],[% of Collaborative Streams]]/100</f>
        <v>9.5162528789999992E-2</v>
      </c>
      <c r="P257" s="4">
        <f>Table3[[#This Row],[Lead Streams (in millions)]]+Table3[[#This Row],[Feature Streams (in millions)]]</f>
        <v>11725</v>
      </c>
      <c r="Q257" s="4">
        <f>_xlfn.RANK.EQ(Table3[[#This Row],[Total Stream]],Table3[Total Stream],0)</f>
        <v>256</v>
      </c>
      <c r="R257" s="4">
        <f>Table3[[#This Row],[Total Streams (in millions)]]-Table3[[#This Row],[Total Stream]]</f>
        <v>-4</v>
      </c>
      <c r="S257" s="8">
        <f>IFERROR(Table3[[#This Row],[Collaborative Streams (in millions)]]/Table3[[#This Row],[Total Stream]],0)</f>
        <v>9.5130063965884873E-2</v>
      </c>
      <c r="T257" t="str">
        <f>IF(Table3[[#This Row],[Total Streams (in millions)]]&gt;=50000,"High Performer",IF(Table3[[#This Row],[Total Streams (in millions)]]&gt;=20000,"Medium Performer","Low Performer"))</f>
        <v>Low Performer</v>
      </c>
    </row>
    <row r="258" spans="1:20" x14ac:dyDescent="0.3">
      <c r="A258" s="9" t="s">
        <v>327</v>
      </c>
      <c r="B258" s="9" t="s">
        <v>14</v>
      </c>
      <c r="C258" s="9" t="s">
        <v>166</v>
      </c>
      <c r="D258" s="9" t="s">
        <v>167</v>
      </c>
      <c r="E258" s="9" t="s">
        <v>17</v>
      </c>
      <c r="F258" s="9" t="s">
        <v>18</v>
      </c>
      <c r="G258" s="10">
        <v>2019</v>
      </c>
      <c r="H258" s="10" t="str">
        <f>IF(Table3[[#This Row],[Debut Year]]&lt;=2000,"1999–2000",
IF(Table3[[#This Row],[Debut Year]]&lt;=2005,"2001–2005",
IF(Table3[[#This Row],[Debut Year]]&lt;=2010,"2006–2010",
IF(Table3[[#This Row],[Debut Year]]&lt;=2015,"2011–2015",
IF(Table3[[#This Row],[Debut Year]]&lt;=2020,"2016–2020",
"2021–2025")))))</f>
        <v>2016–2020</v>
      </c>
      <c r="I258" s="10">
        <v>11715.1</v>
      </c>
      <c r="J258" s="10">
        <v>1404.1</v>
      </c>
      <c r="K258" s="10">
        <v>10305.200000000001</v>
      </c>
      <c r="L258" s="4">
        <v>7.7</v>
      </c>
      <c r="M258" s="6">
        <f>Table2[[#This Row],[% of Solo Streams]]/100</f>
        <v>6.5727138479999999E-4</v>
      </c>
      <c r="N258" s="3">
        <v>11707.4</v>
      </c>
      <c r="O258" s="6">
        <f>Table2[[#This Row],[% of Collaborative Streams]]/100</f>
        <v>0.99934272859999995</v>
      </c>
      <c r="P258" s="4">
        <f>Table3[[#This Row],[Lead Streams (in millions)]]+Table3[[#This Row],[Feature Streams (in millions)]]</f>
        <v>11709.300000000001</v>
      </c>
      <c r="Q258" s="4">
        <f>_xlfn.RANK.EQ(Table3[[#This Row],[Total Stream]],Table3[Total Stream],0)</f>
        <v>257</v>
      </c>
      <c r="R258" s="4">
        <f>Table3[[#This Row],[Total Streams (in millions)]]-Table3[[#This Row],[Total Stream]]</f>
        <v>5.7999999999992724</v>
      </c>
      <c r="S258" s="8">
        <f>IFERROR(Table3[[#This Row],[Collaborative Streams (in millions)]]/Table3[[#This Row],[Total Stream]],0)</f>
        <v>0.99983773581682922</v>
      </c>
      <c r="T258" t="str">
        <f>IF(Table3[[#This Row],[Total Streams (in millions)]]&gt;=50000,"High Performer",IF(Table3[[#This Row],[Total Streams (in millions)]]&gt;=20000,"Medium Performer","Low Performer"))</f>
        <v>Low Performer</v>
      </c>
    </row>
    <row r="259" spans="1:20" x14ac:dyDescent="0.3">
      <c r="A259" s="11" t="s">
        <v>328</v>
      </c>
      <c r="B259" s="11" t="s">
        <v>14</v>
      </c>
      <c r="C259" s="11" t="s">
        <v>21</v>
      </c>
      <c r="D259" s="11" t="s">
        <v>16</v>
      </c>
      <c r="E259" s="11" t="s">
        <v>98</v>
      </c>
      <c r="F259" s="11" t="s">
        <v>18</v>
      </c>
      <c r="G259" s="12">
        <v>2015</v>
      </c>
      <c r="H259" s="12" t="str">
        <f>IF(Table3[[#This Row],[Debut Year]]&lt;=2000,"1999–2000",
IF(Table3[[#This Row],[Debut Year]]&lt;=2005,"2001–2005",
IF(Table3[[#This Row],[Debut Year]]&lt;=2010,"2006–2010",
IF(Table3[[#This Row],[Debut Year]]&lt;=2015,"2011–2015",
IF(Table3[[#This Row],[Debut Year]]&lt;=2020,"2016–2020",
"2021–2025")))))</f>
        <v>2011–2015</v>
      </c>
      <c r="I259" s="12">
        <v>11678.7</v>
      </c>
      <c r="J259" s="12">
        <v>9802.2000000000007</v>
      </c>
      <c r="K259" s="12">
        <v>1883.1</v>
      </c>
      <c r="L259" s="4">
        <v>9721.7999999999993</v>
      </c>
      <c r="M259" s="6">
        <f>Table2[[#This Row],[% of Solo Streams]]/100</f>
        <v>0.832438542</v>
      </c>
      <c r="N259" s="3">
        <v>1956.9</v>
      </c>
      <c r="O259" s="6">
        <f>Table2[[#This Row],[% of Collaborative Streams]]/100</f>
        <v>0.167561458</v>
      </c>
      <c r="P259" s="4">
        <f>Table3[[#This Row],[Lead Streams (in millions)]]+Table3[[#This Row],[Feature Streams (in millions)]]</f>
        <v>11685.300000000001</v>
      </c>
      <c r="Q259" s="4">
        <f>_xlfn.RANK.EQ(Table3[[#This Row],[Total Stream]],Table3[Total Stream],0)</f>
        <v>258</v>
      </c>
      <c r="R259" s="4">
        <f>Table3[[#This Row],[Total Streams (in millions)]]-Table3[[#This Row],[Total Stream]]</f>
        <v>-6.6000000000003638</v>
      </c>
      <c r="S259" s="8">
        <f>IFERROR(Table3[[#This Row],[Collaborative Streams (in millions)]]/Table3[[#This Row],[Total Stream]],0)</f>
        <v>0.1674668172832533</v>
      </c>
      <c r="T259" t="str">
        <f>IF(Table3[[#This Row],[Total Streams (in millions)]]&gt;=50000,"High Performer",IF(Table3[[#This Row],[Total Streams (in millions)]]&gt;=20000,"Medium Performer","Low Performer"))</f>
        <v>Low Performer</v>
      </c>
    </row>
    <row r="260" spans="1:20" x14ac:dyDescent="0.3">
      <c r="A260" s="9" t="s">
        <v>329</v>
      </c>
      <c r="B260" s="9" t="s">
        <v>14</v>
      </c>
      <c r="C260" s="9" t="s">
        <v>330</v>
      </c>
      <c r="D260" s="9" t="s">
        <v>16</v>
      </c>
      <c r="E260" s="9" t="s">
        <v>17</v>
      </c>
      <c r="F260" s="9" t="s">
        <v>18</v>
      </c>
      <c r="G260" s="10">
        <v>2002</v>
      </c>
      <c r="H260" s="10" t="str">
        <f>IF(Table3[[#This Row],[Debut Year]]&lt;=2000,"1999–2000",
IF(Table3[[#This Row],[Debut Year]]&lt;=2005,"2001–2005",
IF(Table3[[#This Row],[Debut Year]]&lt;=2010,"2006–2010",
IF(Table3[[#This Row],[Debut Year]]&lt;=2015,"2011–2015",
IF(Table3[[#This Row],[Debut Year]]&lt;=2020,"2016–2020",
"2021–2025")))))</f>
        <v>2001–2005</v>
      </c>
      <c r="I260" s="10">
        <v>11640.6</v>
      </c>
      <c r="J260" s="10">
        <v>6067.8</v>
      </c>
      <c r="K260" s="10">
        <v>5576.2</v>
      </c>
      <c r="L260" s="4">
        <v>325.2</v>
      </c>
      <c r="M260" s="6">
        <f>Table2[[#This Row],[% of Solo Streams]]/100</f>
        <v>2.7936704289999999E-2</v>
      </c>
      <c r="N260" s="3">
        <v>11315.4</v>
      </c>
      <c r="O260" s="6">
        <f>Table2[[#This Row],[% of Collaborative Streams]]/100</f>
        <v>0.97206329569999994</v>
      </c>
      <c r="P260" s="4">
        <f>Table3[[#This Row],[Lead Streams (in millions)]]+Table3[[#This Row],[Feature Streams (in millions)]]</f>
        <v>11644</v>
      </c>
      <c r="Q260" s="4">
        <f>_xlfn.RANK.EQ(Table3[[#This Row],[Total Stream]],Table3[Total Stream],0)</f>
        <v>259</v>
      </c>
      <c r="R260" s="4">
        <f>Table3[[#This Row],[Total Streams (in millions)]]-Table3[[#This Row],[Total Stream]]</f>
        <v>-3.3999999999996362</v>
      </c>
      <c r="S260" s="8">
        <f>IFERROR(Table3[[#This Row],[Collaborative Streams (in millions)]]/Table3[[#This Row],[Total Stream]],0)</f>
        <v>0.97177945723119197</v>
      </c>
      <c r="T260" t="str">
        <f>IF(Table3[[#This Row],[Total Streams (in millions)]]&gt;=50000,"High Performer",IF(Table3[[#This Row],[Total Streams (in millions)]]&gt;=20000,"Medium Performer","Low Performer"))</f>
        <v>Low Performer</v>
      </c>
    </row>
    <row r="261" spans="1:20" x14ac:dyDescent="0.3">
      <c r="A261" s="11" t="s">
        <v>331</v>
      </c>
      <c r="B261" s="11" t="s">
        <v>20</v>
      </c>
      <c r="C261" s="11" t="s">
        <v>21</v>
      </c>
      <c r="D261" s="11" t="s">
        <v>16</v>
      </c>
      <c r="E261" s="11" t="s">
        <v>22</v>
      </c>
      <c r="F261" s="11" t="s">
        <v>18</v>
      </c>
      <c r="G261" s="12">
        <v>2014</v>
      </c>
      <c r="H261" s="12" t="str">
        <f>IF(Table3[[#This Row],[Debut Year]]&lt;=2000,"1999–2000",
IF(Table3[[#This Row],[Debut Year]]&lt;=2005,"2001–2005",
IF(Table3[[#This Row],[Debut Year]]&lt;=2010,"2006–2010",
IF(Table3[[#This Row],[Debut Year]]&lt;=2015,"2011–2015",
IF(Table3[[#This Row],[Debut Year]]&lt;=2020,"2016–2020",
"2021–2025")))))</f>
        <v>2011–2015</v>
      </c>
      <c r="I261" s="12">
        <v>11632.9</v>
      </c>
      <c r="J261" s="12">
        <v>11637.4</v>
      </c>
      <c r="K261" s="12">
        <v>0</v>
      </c>
      <c r="L261" s="4">
        <v>11489.7</v>
      </c>
      <c r="M261" s="6">
        <f>Table2[[#This Row],[% of Solo Streams]]/100</f>
        <v>0.98769008589999996</v>
      </c>
      <c r="N261" s="3">
        <v>143.19999999999999</v>
      </c>
      <c r="O261" s="6">
        <f>Table2[[#This Row],[% of Collaborative Streams]]/100</f>
        <v>1.2309914120000001E-2</v>
      </c>
      <c r="P261" s="4">
        <f>Table3[[#This Row],[Lead Streams (in millions)]]+Table3[[#This Row],[Feature Streams (in millions)]]</f>
        <v>11637.4</v>
      </c>
      <c r="Q261" s="4">
        <f>_xlfn.RANK.EQ(Table3[[#This Row],[Total Stream]],Table3[Total Stream],0)</f>
        <v>260</v>
      </c>
      <c r="R261" s="4">
        <f>Table3[[#This Row],[Total Streams (in millions)]]-Table3[[#This Row],[Total Stream]]</f>
        <v>-4.5</v>
      </c>
      <c r="S261" s="8">
        <f>IFERROR(Table3[[#This Row],[Collaborative Streams (in millions)]]/Table3[[#This Row],[Total Stream]],0)</f>
        <v>1.2305154072215442E-2</v>
      </c>
      <c r="T261" t="str">
        <f>IF(Table3[[#This Row],[Total Streams (in millions)]]&gt;=50000,"High Performer",IF(Table3[[#This Row],[Total Streams (in millions)]]&gt;=20000,"Medium Performer","Low Performer"))</f>
        <v>Low Performer</v>
      </c>
    </row>
    <row r="262" spans="1:20" x14ac:dyDescent="0.3">
      <c r="A262" s="9" t="s">
        <v>332</v>
      </c>
      <c r="B262" s="9" t="s">
        <v>14</v>
      </c>
      <c r="C262" s="9" t="s">
        <v>21</v>
      </c>
      <c r="D262" s="9" t="s">
        <v>16</v>
      </c>
      <c r="E262" s="9" t="s">
        <v>51</v>
      </c>
      <c r="F262" s="9" t="s">
        <v>18</v>
      </c>
      <c r="G262" s="10">
        <v>1954</v>
      </c>
      <c r="H262" s="10" t="str">
        <f>IF(Table3[[#This Row],[Debut Year]]&lt;=2000,"1999–2000",
IF(Table3[[#This Row],[Debut Year]]&lt;=2005,"2001–2005",
IF(Table3[[#This Row],[Debut Year]]&lt;=2010,"2006–2010",
IF(Table3[[#This Row],[Debut Year]]&lt;=2015,"2011–2015",
IF(Table3[[#This Row],[Debut Year]]&lt;=2020,"2016–2020",
"2021–2025")))))</f>
        <v>1999–2000</v>
      </c>
      <c r="I262" s="10">
        <v>11588.8</v>
      </c>
      <c r="J262" s="10">
        <v>11545</v>
      </c>
      <c r="K262" s="10">
        <v>47.3</v>
      </c>
      <c r="L262" s="4">
        <v>10653.5</v>
      </c>
      <c r="M262" s="6">
        <f>Table2[[#This Row],[% of Solo Streams]]/100</f>
        <v>0.91929276540000004</v>
      </c>
      <c r="N262" s="3">
        <v>935.3</v>
      </c>
      <c r="O262" s="6">
        <f>Table2[[#This Row],[% of Collaborative Streams]]/100</f>
        <v>8.0707234569999994E-2</v>
      </c>
      <c r="P262" s="4">
        <f>Table3[[#This Row],[Lead Streams (in millions)]]+Table3[[#This Row],[Feature Streams (in millions)]]</f>
        <v>11592.3</v>
      </c>
      <c r="Q262" s="4">
        <f>_xlfn.RANK.EQ(Table3[[#This Row],[Total Stream]],Table3[Total Stream],0)</f>
        <v>261</v>
      </c>
      <c r="R262" s="4">
        <f>Table3[[#This Row],[Total Streams (in millions)]]-Table3[[#This Row],[Total Stream]]</f>
        <v>-3.5</v>
      </c>
      <c r="S262" s="8">
        <f>IFERROR(Table3[[#This Row],[Collaborative Streams (in millions)]]/Table3[[#This Row],[Total Stream]],0)</f>
        <v>8.0682867075558773E-2</v>
      </c>
      <c r="T262" t="str">
        <f>IF(Table3[[#This Row],[Total Streams (in millions)]]&gt;=50000,"High Performer",IF(Table3[[#This Row],[Total Streams (in millions)]]&gt;=20000,"Medium Performer","Low Performer"))</f>
        <v>Low Performer</v>
      </c>
    </row>
    <row r="263" spans="1:20" x14ac:dyDescent="0.3">
      <c r="A263" s="11" t="s">
        <v>333</v>
      </c>
      <c r="B263" s="11" t="s">
        <v>14</v>
      </c>
      <c r="C263" s="11" t="s">
        <v>21</v>
      </c>
      <c r="D263" s="11" t="s">
        <v>16</v>
      </c>
      <c r="E263" s="11" t="s">
        <v>17</v>
      </c>
      <c r="F263" s="11" t="s">
        <v>18</v>
      </c>
      <c r="G263" s="12">
        <v>2006</v>
      </c>
      <c r="H263" s="12" t="str">
        <f>IF(Table3[[#This Row],[Debut Year]]&lt;=2000,"1999–2000",
IF(Table3[[#This Row],[Debut Year]]&lt;=2005,"2001–2005",
IF(Table3[[#This Row],[Debut Year]]&lt;=2010,"2006–2010",
IF(Table3[[#This Row],[Debut Year]]&lt;=2015,"2011–2015",
IF(Table3[[#This Row],[Debut Year]]&lt;=2020,"2016–2020",
"2021–2025")))))</f>
        <v>2006–2010</v>
      </c>
      <c r="I263" s="12">
        <v>11575.2</v>
      </c>
      <c r="J263" s="12">
        <v>3209.4</v>
      </c>
      <c r="K263" s="12">
        <v>8365.7999999999993</v>
      </c>
      <c r="L263" s="4">
        <v>747.3</v>
      </c>
      <c r="M263" s="6">
        <f>Table2[[#This Row],[% of Solo Streams]]/100</f>
        <v>6.4560439560000002E-2</v>
      </c>
      <c r="N263" s="3">
        <v>10827.9</v>
      </c>
      <c r="O263" s="6">
        <f>Table2[[#This Row],[% of Collaborative Streams]]/100</f>
        <v>0.93543956039999998</v>
      </c>
      <c r="P263" s="4">
        <f>Table3[[#This Row],[Lead Streams (in millions)]]+Table3[[#This Row],[Feature Streams (in millions)]]</f>
        <v>11575.199999999999</v>
      </c>
      <c r="Q263" s="4">
        <f>_xlfn.RANK.EQ(Table3[[#This Row],[Total Stream]],Table3[Total Stream],0)</f>
        <v>262</v>
      </c>
      <c r="R263" s="4">
        <f>Table3[[#This Row],[Total Streams (in millions)]]-Table3[[#This Row],[Total Stream]]</f>
        <v>0</v>
      </c>
      <c r="S263" s="8">
        <f>IFERROR(Table3[[#This Row],[Collaborative Streams (in millions)]]/Table3[[#This Row],[Total Stream]],0)</f>
        <v>0.93543956043956045</v>
      </c>
      <c r="T263" t="str">
        <f>IF(Table3[[#This Row],[Total Streams (in millions)]]&gt;=50000,"High Performer",IF(Table3[[#This Row],[Total Streams (in millions)]]&gt;=20000,"Medium Performer","Low Performer"))</f>
        <v>Low Performer</v>
      </c>
    </row>
    <row r="264" spans="1:20" x14ac:dyDescent="0.3">
      <c r="A264" s="9" t="s">
        <v>334</v>
      </c>
      <c r="B264" s="9" t="s">
        <v>14</v>
      </c>
      <c r="C264" s="9" t="s">
        <v>335</v>
      </c>
      <c r="D264" s="9" t="s">
        <v>24</v>
      </c>
      <c r="E264" s="9" t="s">
        <v>25</v>
      </c>
      <c r="F264" s="9" t="s">
        <v>18</v>
      </c>
      <c r="G264" s="10">
        <v>2019</v>
      </c>
      <c r="H264" s="10" t="str">
        <f>IF(Table3[[#This Row],[Debut Year]]&lt;=2000,"1999–2000",
IF(Table3[[#This Row],[Debut Year]]&lt;=2005,"2001–2005",
IF(Table3[[#This Row],[Debut Year]]&lt;=2010,"2006–2010",
IF(Table3[[#This Row],[Debut Year]]&lt;=2015,"2011–2015",
IF(Table3[[#This Row],[Debut Year]]&lt;=2020,"2016–2020",
"2021–2025")))))</f>
        <v>2016–2020</v>
      </c>
      <c r="I264" s="10">
        <v>11566.2</v>
      </c>
      <c r="J264" s="10">
        <v>7224.2</v>
      </c>
      <c r="K264" s="10">
        <v>4349.3999999999996</v>
      </c>
      <c r="L264" s="4">
        <v>4663</v>
      </c>
      <c r="M264" s="6">
        <f>Table2[[#This Row],[% of Solo Streams]]/100</f>
        <v>0.40315747610000002</v>
      </c>
      <c r="N264" s="3">
        <v>6903.2</v>
      </c>
      <c r="O264" s="6">
        <f>Table2[[#This Row],[% of Collaborative Streams]]/100</f>
        <v>0.59684252389999992</v>
      </c>
      <c r="P264" s="4">
        <f>Table3[[#This Row],[Lead Streams (in millions)]]+Table3[[#This Row],[Feature Streams (in millions)]]</f>
        <v>11573.599999999999</v>
      </c>
      <c r="Q264" s="4">
        <f>_xlfn.RANK.EQ(Table3[[#This Row],[Total Stream]],Table3[Total Stream],0)</f>
        <v>263</v>
      </c>
      <c r="R264" s="4">
        <f>Table3[[#This Row],[Total Streams (in millions)]]-Table3[[#This Row],[Total Stream]]</f>
        <v>-7.3999999999978172</v>
      </c>
      <c r="S264" s="8">
        <f>IFERROR(Table3[[#This Row],[Collaborative Streams (in millions)]]/Table3[[#This Row],[Total Stream]],0)</f>
        <v>0.59646091103891619</v>
      </c>
      <c r="T264" t="str">
        <f>IF(Table3[[#This Row],[Total Streams (in millions)]]&gt;=50000,"High Performer",IF(Table3[[#This Row],[Total Streams (in millions)]]&gt;=20000,"Medium Performer","Low Performer"))</f>
        <v>Low Performer</v>
      </c>
    </row>
    <row r="265" spans="1:20" x14ac:dyDescent="0.3">
      <c r="A265" s="11" t="s">
        <v>336</v>
      </c>
      <c r="B265" s="11" t="s">
        <v>14</v>
      </c>
      <c r="C265" s="11" t="s">
        <v>337</v>
      </c>
      <c r="D265" s="11" t="s">
        <v>16</v>
      </c>
      <c r="E265" s="11" t="s">
        <v>60</v>
      </c>
      <c r="F265" s="11" t="s">
        <v>18</v>
      </c>
      <c r="G265" s="12">
        <v>2010</v>
      </c>
      <c r="H265" s="12" t="str">
        <f>IF(Table3[[#This Row],[Debut Year]]&lt;=2000,"1999–2000",
IF(Table3[[#This Row],[Debut Year]]&lt;=2005,"2001–2005",
IF(Table3[[#This Row],[Debut Year]]&lt;=2010,"2006–2010",
IF(Table3[[#This Row],[Debut Year]]&lt;=2015,"2011–2015",
IF(Table3[[#This Row],[Debut Year]]&lt;=2020,"2016–2020",
"2021–2025")))))</f>
        <v>2006–2010</v>
      </c>
      <c r="I265" s="12">
        <v>11481.4</v>
      </c>
      <c r="J265" s="12">
        <v>11486.5</v>
      </c>
      <c r="K265" s="12">
        <v>0</v>
      </c>
      <c r="L265" s="4">
        <v>235.7</v>
      </c>
      <c r="M265" s="6">
        <f>Table2[[#This Row],[% of Solo Streams]]/100</f>
        <v>2.0528855369999998E-2</v>
      </c>
      <c r="N265" s="3">
        <v>11245.7</v>
      </c>
      <c r="O265" s="6">
        <f>Table2[[#This Row],[% of Collaborative Streams]]/100</f>
        <v>0.97947114459999995</v>
      </c>
      <c r="P265" s="4">
        <f>Table3[[#This Row],[Lead Streams (in millions)]]+Table3[[#This Row],[Feature Streams (in millions)]]</f>
        <v>11486.5</v>
      </c>
      <c r="Q265" s="4">
        <f>_xlfn.RANK.EQ(Table3[[#This Row],[Total Stream]],Table3[Total Stream],0)</f>
        <v>264</v>
      </c>
      <c r="R265" s="4">
        <f>Table3[[#This Row],[Total Streams (in millions)]]-Table3[[#This Row],[Total Stream]]</f>
        <v>-5.1000000000003638</v>
      </c>
      <c r="S265" s="8">
        <f>IFERROR(Table3[[#This Row],[Collaborative Streams (in millions)]]/Table3[[#This Row],[Total Stream]],0)</f>
        <v>0.97903625995734134</v>
      </c>
      <c r="T265" t="str">
        <f>IF(Table3[[#This Row],[Total Streams (in millions)]]&gt;=50000,"High Performer",IF(Table3[[#This Row],[Total Streams (in millions)]]&gt;=20000,"Medium Performer","Low Performer"))</f>
        <v>Low Performer</v>
      </c>
    </row>
    <row r="266" spans="1:20" x14ac:dyDescent="0.3">
      <c r="A266" s="9" t="s">
        <v>338</v>
      </c>
      <c r="B266" s="9" t="s">
        <v>78</v>
      </c>
      <c r="C266" s="9" t="s">
        <v>21</v>
      </c>
      <c r="D266" s="9" t="s">
        <v>16</v>
      </c>
      <c r="E266" s="9" t="s">
        <v>51</v>
      </c>
      <c r="F266" s="9" t="s">
        <v>48</v>
      </c>
      <c r="G266" s="10">
        <v>2005</v>
      </c>
      <c r="H266" s="10" t="str">
        <f>IF(Table3[[#This Row],[Debut Year]]&lt;=2000,"1999–2000",
IF(Table3[[#This Row],[Debut Year]]&lt;=2005,"2001–2005",
IF(Table3[[#This Row],[Debut Year]]&lt;=2010,"2006–2010",
IF(Table3[[#This Row],[Debut Year]]&lt;=2015,"2011–2015",
IF(Table3[[#This Row],[Debut Year]]&lt;=2020,"2016–2020",
"2021–2025")))))</f>
        <v>2001–2005</v>
      </c>
      <c r="I266" s="10">
        <v>11480.4</v>
      </c>
      <c r="J266" s="10">
        <v>8241.1</v>
      </c>
      <c r="K266" s="10">
        <v>3243.6</v>
      </c>
      <c r="L266" s="4">
        <v>11420.3</v>
      </c>
      <c r="M266" s="6">
        <f>Table2[[#This Row],[% of Solo Streams]]/100</f>
        <v>0.99476499079999992</v>
      </c>
      <c r="N266" s="3">
        <v>60.1</v>
      </c>
      <c r="O266" s="6">
        <f>Table2[[#This Row],[% of Collaborative Streams]]/100</f>
        <v>5.235009233E-3</v>
      </c>
      <c r="P266" s="4">
        <f>Table3[[#This Row],[Lead Streams (in millions)]]+Table3[[#This Row],[Feature Streams (in millions)]]</f>
        <v>11484.7</v>
      </c>
      <c r="Q266" s="4">
        <f>_xlfn.RANK.EQ(Table3[[#This Row],[Total Stream]],Table3[Total Stream],0)</f>
        <v>265</v>
      </c>
      <c r="R266" s="4">
        <f>Table3[[#This Row],[Total Streams (in millions)]]-Table3[[#This Row],[Total Stream]]</f>
        <v>-4.3000000000010914</v>
      </c>
      <c r="S266" s="8">
        <f>IFERROR(Table3[[#This Row],[Collaborative Streams (in millions)]]/Table3[[#This Row],[Total Stream]],0)</f>
        <v>5.2330491871794647E-3</v>
      </c>
      <c r="T266" t="str">
        <f>IF(Table3[[#This Row],[Total Streams (in millions)]]&gt;=50000,"High Performer",IF(Table3[[#This Row],[Total Streams (in millions)]]&gt;=20000,"Medium Performer","Low Performer"))</f>
        <v>Low Performer</v>
      </c>
    </row>
    <row r="267" spans="1:20" x14ac:dyDescent="0.3">
      <c r="A267" s="11" t="s">
        <v>339</v>
      </c>
      <c r="B267" s="11" t="s">
        <v>14</v>
      </c>
      <c r="C267" s="11" t="s">
        <v>21</v>
      </c>
      <c r="D267" s="11" t="s">
        <v>16</v>
      </c>
      <c r="E267" s="11" t="s">
        <v>17</v>
      </c>
      <c r="F267" s="11" t="s">
        <v>18</v>
      </c>
      <c r="G267" s="12">
        <v>2012</v>
      </c>
      <c r="H267" s="12" t="str">
        <f>IF(Table3[[#This Row],[Debut Year]]&lt;=2000,"1999–2000",
IF(Table3[[#This Row],[Debut Year]]&lt;=2005,"2001–2005",
IF(Table3[[#This Row],[Debut Year]]&lt;=2010,"2006–2010",
IF(Table3[[#This Row],[Debut Year]]&lt;=2015,"2011–2015",
IF(Table3[[#This Row],[Debut Year]]&lt;=2020,"2016–2020",
"2021–2025")))))</f>
        <v>2011–2015</v>
      </c>
      <c r="I267" s="12">
        <v>11475.1</v>
      </c>
      <c r="J267" s="12">
        <v>3956.3</v>
      </c>
      <c r="K267" s="12">
        <v>7518.7</v>
      </c>
      <c r="L267" s="4">
        <v>545.70000000000005</v>
      </c>
      <c r="M267" s="6">
        <f>Table2[[#This Row],[% of Solo Streams]]/100</f>
        <v>4.7555141130000006E-2</v>
      </c>
      <c r="N267" s="3">
        <v>10929.4</v>
      </c>
      <c r="O267" s="6">
        <f>Table2[[#This Row],[% of Collaborative Streams]]/100</f>
        <v>0.95244485890000008</v>
      </c>
      <c r="P267" s="4">
        <f>Table3[[#This Row],[Lead Streams (in millions)]]+Table3[[#This Row],[Feature Streams (in millions)]]</f>
        <v>11475</v>
      </c>
      <c r="Q267" s="4">
        <f>_xlfn.RANK.EQ(Table3[[#This Row],[Total Stream]],Table3[Total Stream],0)</f>
        <v>266</v>
      </c>
      <c r="R267" s="4">
        <f>Table3[[#This Row],[Total Streams (in millions)]]-Table3[[#This Row],[Total Stream]]</f>
        <v>0.1000000000003638</v>
      </c>
      <c r="S267" s="8">
        <f>IFERROR(Table3[[#This Row],[Collaborative Streams (in millions)]]/Table3[[#This Row],[Total Stream]],0)</f>
        <v>0.95245315904139427</v>
      </c>
      <c r="T267" t="str">
        <f>IF(Table3[[#This Row],[Total Streams (in millions)]]&gt;=50000,"High Performer",IF(Table3[[#This Row],[Total Streams (in millions)]]&gt;=20000,"Medium Performer","Low Performer"))</f>
        <v>Low Performer</v>
      </c>
    </row>
    <row r="268" spans="1:20" x14ac:dyDescent="0.3">
      <c r="A268" s="9" t="s">
        <v>340</v>
      </c>
      <c r="B268" s="9" t="s">
        <v>14</v>
      </c>
      <c r="C268" s="9" t="s">
        <v>59</v>
      </c>
      <c r="D268" s="9" t="s">
        <v>257</v>
      </c>
      <c r="E268" s="9" t="s">
        <v>17</v>
      </c>
      <c r="F268" s="9" t="s">
        <v>18</v>
      </c>
      <c r="G268" s="10">
        <v>2017</v>
      </c>
      <c r="H268" s="10" t="str">
        <f>IF(Table3[[#This Row],[Debut Year]]&lt;=2000,"1999–2000",
IF(Table3[[#This Row],[Debut Year]]&lt;=2005,"2001–2005",
IF(Table3[[#This Row],[Debut Year]]&lt;=2010,"2006–2010",
IF(Table3[[#This Row],[Debut Year]]&lt;=2015,"2011–2015",
IF(Table3[[#This Row],[Debut Year]]&lt;=2020,"2016–2020",
"2021–2025")))))</f>
        <v>2016–2020</v>
      </c>
      <c r="I268" s="10">
        <v>11459.5</v>
      </c>
      <c r="J268" s="10">
        <v>7069.7</v>
      </c>
      <c r="K268" s="10">
        <v>4399.6000000000004</v>
      </c>
      <c r="L268" s="4">
        <v>5201.3999999999996</v>
      </c>
      <c r="M268" s="6">
        <f>Table2[[#This Row],[% of Solo Streams]]/100</f>
        <v>0.45389414899999997</v>
      </c>
      <c r="N268" s="3">
        <v>6258.1</v>
      </c>
      <c r="O268" s="6">
        <f>Table2[[#This Row],[% of Collaborative Streams]]/100</f>
        <v>0.54610585099999998</v>
      </c>
      <c r="P268" s="4">
        <f>Table3[[#This Row],[Lead Streams (in millions)]]+Table3[[#This Row],[Feature Streams (in millions)]]</f>
        <v>11469.3</v>
      </c>
      <c r="Q268" s="4">
        <f>_xlfn.RANK.EQ(Table3[[#This Row],[Total Stream]],Table3[Total Stream],0)</f>
        <v>267</v>
      </c>
      <c r="R268" s="4">
        <f>Table3[[#This Row],[Total Streams (in millions)]]-Table3[[#This Row],[Total Stream]]</f>
        <v>-9.7999999999992724</v>
      </c>
      <c r="S268" s="8">
        <f>IFERROR(Table3[[#This Row],[Collaborative Streams (in millions)]]/Table3[[#This Row],[Total Stream]],0)</f>
        <v>0.54563922820050048</v>
      </c>
      <c r="T268" t="str">
        <f>IF(Table3[[#This Row],[Total Streams (in millions)]]&gt;=50000,"High Performer",IF(Table3[[#This Row],[Total Streams (in millions)]]&gt;=20000,"Medium Performer","Low Performer"))</f>
        <v>Low Performer</v>
      </c>
    </row>
    <row r="269" spans="1:20" x14ac:dyDescent="0.3">
      <c r="A269" s="11" t="s">
        <v>341</v>
      </c>
      <c r="B269" s="11" t="s">
        <v>14</v>
      </c>
      <c r="C269" s="11" t="s">
        <v>21</v>
      </c>
      <c r="D269" s="11" t="s">
        <v>16</v>
      </c>
      <c r="E269" s="11" t="s">
        <v>27</v>
      </c>
      <c r="F269" s="11" t="s">
        <v>18</v>
      </c>
      <c r="G269" s="12">
        <v>2006</v>
      </c>
      <c r="H269" s="12" t="str">
        <f>IF(Table3[[#This Row],[Debut Year]]&lt;=2000,"1999–2000",
IF(Table3[[#This Row],[Debut Year]]&lt;=2005,"2001–2005",
IF(Table3[[#This Row],[Debut Year]]&lt;=2010,"2006–2010",
IF(Table3[[#This Row],[Debut Year]]&lt;=2015,"2011–2015",
IF(Table3[[#This Row],[Debut Year]]&lt;=2020,"2016–2020",
"2021–2025")))))</f>
        <v>2006–2010</v>
      </c>
      <c r="I269" s="12">
        <v>11428.5</v>
      </c>
      <c r="J269" s="12">
        <v>7562.2</v>
      </c>
      <c r="K269" s="12">
        <v>3868</v>
      </c>
      <c r="L269" s="4">
        <v>6108.9</v>
      </c>
      <c r="M269" s="6">
        <f>Table2[[#This Row],[% of Solo Streams]]/100</f>
        <v>0.53453209079999997</v>
      </c>
      <c r="N269" s="3">
        <v>5319.6</v>
      </c>
      <c r="O269" s="6">
        <f>Table2[[#This Row],[% of Collaborative Streams]]/100</f>
        <v>0.46546790919999997</v>
      </c>
      <c r="P269" s="4">
        <f>Table3[[#This Row],[Lead Streams (in millions)]]+Table3[[#This Row],[Feature Streams (in millions)]]</f>
        <v>11430.2</v>
      </c>
      <c r="Q269" s="4">
        <f>_xlfn.RANK.EQ(Table3[[#This Row],[Total Stream]],Table3[Total Stream],0)</f>
        <v>268</v>
      </c>
      <c r="R269" s="4">
        <f>Table3[[#This Row],[Total Streams (in millions)]]-Table3[[#This Row],[Total Stream]]</f>
        <v>-1.7000000000007276</v>
      </c>
      <c r="S269" s="8">
        <f>IFERROR(Table3[[#This Row],[Collaborative Streams (in millions)]]/Table3[[#This Row],[Total Stream]],0)</f>
        <v>0.46539868068800194</v>
      </c>
      <c r="T269" t="str">
        <f>IF(Table3[[#This Row],[Total Streams (in millions)]]&gt;=50000,"High Performer",IF(Table3[[#This Row],[Total Streams (in millions)]]&gt;=20000,"Medium Performer","Low Performer"))</f>
        <v>Low Performer</v>
      </c>
    </row>
    <row r="270" spans="1:20" x14ac:dyDescent="0.3">
      <c r="A270" s="9" t="s">
        <v>342</v>
      </c>
      <c r="B270" s="9" t="s">
        <v>14</v>
      </c>
      <c r="C270" s="9" t="s">
        <v>21</v>
      </c>
      <c r="D270" s="9" t="s">
        <v>16</v>
      </c>
      <c r="E270" s="9" t="s">
        <v>51</v>
      </c>
      <c r="F270" s="9" t="s">
        <v>48</v>
      </c>
      <c r="G270" s="10">
        <v>1968</v>
      </c>
      <c r="H270" s="10" t="str">
        <f>IF(Table3[[#This Row],[Debut Year]]&lt;=2000,"1999–2000",
IF(Table3[[#This Row],[Debut Year]]&lt;=2005,"2001–2005",
IF(Table3[[#This Row],[Debut Year]]&lt;=2010,"2006–2010",
IF(Table3[[#This Row],[Debut Year]]&lt;=2015,"2011–2015",
IF(Table3[[#This Row],[Debut Year]]&lt;=2020,"2016–2020",
"2021–2025")))))</f>
        <v>1999–2000</v>
      </c>
      <c r="I270" s="10">
        <v>11314.2</v>
      </c>
      <c r="J270" s="10">
        <v>11274.4</v>
      </c>
      <c r="K270" s="10">
        <v>44.7</v>
      </c>
      <c r="L270" s="4">
        <v>11264.9</v>
      </c>
      <c r="M270" s="6">
        <f>Table2[[#This Row],[% of Solo Streams]]/100</f>
        <v>0.9956426438</v>
      </c>
      <c r="N270" s="3">
        <v>49.3</v>
      </c>
      <c r="O270" s="6">
        <f>Table2[[#This Row],[% of Collaborative Streams]]/100</f>
        <v>4.3573562430000001E-3</v>
      </c>
      <c r="P270" s="4">
        <f>Table3[[#This Row],[Lead Streams (in millions)]]+Table3[[#This Row],[Feature Streams (in millions)]]</f>
        <v>11319.1</v>
      </c>
      <c r="Q270" s="4">
        <f>_xlfn.RANK.EQ(Table3[[#This Row],[Total Stream]],Table3[Total Stream],0)</f>
        <v>269</v>
      </c>
      <c r="R270" s="4">
        <f>Table3[[#This Row],[Total Streams (in millions)]]-Table3[[#This Row],[Total Stream]]</f>
        <v>-4.8999999999996362</v>
      </c>
      <c r="S270" s="8">
        <f>IFERROR(Table3[[#This Row],[Collaborative Streams (in millions)]]/Table3[[#This Row],[Total Stream]],0)</f>
        <v>4.3554699578588398E-3</v>
      </c>
      <c r="T270" t="str">
        <f>IF(Table3[[#This Row],[Total Streams (in millions)]]&gt;=50000,"High Performer",IF(Table3[[#This Row],[Total Streams (in millions)]]&gt;=20000,"Medium Performer","Low Performer"))</f>
        <v>Low Performer</v>
      </c>
    </row>
    <row r="271" spans="1:20" x14ac:dyDescent="0.3">
      <c r="A271" s="11" t="s">
        <v>343</v>
      </c>
      <c r="B271" s="11" t="s">
        <v>14</v>
      </c>
      <c r="C271" s="11" t="s">
        <v>21</v>
      </c>
      <c r="D271" s="11" t="s">
        <v>16</v>
      </c>
      <c r="E271" s="11" t="s">
        <v>27</v>
      </c>
      <c r="F271" s="11" t="s">
        <v>18</v>
      </c>
      <c r="G271" s="12">
        <v>2005</v>
      </c>
      <c r="H271" s="12" t="str">
        <f>IF(Table3[[#This Row],[Debut Year]]&lt;=2000,"1999–2000",
IF(Table3[[#This Row],[Debut Year]]&lt;=2005,"2001–2005",
IF(Table3[[#This Row],[Debut Year]]&lt;=2010,"2006–2010",
IF(Table3[[#This Row],[Debut Year]]&lt;=2015,"2011–2015",
IF(Table3[[#This Row],[Debut Year]]&lt;=2020,"2016–2020",
"2021–2025")))))</f>
        <v>2001–2005</v>
      </c>
      <c r="I271" s="12">
        <v>11238.2</v>
      </c>
      <c r="J271" s="12">
        <v>4609.5</v>
      </c>
      <c r="K271" s="12">
        <v>6628.7</v>
      </c>
      <c r="L271" s="4">
        <v>839.9</v>
      </c>
      <c r="M271" s="6">
        <f>Table2[[#This Row],[% of Solo Streams]]/100</f>
        <v>7.4736167709999995E-2</v>
      </c>
      <c r="N271" s="3">
        <v>10398.299999999999</v>
      </c>
      <c r="O271" s="6">
        <f>Table2[[#This Row],[% of Collaborative Streams]]/100</f>
        <v>0.92526383229999998</v>
      </c>
      <c r="P271" s="4">
        <f>Table3[[#This Row],[Lead Streams (in millions)]]+Table3[[#This Row],[Feature Streams (in millions)]]</f>
        <v>11238.2</v>
      </c>
      <c r="Q271" s="4">
        <f>_xlfn.RANK.EQ(Table3[[#This Row],[Total Stream]],Table3[Total Stream],0)</f>
        <v>270</v>
      </c>
      <c r="R271" s="4">
        <f>Table3[[#This Row],[Total Streams (in millions)]]-Table3[[#This Row],[Total Stream]]</f>
        <v>0</v>
      </c>
      <c r="S271" s="8">
        <f>IFERROR(Table3[[#This Row],[Collaborative Streams (in millions)]]/Table3[[#This Row],[Total Stream]],0)</f>
        <v>0.92526383228630904</v>
      </c>
      <c r="T271" t="str">
        <f>IF(Table3[[#This Row],[Total Streams (in millions)]]&gt;=50000,"High Performer",IF(Table3[[#This Row],[Total Streams (in millions)]]&gt;=20000,"Medium Performer","Low Performer"))</f>
        <v>Low Performer</v>
      </c>
    </row>
    <row r="272" spans="1:20" x14ac:dyDescent="0.3">
      <c r="A272" s="9" t="s">
        <v>344</v>
      </c>
      <c r="B272" s="9" t="s">
        <v>14</v>
      </c>
      <c r="C272" s="9" t="s">
        <v>45</v>
      </c>
      <c r="D272" s="9" t="s">
        <v>46</v>
      </c>
      <c r="E272" s="9" t="s">
        <v>47</v>
      </c>
      <c r="F272" s="9" t="s">
        <v>18</v>
      </c>
      <c r="G272" s="10">
        <v>2013</v>
      </c>
      <c r="H272" s="10" t="str">
        <f>IF(Table3[[#This Row],[Debut Year]]&lt;=2000,"1999–2000",
IF(Table3[[#This Row],[Debut Year]]&lt;=2005,"2001–2005",
IF(Table3[[#This Row],[Debut Year]]&lt;=2010,"2006–2010",
IF(Table3[[#This Row],[Debut Year]]&lt;=2015,"2011–2015",
IF(Table3[[#This Row],[Debut Year]]&lt;=2020,"2016–2020",
"2021–2025")))))</f>
        <v>2011–2015</v>
      </c>
      <c r="I272" s="10">
        <v>11232.6</v>
      </c>
      <c r="J272" s="10">
        <v>9653.7999999999993</v>
      </c>
      <c r="K272" s="10">
        <v>1583.7</v>
      </c>
      <c r="L272" s="4">
        <v>4076.4</v>
      </c>
      <c r="M272" s="6">
        <f>Table2[[#This Row],[% of Solo Streams]]/100</f>
        <v>0.3629079643</v>
      </c>
      <c r="N272" s="3">
        <v>7156.2</v>
      </c>
      <c r="O272" s="6">
        <f>Table2[[#This Row],[% of Collaborative Streams]]/100</f>
        <v>0.63709203569999995</v>
      </c>
      <c r="P272" s="4">
        <f>Table3[[#This Row],[Lead Streams (in millions)]]+Table3[[#This Row],[Feature Streams (in millions)]]</f>
        <v>11237.5</v>
      </c>
      <c r="Q272" s="4">
        <f>_xlfn.RANK.EQ(Table3[[#This Row],[Total Stream]],Table3[Total Stream],0)</f>
        <v>271</v>
      </c>
      <c r="R272" s="4">
        <f>Table3[[#This Row],[Total Streams (in millions)]]-Table3[[#This Row],[Total Stream]]</f>
        <v>-4.8999999999996362</v>
      </c>
      <c r="S272" s="8">
        <f>IFERROR(Table3[[#This Row],[Collaborative Streams (in millions)]]/Table3[[#This Row],[Total Stream]],0)</f>
        <v>0.63681423804226922</v>
      </c>
      <c r="T272" t="str">
        <f>IF(Table3[[#This Row],[Total Streams (in millions)]]&gt;=50000,"High Performer",IF(Table3[[#This Row],[Total Streams (in millions)]]&gt;=20000,"Medium Performer","Low Performer"))</f>
        <v>Low Performer</v>
      </c>
    </row>
    <row r="273" spans="1:20" x14ac:dyDescent="0.3">
      <c r="A273" s="11" t="s">
        <v>345</v>
      </c>
      <c r="B273" s="11" t="s">
        <v>14</v>
      </c>
      <c r="C273" s="11" t="s">
        <v>21</v>
      </c>
      <c r="D273" s="11" t="s">
        <v>16</v>
      </c>
      <c r="E273" s="11" t="s">
        <v>60</v>
      </c>
      <c r="F273" s="11" t="s">
        <v>18</v>
      </c>
      <c r="G273" s="12">
        <v>2010</v>
      </c>
      <c r="H273" s="12" t="str">
        <f>IF(Table3[[#This Row],[Debut Year]]&lt;=2000,"1999–2000",
IF(Table3[[#This Row],[Debut Year]]&lt;=2005,"2001–2005",
IF(Table3[[#This Row],[Debut Year]]&lt;=2010,"2006–2010",
IF(Table3[[#This Row],[Debut Year]]&lt;=2015,"2011–2015",
IF(Table3[[#This Row],[Debut Year]]&lt;=2020,"2016–2020",
"2021–2025")))))</f>
        <v>2006–2010</v>
      </c>
      <c r="I273" s="12">
        <v>11198.8</v>
      </c>
      <c r="J273" s="12">
        <v>5328.3</v>
      </c>
      <c r="K273" s="12">
        <v>5873.2</v>
      </c>
      <c r="L273" s="4">
        <v>961.9</v>
      </c>
      <c r="M273" s="6">
        <f>Table2[[#This Row],[% of Solo Streams]]/100</f>
        <v>8.5893131410000004E-2</v>
      </c>
      <c r="N273" s="3">
        <v>10236.9</v>
      </c>
      <c r="O273" s="6">
        <f>Table2[[#This Row],[% of Collaborative Streams]]/100</f>
        <v>0.91410686860000001</v>
      </c>
      <c r="P273" s="4">
        <f>Table3[[#This Row],[Lead Streams (in millions)]]+Table3[[#This Row],[Feature Streams (in millions)]]</f>
        <v>11201.5</v>
      </c>
      <c r="Q273" s="4">
        <f>_xlfn.RANK.EQ(Table3[[#This Row],[Total Stream]],Table3[Total Stream],0)</f>
        <v>272</v>
      </c>
      <c r="R273" s="4">
        <f>Table3[[#This Row],[Total Streams (in millions)]]-Table3[[#This Row],[Total Stream]]</f>
        <v>-2.7000000000007276</v>
      </c>
      <c r="S273" s="8">
        <f>IFERROR(Table3[[#This Row],[Collaborative Streams (in millions)]]/Table3[[#This Row],[Total Stream]],0)</f>
        <v>0.9138865330536089</v>
      </c>
      <c r="T273" t="str">
        <f>IF(Table3[[#This Row],[Total Streams (in millions)]]&gt;=50000,"High Performer",IF(Table3[[#This Row],[Total Streams (in millions)]]&gt;=20000,"Medium Performer","Low Performer"))</f>
        <v>Low Performer</v>
      </c>
    </row>
    <row r="274" spans="1:20" x14ac:dyDescent="0.3">
      <c r="A274" s="9" t="s">
        <v>346</v>
      </c>
      <c r="B274" s="9" t="s">
        <v>14</v>
      </c>
      <c r="C274" s="9" t="s">
        <v>21</v>
      </c>
      <c r="D274" s="9" t="s">
        <v>16</v>
      </c>
      <c r="E274" s="9" t="s">
        <v>17</v>
      </c>
      <c r="F274" s="9" t="s">
        <v>18</v>
      </c>
      <c r="G274" s="10">
        <v>2006</v>
      </c>
      <c r="H274" s="10" t="str">
        <f>IF(Table3[[#This Row],[Debut Year]]&lt;=2000,"1999–2000",
IF(Table3[[#This Row],[Debut Year]]&lt;=2005,"2001–2005",
IF(Table3[[#This Row],[Debut Year]]&lt;=2010,"2006–2010",
IF(Table3[[#This Row],[Debut Year]]&lt;=2015,"2011–2015",
IF(Table3[[#This Row],[Debut Year]]&lt;=2020,"2016–2020",
"2021–2025")))))</f>
        <v>2006–2010</v>
      </c>
      <c r="I274" s="10">
        <v>11196</v>
      </c>
      <c r="J274" s="10">
        <v>10287.700000000001</v>
      </c>
      <c r="K274" s="10">
        <v>910.9</v>
      </c>
      <c r="L274" s="4">
        <v>656.6</v>
      </c>
      <c r="M274" s="6">
        <f>Table2[[#This Row],[% of Solo Streams]]/100</f>
        <v>5.8645944979999996E-2</v>
      </c>
      <c r="N274" s="3">
        <v>10539.4</v>
      </c>
      <c r="O274" s="6">
        <f>Table2[[#This Row],[% of Collaborative Streams]]/100</f>
        <v>0.94135405500000002</v>
      </c>
      <c r="P274" s="4">
        <f>Table3[[#This Row],[Lead Streams (in millions)]]+Table3[[#This Row],[Feature Streams (in millions)]]</f>
        <v>11198.6</v>
      </c>
      <c r="Q274" s="4">
        <f>_xlfn.RANK.EQ(Table3[[#This Row],[Total Stream]],Table3[Total Stream],0)</f>
        <v>273</v>
      </c>
      <c r="R274" s="4">
        <f>Table3[[#This Row],[Total Streams (in millions)]]-Table3[[#This Row],[Total Stream]]</f>
        <v>-2.6000000000003638</v>
      </c>
      <c r="S274" s="8">
        <f>IFERROR(Table3[[#This Row],[Collaborative Streams (in millions)]]/Table3[[#This Row],[Total Stream]],0)</f>
        <v>0.94113549908024208</v>
      </c>
      <c r="T274" t="str">
        <f>IF(Table3[[#This Row],[Total Streams (in millions)]]&gt;=50000,"High Performer",IF(Table3[[#This Row],[Total Streams (in millions)]]&gt;=20000,"Medium Performer","Low Performer"))</f>
        <v>Low Performer</v>
      </c>
    </row>
    <row r="275" spans="1:20" x14ac:dyDescent="0.3">
      <c r="A275" s="11" t="s">
        <v>347</v>
      </c>
      <c r="B275" s="11" t="s">
        <v>14</v>
      </c>
      <c r="C275" s="11" t="s">
        <v>348</v>
      </c>
      <c r="D275" s="11" t="s">
        <v>16</v>
      </c>
      <c r="E275" s="11" t="s">
        <v>349</v>
      </c>
      <c r="F275" s="11" t="s">
        <v>18</v>
      </c>
      <c r="G275" s="12">
        <v>2011</v>
      </c>
      <c r="H275" s="12" t="str">
        <f>IF(Table3[[#This Row],[Debut Year]]&lt;=2000,"1999–2000",
IF(Table3[[#This Row],[Debut Year]]&lt;=2005,"2001–2005",
IF(Table3[[#This Row],[Debut Year]]&lt;=2010,"2006–2010",
IF(Table3[[#This Row],[Debut Year]]&lt;=2015,"2011–2015",
IF(Table3[[#This Row],[Debut Year]]&lt;=2020,"2016–2020",
"2021–2025")))))</f>
        <v>2011–2015</v>
      </c>
      <c r="I275" s="12">
        <v>11149</v>
      </c>
      <c r="J275" s="12">
        <v>3260</v>
      </c>
      <c r="K275" s="12">
        <v>7882.2</v>
      </c>
      <c r="L275" s="4">
        <v>1292</v>
      </c>
      <c r="M275" s="6">
        <f>Table2[[#This Row],[% of Solo Streams]]/100</f>
        <v>0.1158848327</v>
      </c>
      <c r="N275" s="3">
        <v>9857</v>
      </c>
      <c r="O275" s="6">
        <f>Table2[[#This Row],[% of Collaborative Streams]]/100</f>
        <v>0.88411516730000006</v>
      </c>
      <c r="P275" s="4">
        <f>Table3[[#This Row],[Lead Streams (in millions)]]+Table3[[#This Row],[Feature Streams (in millions)]]</f>
        <v>11142.2</v>
      </c>
      <c r="Q275" s="4">
        <f>_xlfn.RANK.EQ(Table3[[#This Row],[Total Stream]],Table3[Total Stream],0)</f>
        <v>274</v>
      </c>
      <c r="R275" s="4">
        <f>Table3[[#This Row],[Total Streams (in millions)]]-Table3[[#This Row],[Total Stream]]</f>
        <v>6.7999999999992724</v>
      </c>
      <c r="S275" s="8">
        <f>IFERROR(Table3[[#This Row],[Collaborative Streams (in millions)]]/Table3[[#This Row],[Total Stream]],0)</f>
        <v>0.88465473604853617</v>
      </c>
      <c r="T275" t="str">
        <f>IF(Table3[[#This Row],[Total Streams (in millions)]]&gt;=50000,"High Performer",IF(Table3[[#This Row],[Total Streams (in millions)]]&gt;=20000,"Medium Performer","Low Performer"))</f>
        <v>Low Performer</v>
      </c>
    </row>
    <row r="276" spans="1:20" x14ac:dyDescent="0.3">
      <c r="A276" s="9" t="s">
        <v>350</v>
      </c>
      <c r="B276" s="9" t="s">
        <v>14</v>
      </c>
      <c r="C276" s="9" t="s">
        <v>33</v>
      </c>
      <c r="D276" s="9" t="s">
        <v>16</v>
      </c>
      <c r="E276" s="9" t="s">
        <v>51</v>
      </c>
      <c r="F276" s="9" t="s">
        <v>48</v>
      </c>
      <c r="G276" s="10">
        <v>1994</v>
      </c>
      <c r="H276" s="10" t="str">
        <f>IF(Table3[[#This Row],[Debut Year]]&lt;=2000,"1999–2000",
IF(Table3[[#This Row],[Debut Year]]&lt;=2005,"2001–2005",
IF(Table3[[#This Row],[Debut Year]]&lt;=2010,"2006–2010",
IF(Table3[[#This Row],[Debut Year]]&lt;=2015,"2011–2015",
IF(Table3[[#This Row],[Debut Year]]&lt;=2020,"2016–2020",
"2021–2025")))))</f>
        <v>1999–2000</v>
      </c>
      <c r="I276" s="10">
        <v>11063.6</v>
      </c>
      <c r="J276" s="10">
        <v>11073.6</v>
      </c>
      <c r="K276" s="10">
        <v>0</v>
      </c>
      <c r="L276" s="4">
        <v>11061.4</v>
      </c>
      <c r="M276" s="6">
        <f>Table2[[#This Row],[% of Solo Streams]]/100</f>
        <v>0.9998011497</v>
      </c>
      <c r="N276" s="3">
        <v>2.2000000000000002</v>
      </c>
      <c r="O276" s="6">
        <f>Table2[[#This Row],[% of Collaborative Streams]]/100</f>
        <v>1.988502838E-4</v>
      </c>
      <c r="P276" s="4">
        <f>Table3[[#This Row],[Lead Streams (in millions)]]+Table3[[#This Row],[Feature Streams (in millions)]]</f>
        <v>11073.6</v>
      </c>
      <c r="Q276" s="4">
        <f>_xlfn.RANK.EQ(Table3[[#This Row],[Total Stream]],Table3[Total Stream],0)</f>
        <v>275</v>
      </c>
      <c r="R276" s="4">
        <f>Table3[[#This Row],[Total Streams (in millions)]]-Table3[[#This Row],[Total Stream]]</f>
        <v>-10</v>
      </c>
      <c r="S276" s="8">
        <f>IFERROR(Table3[[#This Row],[Collaborative Streams (in millions)]]/Table3[[#This Row],[Total Stream]],0)</f>
        <v>1.9867071232480856E-4</v>
      </c>
      <c r="T276" t="str">
        <f>IF(Table3[[#This Row],[Total Streams (in millions)]]&gt;=50000,"High Performer",IF(Table3[[#This Row],[Total Streams (in millions)]]&gt;=20000,"Medium Performer","Low Performer"))</f>
        <v>Low Performer</v>
      </c>
    </row>
    <row r="277" spans="1:20" x14ac:dyDescent="0.3">
      <c r="A277" s="11" t="s">
        <v>351</v>
      </c>
      <c r="B277" s="11" t="s">
        <v>20</v>
      </c>
      <c r="C277" s="11" t="s">
        <v>21</v>
      </c>
      <c r="D277" s="11" t="s">
        <v>16</v>
      </c>
      <c r="E277" s="11" t="s">
        <v>22</v>
      </c>
      <c r="F277" s="11" t="s">
        <v>18</v>
      </c>
      <c r="G277" s="12">
        <v>1999</v>
      </c>
      <c r="H277" s="12" t="str">
        <f>IF(Table3[[#This Row],[Debut Year]]&lt;=2000,"1999–2000",
IF(Table3[[#This Row],[Debut Year]]&lt;=2005,"2001–2005",
IF(Table3[[#This Row],[Debut Year]]&lt;=2010,"2006–2010",
IF(Table3[[#This Row],[Debut Year]]&lt;=2015,"2011–2015",
IF(Table3[[#This Row],[Debut Year]]&lt;=2020,"2016–2020",
"2021–2025")))))</f>
        <v>1999–2000</v>
      </c>
      <c r="I277" s="12">
        <v>11060.5</v>
      </c>
      <c r="J277" s="12">
        <v>6055.9</v>
      </c>
      <c r="K277" s="12">
        <v>5004.6000000000004</v>
      </c>
      <c r="L277" s="4">
        <v>4661.1000000000004</v>
      </c>
      <c r="M277" s="6">
        <f>Table2[[#This Row],[% of Solo Streams]]/100</f>
        <v>0.42141856150000001</v>
      </c>
      <c r="N277" s="3">
        <v>6399.4</v>
      </c>
      <c r="O277" s="6">
        <f>Table2[[#This Row],[% of Collaborative Streams]]/100</f>
        <v>0.57858143849999999</v>
      </c>
      <c r="P277" s="4">
        <f>Table3[[#This Row],[Lead Streams (in millions)]]+Table3[[#This Row],[Feature Streams (in millions)]]</f>
        <v>11060.5</v>
      </c>
      <c r="Q277" s="4">
        <f>_xlfn.RANK.EQ(Table3[[#This Row],[Total Stream]],Table3[Total Stream],0)</f>
        <v>276</v>
      </c>
      <c r="R277" s="4">
        <f>Table3[[#This Row],[Total Streams (in millions)]]-Table3[[#This Row],[Total Stream]]</f>
        <v>0</v>
      </c>
      <c r="S277" s="8">
        <f>IFERROR(Table3[[#This Row],[Collaborative Streams (in millions)]]/Table3[[#This Row],[Total Stream]],0)</f>
        <v>0.57858143845214949</v>
      </c>
      <c r="T277" t="str">
        <f>IF(Table3[[#This Row],[Total Streams (in millions)]]&gt;=50000,"High Performer",IF(Table3[[#This Row],[Total Streams (in millions)]]&gt;=20000,"Medium Performer","Low Performer"))</f>
        <v>Low Performer</v>
      </c>
    </row>
    <row r="278" spans="1:20" x14ac:dyDescent="0.3">
      <c r="A278" s="9" t="s">
        <v>352</v>
      </c>
      <c r="B278" s="9" t="s">
        <v>14</v>
      </c>
      <c r="C278" s="9" t="s">
        <v>21</v>
      </c>
      <c r="D278" s="9" t="s">
        <v>16</v>
      </c>
      <c r="E278" s="9" t="s">
        <v>291</v>
      </c>
      <c r="F278" s="9" t="s">
        <v>48</v>
      </c>
      <c r="G278" s="10">
        <v>1999</v>
      </c>
      <c r="H278" s="10" t="str">
        <f>IF(Table3[[#This Row],[Debut Year]]&lt;=2000,"1999–2000",
IF(Table3[[#This Row],[Debut Year]]&lt;=2005,"2001–2005",
IF(Table3[[#This Row],[Debut Year]]&lt;=2010,"2006–2010",
IF(Table3[[#This Row],[Debut Year]]&lt;=2015,"2011–2015",
IF(Table3[[#This Row],[Debut Year]]&lt;=2020,"2016–2020",
"2021–2025")))))</f>
        <v>1999–2000</v>
      </c>
      <c r="I278" s="10">
        <v>11051.4</v>
      </c>
      <c r="J278" s="10">
        <v>11056.2</v>
      </c>
      <c r="K278" s="10">
        <v>0</v>
      </c>
      <c r="L278" s="4">
        <v>11051.4</v>
      </c>
      <c r="M278" s="6">
        <f>Table2[[#This Row],[% of Solo Streams]]/100</f>
        <v>1</v>
      </c>
      <c r="N278" s="3">
        <v>0</v>
      </c>
      <c r="O278" s="6">
        <f>Table2[[#This Row],[% of Collaborative Streams]]/100</f>
        <v>0</v>
      </c>
      <c r="P278" s="4">
        <f>Table3[[#This Row],[Lead Streams (in millions)]]+Table3[[#This Row],[Feature Streams (in millions)]]</f>
        <v>11056.2</v>
      </c>
      <c r="Q278" s="4">
        <f>_xlfn.RANK.EQ(Table3[[#This Row],[Total Stream]],Table3[Total Stream],0)</f>
        <v>277</v>
      </c>
      <c r="R278" s="4">
        <f>Table3[[#This Row],[Total Streams (in millions)]]-Table3[[#This Row],[Total Stream]]</f>
        <v>-4.8000000000010914</v>
      </c>
      <c r="S278" s="8">
        <f>IFERROR(Table3[[#This Row],[Collaborative Streams (in millions)]]/Table3[[#This Row],[Total Stream]],0)</f>
        <v>0</v>
      </c>
      <c r="T278" t="str">
        <f>IF(Table3[[#This Row],[Total Streams (in millions)]]&gt;=50000,"High Performer",IF(Table3[[#This Row],[Total Streams (in millions)]]&gt;=20000,"Medium Performer","Low Performer"))</f>
        <v>Low Performer</v>
      </c>
    </row>
    <row r="279" spans="1:20" x14ac:dyDescent="0.3">
      <c r="A279" s="11" t="s">
        <v>353</v>
      </c>
      <c r="B279" s="11" t="s">
        <v>14</v>
      </c>
      <c r="C279" s="11" t="s">
        <v>71</v>
      </c>
      <c r="D279" s="11" t="s">
        <v>72</v>
      </c>
      <c r="E279" s="11" t="s">
        <v>73</v>
      </c>
      <c r="F279" s="11" t="s">
        <v>18</v>
      </c>
      <c r="G279" s="12">
        <v>2004</v>
      </c>
      <c r="H279" s="12" t="str">
        <f>IF(Table3[[#This Row],[Debut Year]]&lt;=2000,"1999–2000",
IF(Table3[[#This Row],[Debut Year]]&lt;=2005,"2001–2005",
IF(Table3[[#This Row],[Debut Year]]&lt;=2010,"2006–2010",
IF(Table3[[#This Row],[Debut Year]]&lt;=2015,"2011–2015",
IF(Table3[[#This Row],[Debut Year]]&lt;=2020,"2016–2020",
"2021–2025")))))</f>
        <v>2001–2005</v>
      </c>
      <c r="I279" s="12">
        <v>11014.9</v>
      </c>
      <c r="J279" s="12">
        <v>5793.9</v>
      </c>
      <c r="K279" s="12">
        <v>5236.3</v>
      </c>
      <c r="L279" s="4">
        <v>0</v>
      </c>
      <c r="M279" s="6">
        <f>Table2[[#This Row],[% of Solo Streams]]/100</f>
        <v>0</v>
      </c>
      <c r="N279" s="3">
        <v>11014.9</v>
      </c>
      <c r="O279" s="6">
        <f>Table2[[#This Row],[% of Collaborative Streams]]/100</f>
        <v>1</v>
      </c>
      <c r="P279" s="4">
        <f>Table3[[#This Row],[Lead Streams (in millions)]]+Table3[[#This Row],[Feature Streams (in millions)]]</f>
        <v>11030.2</v>
      </c>
      <c r="Q279" s="4">
        <f>_xlfn.RANK.EQ(Table3[[#This Row],[Total Stream]],Table3[Total Stream],0)</f>
        <v>278</v>
      </c>
      <c r="R279" s="4">
        <f>Table3[[#This Row],[Total Streams (in millions)]]-Table3[[#This Row],[Total Stream]]</f>
        <v>-15.300000000001091</v>
      </c>
      <c r="S279" s="8">
        <f>IFERROR(Table3[[#This Row],[Collaborative Streams (in millions)]]/Table3[[#This Row],[Total Stream]],0)</f>
        <v>0.99861289913147533</v>
      </c>
      <c r="T279" t="str">
        <f>IF(Table3[[#This Row],[Total Streams (in millions)]]&gt;=50000,"High Performer",IF(Table3[[#This Row],[Total Streams (in millions)]]&gt;=20000,"Medium Performer","Low Performer"))</f>
        <v>Low Performer</v>
      </c>
    </row>
    <row r="280" spans="1:20" x14ac:dyDescent="0.3">
      <c r="A280" s="9" t="s">
        <v>354</v>
      </c>
      <c r="B280" s="9" t="s">
        <v>20</v>
      </c>
      <c r="C280" s="9" t="s">
        <v>33</v>
      </c>
      <c r="D280" s="9" t="s">
        <v>16</v>
      </c>
      <c r="E280" s="9" t="s">
        <v>22</v>
      </c>
      <c r="F280" s="9" t="s">
        <v>48</v>
      </c>
      <c r="G280" s="10">
        <v>2011</v>
      </c>
      <c r="H280" s="10" t="str">
        <f>IF(Table3[[#This Row],[Debut Year]]&lt;=2000,"1999–2000",
IF(Table3[[#This Row],[Debut Year]]&lt;=2005,"2001–2005",
IF(Table3[[#This Row],[Debut Year]]&lt;=2010,"2006–2010",
IF(Table3[[#This Row],[Debut Year]]&lt;=2015,"2011–2015",
IF(Table3[[#This Row],[Debut Year]]&lt;=2020,"2016–2020",
"2021–2025")))))</f>
        <v>2011–2015</v>
      </c>
      <c r="I280" s="10">
        <v>10985.7</v>
      </c>
      <c r="J280" s="10">
        <v>0</v>
      </c>
      <c r="K280" s="10">
        <v>11024.9</v>
      </c>
      <c r="L280" s="4">
        <v>6916.9</v>
      </c>
      <c r="M280" s="6">
        <f>Table2[[#This Row],[% of Solo Streams]]/100</f>
        <v>0.62962760680000007</v>
      </c>
      <c r="N280" s="3">
        <v>4068.8</v>
      </c>
      <c r="O280" s="6">
        <f>Table2[[#This Row],[% of Collaborative Streams]]/100</f>
        <v>0.37037239319999998</v>
      </c>
      <c r="P280" s="4">
        <f>Table3[[#This Row],[Lead Streams (in millions)]]+Table3[[#This Row],[Feature Streams (in millions)]]</f>
        <v>11024.9</v>
      </c>
      <c r="Q280" s="4">
        <f>_xlfn.RANK.EQ(Table3[[#This Row],[Total Stream]],Table3[Total Stream],0)</f>
        <v>279</v>
      </c>
      <c r="R280" s="4">
        <f>Table3[[#This Row],[Total Streams (in millions)]]-Table3[[#This Row],[Total Stream]]</f>
        <v>-39.199999999998909</v>
      </c>
      <c r="S280" s="8">
        <f>IFERROR(Table3[[#This Row],[Collaborative Streams (in millions)]]/Table3[[#This Row],[Total Stream]],0)</f>
        <v>0.36905550163720308</v>
      </c>
      <c r="T280" t="str">
        <f>IF(Table3[[#This Row],[Total Streams (in millions)]]&gt;=50000,"High Performer",IF(Table3[[#This Row],[Total Streams (in millions)]]&gt;=20000,"Medium Performer","Low Performer"))</f>
        <v>Low Performer</v>
      </c>
    </row>
    <row r="281" spans="1:20" x14ac:dyDescent="0.3">
      <c r="A281" s="11" t="s">
        <v>355</v>
      </c>
      <c r="B281" s="11" t="s">
        <v>14</v>
      </c>
      <c r="C281" s="11" t="s">
        <v>42</v>
      </c>
      <c r="D281" s="11" t="s">
        <v>24</v>
      </c>
      <c r="E281" s="11" t="s">
        <v>25</v>
      </c>
      <c r="F281" s="11" t="s">
        <v>18</v>
      </c>
      <c r="G281" s="12">
        <v>2019</v>
      </c>
      <c r="H281" s="12" t="str">
        <f>IF(Table3[[#This Row],[Debut Year]]&lt;=2000,"1999–2000",
IF(Table3[[#This Row],[Debut Year]]&lt;=2005,"2001–2005",
IF(Table3[[#This Row],[Debut Year]]&lt;=2010,"2006–2010",
IF(Table3[[#This Row],[Debut Year]]&lt;=2015,"2011–2015",
IF(Table3[[#This Row],[Debut Year]]&lt;=2020,"2016–2020",
"2021–2025")))))</f>
        <v>2016–2020</v>
      </c>
      <c r="I281" s="12">
        <v>10974</v>
      </c>
      <c r="J281" s="12">
        <v>9511.5</v>
      </c>
      <c r="K281" s="12">
        <v>1474.2</v>
      </c>
      <c r="L281" s="4">
        <v>3645.8</v>
      </c>
      <c r="M281" s="6">
        <f>Table2[[#This Row],[% of Solo Streams]]/100</f>
        <v>0.33222161470000006</v>
      </c>
      <c r="N281" s="3">
        <v>7328.2</v>
      </c>
      <c r="O281" s="6">
        <f>Table2[[#This Row],[% of Collaborative Streams]]/100</f>
        <v>0.6677783853</v>
      </c>
      <c r="P281" s="4">
        <f>Table3[[#This Row],[Lead Streams (in millions)]]+Table3[[#This Row],[Feature Streams (in millions)]]</f>
        <v>10985.7</v>
      </c>
      <c r="Q281" s="4">
        <f>_xlfn.RANK.EQ(Table3[[#This Row],[Total Stream]],Table3[Total Stream],0)</f>
        <v>280</v>
      </c>
      <c r="R281" s="4">
        <f>Table3[[#This Row],[Total Streams (in millions)]]-Table3[[#This Row],[Total Stream]]</f>
        <v>-11.700000000000728</v>
      </c>
      <c r="S281" s="8">
        <f>IFERROR(Table3[[#This Row],[Collaborative Streams (in millions)]]/Table3[[#This Row],[Total Stream]],0)</f>
        <v>0.66706718734354653</v>
      </c>
      <c r="T281" t="str">
        <f>IF(Table3[[#This Row],[Total Streams (in millions)]]&gt;=50000,"High Performer",IF(Table3[[#This Row],[Total Streams (in millions)]]&gt;=20000,"Medium Performer","Low Performer"))</f>
        <v>Low Performer</v>
      </c>
    </row>
    <row r="282" spans="1:20" x14ac:dyDescent="0.3">
      <c r="A282" s="9" t="s">
        <v>356</v>
      </c>
      <c r="B282" s="9" t="s">
        <v>14</v>
      </c>
      <c r="C282" s="9" t="s">
        <v>21</v>
      </c>
      <c r="D282" s="9" t="s">
        <v>16</v>
      </c>
      <c r="E282" s="9" t="s">
        <v>17</v>
      </c>
      <c r="F282" s="9" t="s">
        <v>18</v>
      </c>
      <c r="G282" s="10">
        <v>1993</v>
      </c>
      <c r="H282" s="10" t="str">
        <f>IF(Table3[[#This Row],[Debut Year]]&lt;=2000,"1999–2000",
IF(Table3[[#This Row],[Debut Year]]&lt;=2005,"2001–2005",
IF(Table3[[#This Row],[Debut Year]]&lt;=2010,"2006–2010",
IF(Table3[[#This Row],[Debut Year]]&lt;=2015,"2011–2015",
IF(Table3[[#This Row],[Debut Year]]&lt;=2020,"2016–2020",
"2021–2025")))))</f>
        <v>1999–2000</v>
      </c>
      <c r="I282" s="10">
        <v>10968.8</v>
      </c>
      <c r="J282" s="10">
        <v>5006.3999999999996</v>
      </c>
      <c r="K282" s="10">
        <v>5977.1</v>
      </c>
      <c r="L282" s="4">
        <v>7034.7</v>
      </c>
      <c r="M282" s="6">
        <f>Table2[[#This Row],[% of Solo Streams]]/100</f>
        <v>0.64133724749999999</v>
      </c>
      <c r="N282" s="3">
        <v>3934.1</v>
      </c>
      <c r="O282" s="6">
        <f>Table2[[#This Row],[% of Collaborative Streams]]/100</f>
        <v>0.35866275250000001</v>
      </c>
      <c r="P282" s="4">
        <f>Table3[[#This Row],[Lead Streams (in millions)]]+Table3[[#This Row],[Feature Streams (in millions)]]</f>
        <v>10983.5</v>
      </c>
      <c r="Q282" s="4">
        <f>_xlfn.RANK.EQ(Table3[[#This Row],[Total Stream]],Table3[Total Stream],0)</f>
        <v>281</v>
      </c>
      <c r="R282" s="4">
        <f>Table3[[#This Row],[Total Streams (in millions)]]-Table3[[#This Row],[Total Stream]]</f>
        <v>-14.700000000000728</v>
      </c>
      <c r="S282" s="8">
        <f>IFERROR(Table3[[#This Row],[Collaborative Streams (in millions)]]/Table3[[#This Row],[Total Stream]],0)</f>
        <v>0.35818272863841216</v>
      </c>
      <c r="T282" t="str">
        <f>IF(Table3[[#This Row],[Total Streams (in millions)]]&gt;=50000,"High Performer",IF(Table3[[#This Row],[Total Streams (in millions)]]&gt;=20000,"Medium Performer","Low Performer"))</f>
        <v>Low Performer</v>
      </c>
    </row>
    <row r="283" spans="1:20" x14ac:dyDescent="0.3">
      <c r="A283" s="11" t="s">
        <v>357</v>
      </c>
      <c r="B283" s="11" t="s">
        <v>20</v>
      </c>
      <c r="C283" s="11" t="s">
        <v>245</v>
      </c>
      <c r="D283" s="11" t="s">
        <v>16</v>
      </c>
      <c r="E283" s="11" t="s">
        <v>57</v>
      </c>
      <c r="F283" s="11" t="s">
        <v>18</v>
      </c>
      <c r="G283" s="12">
        <v>2012</v>
      </c>
      <c r="H283" s="12" t="str">
        <f>IF(Table3[[#This Row],[Debut Year]]&lt;=2000,"1999–2000",
IF(Table3[[#This Row],[Debut Year]]&lt;=2005,"2001–2005",
IF(Table3[[#This Row],[Debut Year]]&lt;=2010,"2006–2010",
IF(Table3[[#This Row],[Debut Year]]&lt;=2015,"2011–2015",
IF(Table3[[#This Row],[Debut Year]]&lt;=2020,"2016–2020",
"2021–2025")))))</f>
        <v>2011–2015</v>
      </c>
      <c r="I283" s="12">
        <v>10939.4</v>
      </c>
      <c r="J283" s="12">
        <v>9358.7999999999993</v>
      </c>
      <c r="K283" s="12">
        <v>1614.9</v>
      </c>
      <c r="L283" s="4">
        <v>10795.1</v>
      </c>
      <c r="M283" s="6">
        <f>Table2[[#This Row],[% of Solo Streams]]/100</f>
        <v>0.98680914860000002</v>
      </c>
      <c r="N283" s="3">
        <v>144.30000000000001</v>
      </c>
      <c r="O283" s="6">
        <f>Table2[[#This Row],[% of Collaborative Streams]]/100</f>
        <v>1.319085142E-2</v>
      </c>
      <c r="P283" s="4">
        <f>Table3[[#This Row],[Lead Streams (in millions)]]+Table3[[#This Row],[Feature Streams (in millions)]]</f>
        <v>10973.699999999999</v>
      </c>
      <c r="Q283" s="4">
        <f>_xlfn.RANK.EQ(Table3[[#This Row],[Total Stream]],Table3[Total Stream],0)</f>
        <v>282</v>
      </c>
      <c r="R283" s="4">
        <f>Table3[[#This Row],[Total Streams (in millions)]]-Table3[[#This Row],[Total Stream]]</f>
        <v>-34.299999999999272</v>
      </c>
      <c r="S283" s="8">
        <f>IFERROR(Table3[[#This Row],[Collaborative Streams (in millions)]]/Table3[[#This Row],[Total Stream]],0)</f>
        <v>1.3149621367451273E-2</v>
      </c>
      <c r="T283" t="str">
        <f>IF(Table3[[#This Row],[Total Streams (in millions)]]&gt;=50000,"High Performer",IF(Table3[[#This Row],[Total Streams (in millions)]]&gt;=20000,"Medium Performer","Low Performer"))</f>
        <v>Low Performer</v>
      </c>
    </row>
    <row r="284" spans="1:20" x14ac:dyDescent="0.3">
      <c r="A284" s="9" t="s">
        <v>358</v>
      </c>
      <c r="B284" s="9" t="s">
        <v>14</v>
      </c>
      <c r="C284" s="9" t="s">
        <v>21</v>
      </c>
      <c r="D284" s="9" t="s">
        <v>24</v>
      </c>
      <c r="E284" s="9" t="s">
        <v>25</v>
      </c>
      <c r="F284" s="9" t="s">
        <v>18</v>
      </c>
      <c r="G284" s="10">
        <v>2006</v>
      </c>
      <c r="H284" s="10" t="str">
        <f>IF(Table3[[#This Row],[Debut Year]]&lt;=2000,"1999–2000",
IF(Table3[[#This Row],[Debut Year]]&lt;=2005,"2001–2005",
IF(Table3[[#This Row],[Debut Year]]&lt;=2010,"2006–2010",
IF(Table3[[#This Row],[Debut Year]]&lt;=2015,"2011–2015",
IF(Table3[[#This Row],[Debut Year]]&lt;=2020,"2016–2020",
"2021–2025")))))</f>
        <v>2006–2010</v>
      </c>
      <c r="I284" s="10">
        <v>10933.4</v>
      </c>
      <c r="J284" s="10">
        <v>10905.7</v>
      </c>
      <c r="K284" s="10">
        <v>38</v>
      </c>
      <c r="L284" s="4">
        <v>8.1</v>
      </c>
      <c r="M284" s="6">
        <f>Table2[[#This Row],[% of Solo Streams]]/100</f>
        <v>7.4084914119999996E-4</v>
      </c>
      <c r="N284" s="3">
        <v>10925.3</v>
      </c>
      <c r="O284" s="6">
        <f>Table2[[#This Row],[% of Collaborative Streams]]/100</f>
        <v>0.99925915090000006</v>
      </c>
      <c r="P284" s="4">
        <f>Table3[[#This Row],[Lead Streams (in millions)]]+Table3[[#This Row],[Feature Streams (in millions)]]</f>
        <v>10943.7</v>
      </c>
      <c r="Q284" s="4">
        <f>_xlfn.RANK.EQ(Table3[[#This Row],[Total Stream]],Table3[Total Stream],0)</f>
        <v>283</v>
      </c>
      <c r="R284" s="4">
        <f>Table3[[#This Row],[Total Streams (in millions)]]-Table3[[#This Row],[Total Stream]]</f>
        <v>-10.300000000001091</v>
      </c>
      <c r="S284" s="8">
        <f>IFERROR(Table3[[#This Row],[Collaborative Streams (in millions)]]/Table3[[#This Row],[Total Stream]],0)</f>
        <v>0.99831866736113006</v>
      </c>
      <c r="T284" t="str">
        <f>IF(Table3[[#This Row],[Total Streams (in millions)]]&gt;=50000,"High Performer",IF(Table3[[#This Row],[Total Streams (in millions)]]&gt;=20000,"Medium Performer","Low Performer"))</f>
        <v>Low Performer</v>
      </c>
    </row>
    <row r="285" spans="1:20" x14ac:dyDescent="0.3">
      <c r="A285" s="11" t="s">
        <v>359</v>
      </c>
      <c r="B285" s="11" t="s">
        <v>14</v>
      </c>
      <c r="C285" s="11" t="s">
        <v>166</v>
      </c>
      <c r="D285" s="11" t="s">
        <v>167</v>
      </c>
      <c r="E285" s="11" t="s">
        <v>168</v>
      </c>
      <c r="F285" s="11" t="s">
        <v>48</v>
      </c>
      <c r="G285" s="12">
        <v>2011</v>
      </c>
      <c r="H285" s="12" t="str">
        <f>IF(Table3[[#This Row],[Debut Year]]&lt;=2000,"1999–2000",
IF(Table3[[#This Row],[Debut Year]]&lt;=2005,"2001–2005",
IF(Table3[[#This Row],[Debut Year]]&lt;=2010,"2006–2010",
IF(Table3[[#This Row],[Debut Year]]&lt;=2015,"2011–2015",
IF(Table3[[#This Row],[Debut Year]]&lt;=2020,"2016–2020",
"2021–2025")))))</f>
        <v>2011–2015</v>
      </c>
      <c r="I285" s="12">
        <v>10914.2</v>
      </c>
      <c r="J285" s="12">
        <v>9203.4</v>
      </c>
      <c r="K285" s="12">
        <v>1721.9</v>
      </c>
      <c r="L285" s="4">
        <v>8573.2000000000007</v>
      </c>
      <c r="M285" s="6">
        <f>Table2[[#This Row],[% of Solo Streams]]/100</f>
        <v>0.78550878670000002</v>
      </c>
      <c r="N285" s="3">
        <v>2341</v>
      </c>
      <c r="O285" s="6">
        <f>Table2[[#This Row],[% of Collaborative Streams]]/100</f>
        <v>0.21449121330000001</v>
      </c>
      <c r="P285" s="4">
        <f>Table3[[#This Row],[Lead Streams (in millions)]]+Table3[[#This Row],[Feature Streams (in millions)]]</f>
        <v>10925.3</v>
      </c>
      <c r="Q285" s="4">
        <f>_xlfn.RANK.EQ(Table3[[#This Row],[Total Stream]],Table3[Total Stream],0)</f>
        <v>284</v>
      </c>
      <c r="R285" s="4">
        <f>Table3[[#This Row],[Total Streams (in millions)]]-Table3[[#This Row],[Total Stream]]</f>
        <v>-11.099999999998545</v>
      </c>
      <c r="S285" s="8">
        <f>IFERROR(Table3[[#This Row],[Collaborative Streams (in millions)]]/Table3[[#This Row],[Total Stream]],0)</f>
        <v>0.21427329226657393</v>
      </c>
      <c r="T285" t="str">
        <f>IF(Table3[[#This Row],[Total Streams (in millions)]]&gt;=50000,"High Performer",IF(Table3[[#This Row],[Total Streams (in millions)]]&gt;=20000,"Medium Performer","Low Performer"))</f>
        <v>Low Performer</v>
      </c>
    </row>
    <row r="286" spans="1:20" x14ac:dyDescent="0.3">
      <c r="A286" s="9" t="s">
        <v>360</v>
      </c>
      <c r="B286" s="9" t="s">
        <v>14</v>
      </c>
      <c r="C286" s="9" t="s">
        <v>128</v>
      </c>
      <c r="D286" s="9" t="s">
        <v>129</v>
      </c>
      <c r="E286" s="9" t="s">
        <v>291</v>
      </c>
      <c r="F286" s="9" t="s">
        <v>48</v>
      </c>
      <c r="G286" s="10">
        <v>1995</v>
      </c>
      <c r="H286" s="10" t="str">
        <f>IF(Table3[[#This Row],[Debut Year]]&lt;=2000,"1999–2000",
IF(Table3[[#This Row],[Debut Year]]&lt;=2005,"2001–2005",
IF(Table3[[#This Row],[Debut Year]]&lt;=2010,"2006–2010",
IF(Table3[[#This Row],[Debut Year]]&lt;=2015,"2011–2015",
IF(Table3[[#This Row],[Debut Year]]&lt;=2020,"2016–2020",
"2021–2025")))))</f>
        <v>1999–2000</v>
      </c>
      <c r="I286" s="10">
        <v>10902.6</v>
      </c>
      <c r="J286" s="10">
        <v>10910.3</v>
      </c>
      <c r="K286" s="10">
        <v>0</v>
      </c>
      <c r="L286" s="4">
        <v>10773.4</v>
      </c>
      <c r="M286" s="6">
        <f>Table2[[#This Row],[% of Solo Streams]]/100</f>
        <v>0.98814961569999993</v>
      </c>
      <c r="N286" s="3">
        <v>129.19999999999999</v>
      </c>
      <c r="O286" s="6">
        <f>Table2[[#This Row],[% of Collaborative Streams]]/100</f>
        <v>1.185038431E-2</v>
      </c>
      <c r="P286" s="4">
        <f>Table3[[#This Row],[Lead Streams (in millions)]]+Table3[[#This Row],[Feature Streams (in millions)]]</f>
        <v>10910.3</v>
      </c>
      <c r="Q286" s="4">
        <f>_xlfn.RANK.EQ(Table3[[#This Row],[Total Stream]],Table3[Total Stream],0)</f>
        <v>285</v>
      </c>
      <c r="R286" s="4">
        <f>Table3[[#This Row],[Total Streams (in millions)]]-Table3[[#This Row],[Total Stream]]</f>
        <v>-7.6999999999989086</v>
      </c>
      <c r="S286" s="8">
        <f>IFERROR(Table3[[#This Row],[Collaborative Streams (in millions)]]/Table3[[#This Row],[Total Stream]],0)</f>
        <v>1.1842020842689935E-2</v>
      </c>
      <c r="T286" t="str">
        <f>IF(Table3[[#This Row],[Total Streams (in millions)]]&gt;=50000,"High Performer",IF(Table3[[#This Row],[Total Streams (in millions)]]&gt;=20000,"Medium Performer","Low Performer"))</f>
        <v>Low Performer</v>
      </c>
    </row>
    <row r="287" spans="1:20" x14ac:dyDescent="0.3">
      <c r="A287" s="11" t="s">
        <v>361</v>
      </c>
      <c r="B287" s="11" t="s">
        <v>14</v>
      </c>
      <c r="C287" s="11" t="s">
        <v>33</v>
      </c>
      <c r="D287" s="11" t="s">
        <v>16</v>
      </c>
      <c r="E287" s="11" t="s">
        <v>22</v>
      </c>
      <c r="F287" s="11" t="s">
        <v>18</v>
      </c>
      <c r="G287" s="12">
        <v>2010</v>
      </c>
      <c r="H287" s="12" t="str">
        <f>IF(Table3[[#This Row],[Debut Year]]&lt;=2000,"1999–2000",
IF(Table3[[#This Row],[Debut Year]]&lt;=2005,"2001–2005",
IF(Table3[[#This Row],[Debut Year]]&lt;=2010,"2006–2010",
IF(Table3[[#This Row],[Debut Year]]&lt;=2015,"2011–2015",
IF(Table3[[#This Row],[Debut Year]]&lt;=2020,"2016–2020",
"2021–2025")))))</f>
        <v>2006–2010</v>
      </c>
      <c r="I287" s="12">
        <v>10783.2</v>
      </c>
      <c r="J287" s="12">
        <v>7412.3</v>
      </c>
      <c r="K287" s="12">
        <v>3373.2</v>
      </c>
      <c r="L287" s="4">
        <v>5819.8</v>
      </c>
      <c r="M287" s="6">
        <f>Table2[[#This Row],[% of Solo Streams]]/100</f>
        <v>0.53970991909999999</v>
      </c>
      <c r="N287" s="3">
        <v>4963.3999999999996</v>
      </c>
      <c r="O287" s="6">
        <f>Table2[[#This Row],[% of Collaborative Streams]]/100</f>
        <v>0.46029008089999995</v>
      </c>
      <c r="P287" s="4">
        <f>Table3[[#This Row],[Lead Streams (in millions)]]+Table3[[#This Row],[Feature Streams (in millions)]]</f>
        <v>10785.5</v>
      </c>
      <c r="Q287" s="4">
        <f>_xlfn.RANK.EQ(Table3[[#This Row],[Total Stream]],Table3[Total Stream],0)</f>
        <v>286</v>
      </c>
      <c r="R287" s="4">
        <f>Table3[[#This Row],[Total Streams (in millions)]]-Table3[[#This Row],[Total Stream]]</f>
        <v>-2.2999999999992724</v>
      </c>
      <c r="S287" s="8">
        <f>IFERROR(Table3[[#This Row],[Collaborative Streams (in millions)]]/Table3[[#This Row],[Total Stream]],0)</f>
        <v>0.46019192434286771</v>
      </c>
      <c r="T287" t="str">
        <f>IF(Table3[[#This Row],[Total Streams (in millions)]]&gt;=50000,"High Performer",IF(Table3[[#This Row],[Total Streams (in millions)]]&gt;=20000,"Medium Performer","Low Performer"))</f>
        <v>Low Performer</v>
      </c>
    </row>
    <row r="288" spans="1:20" x14ac:dyDescent="0.3">
      <c r="A288" s="9" t="s">
        <v>362</v>
      </c>
      <c r="B288" s="9" t="s">
        <v>14</v>
      </c>
      <c r="C288" s="9" t="s">
        <v>21</v>
      </c>
      <c r="D288" s="9" t="s">
        <v>24</v>
      </c>
      <c r="E288" s="9" t="s">
        <v>25</v>
      </c>
      <c r="F288" s="9" t="s">
        <v>18</v>
      </c>
      <c r="G288" s="10">
        <v>1999</v>
      </c>
      <c r="H288" s="10" t="str">
        <f>IF(Table3[[#This Row],[Debut Year]]&lt;=2000,"1999–2000",
IF(Table3[[#This Row],[Debut Year]]&lt;=2005,"2001–2005",
IF(Table3[[#This Row],[Debut Year]]&lt;=2010,"2006–2010",
IF(Table3[[#This Row],[Debut Year]]&lt;=2015,"2011–2015",
IF(Table3[[#This Row],[Debut Year]]&lt;=2020,"2016–2020",
"2021–2025")))))</f>
        <v>1999–2000</v>
      </c>
      <c r="I288" s="10">
        <v>10776.2</v>
      </c>
      <c r="J288" s="10">
        <v>10712.5</v>
      </c>
      <c r="K288" s="10">
        <v>63.9</v>
      </c>
      <c r="L288" s="4">
        <v>291.89999999999998</v>
      </c>
      <c r="M288" s="6">
        <f>Table2[[#This Row],[% of Solo Streams]]/100</f>
        <v>2.7087470539999998E-2</v>
      </c>
      <c r="N288" s="3">
        <v>10484.299999999999</v>
      </c>
      <c r="O288" s="6">
        <f>Table2[[#This Row],[% of Collaborative Streams]]/100</f>
        <v>0.97291252949999996</v>
      </c>
      <c r="P288" s="4">
        <f>Table3[[#This Row],[Lead Streams (in millions)]]+Table3[[#This Row],[Feature Streams (in millions)]]</f>
        <v>10776.4</v>
      </c>
      <c r="Q288" s="4">
        <f>_xlfn.RANK.EQ(Table3[[#This Row],[Total Stream]],Table3[Total Stream],0)</f>
        <v>287</v>
      </c>
      <c r="R288" s="4">
        <f>Table3[[#This Row],[Total Streams (in millions)]]-Table3[[#This Row],[Total Stream]]</f>
        <v>-0.19999999999890861</v>
      </c>
      <c r="S288" s="8">
        <f>IFERROR(Table3[[#This Row],[Collaborative Streams (in millions)]]/Table3[[#This Row],[Total Stream]],0)</f>
        <v>0.97289447310790245</v>
      </c>
      <c r="T288" t="str">
        <f>IF(Table3[[#This Row],[Total Streams (in millions)]]&gt;=50000,"High Performer",IF(Table3[[#This Row],[Total Streams (in millions)]]&gt;=20000,"Medium Performer","Low Performer"))</f>
        <v>Low Performer</v>
      </c>
    </row>
    <row r="289" spans="1:20" x14ac:dyDescent="0.3">
      <c r="A289" s="11" t="s">
        <v>363</v>
      </c>
      <c r="B289" s="11" t="s">
        <v>14</v>
      </c>
      <c r="C289" s="11" t="s">
        <v>21</v>
      </c>
      <c r="D289" s="11" t="s">
        <v>24</v>
      </c>
      <c r="E289" s="11" t="s">
        <v>25</v>
      </c>
      <c r="F289" s="11" t="s">
        <v>18</v>
      </c>
      <c r="G289" s="12">
        <v>2010</v>
      </c>
      <c r="H289" s="12" t="str">
        <f>IF(Table3[[#This Row],[Debut Year]]&lt;=2000,"1999–2000",
IF(Table3[[#This Row],[Debut Year]]&lt;=2005,"2001–2005",
IF(Table3[[#This Row],[Debut Year]]&lt;=2010,"2006–2010",
IF(Table3[[#This Row],[Debut Year]]&lt;=2015,"2011–2015",
IF(Table3[[#This Row],[Debut Year]]&lt;=2020,"2016–2020",
"2021–2025")))))</f>
        <v>2006–2010</v>
      </c>
      <c r="I289" s="12">
        <v>10772</v>
      </c>
      <c r="J289" s="12">
        <v>595.6</v>
      </c>
      <c r="K289" s="12">
        <v>10180.6</v>
      </c>
      <c r="L289" s="4">
        <v>689.2</v>
      </c>
      <c r="M289" s="6">
        <f>Table2[[#This Row],[% of Solo Streams]]/100</f>
        <v>6.3980690679999994E-2</v>
      </c>
      <c r="N289" s="3">
        <v>10082.799999999999</v>
      </c>
      <c r="O289" s="6">
        <f>Table2[[#This Row],[% of Collaborative Streams]]/100</f>
        <v>0.93601930929999999</v>
      </c>
      <c r="P289" s="4">
        <f>Table3[[#This Row],[Lead Streams (in millions)]]+Table3[[#This Row],[Feature Streams (in millions)]]</f>
        <v>10776.2</v>
      </c>
      <c r="Q289" s="4">
        <f>_xlfn.RANK.EQ(Table3[[#This Row],[Total Stream]],Table3[Total Stream],0)</f>
        <v>288</v>
      </c>
      <c r="R289" s="4">
        <f>Table3[[#This Row],[Total Streams (in millions)]]-Table3[[#This Row],[Total Stream]]</f>
        <v>-4.2000000000007276</v>
      </c>
      <c r="S289" s="8">
        <f>IFERROR(Table3[[#This Row],[Collaborative Streams (in millions)]]/Table3[[#This Row],[Total Stream]],0)</f>
        <v>0.93565449787494648</v>
      </c>
      <c r="T289" t="str">
        <f>IF(Table3[[#This Row],[Total Streams (in millions)]]&gt;=50000,"High Performer",IF(Table3[[#This Row],[Total Streams (in millions)]]&gt;=20000,"Medium Performer","Low Performer"))</f>
        <v>Low Performer</v>
      </c>
    </row>
    <row r="290" spans="1:20" x14ac:dyDescent="0.3">
      <c r="A290" s="9" t="s">
        <v>364</v>
      </c>
      <c r="B290" s="9" t="s">
        <v>14</v>
      </c>
      <c r="C290" s="9" t="s">
        <v>21</v>
      </c>
      <c r="D290" s="9" t="s">
        <v>16</v>
      </c>
      <c r="E290" s="9" t="s">
        <v>51</v>
      </c>
      <c r="F290" s="9" t="s">
        <v>48</v>
      </c>
      <c r="G290" s="10">
        <v>1984</v>
      </c>
      <c r="H290" s="10" t="str">
        <f>IF(Table3[[#This Row],[Debut Year]]&lt;=2000,"1999–2000",
IF(Table3[[#This Row],[Debut Year]]&lt;=2005,"2001–2005",
IF(Table3[[#This Row],[Debut Year]]&lt;=2010,"2006–2010",
IF(Table3[[#This Row],[Debut Year]]&lt;=2015,"2011–2015",
IF(Table3[[#This Row],[Debut Year]]&lt;=2020,"2016–2020",
"2021–2025")))))</f>
        <v>1999–2000</v>
      </c>
      <c r="I290" s="10">
        <v>10771.3</v>
      </c>
      <c r="J290" s="10">
        <v>10772.2</v>
      </c>
      <c r="K290" s="10">
        <v>0.6</v>
      </c>
      <c r="L290" s="4">
        <v>10575.9</v>
      </c>
      <c r="M290" s="6">
        <f>Table2[[#This Row],[% of Solo Streams]]/100</f>
        <v>0.98185919990000003</v>
      </c>
      <c r="N290" s="3">
        <v>195.4</v>
      </c>
      <c r="O290" s="6">
        <f>Table2[[#This Row],[% of Collaborative Streams]]/100</f>
        <v>1.8140800089999999E-2</v>
      </c>
      <c r="P290" s="4">
        <f>Table3[[#This Row],[Lead Streams (in millions)]]+Table3[[#This Row],[Feature Streams (in millions)]]</f>
        <v>10772.800000000001</v>
      </c>
      <c r="Q290" s="4">
        <f>_xlfn.RANK.EQ(Table3[[#This Row],[Total Stream]],Table3[Total Stream],0)</f>
        <v>289</v>
      </c>
      <c r="R290" s="4">
        <f>Table3[[#This Row],[Total Streams (in millions)]]-Table3[[#This Row],[Total Stream]]</f>
        <v>-1.500000000001819</v>
      </c>
      <c r="S290" s="8">
        <f>IFERROR(Table3[[#This Row],[Collaborative Streams (in millions)]]/Table3[[#This Row],[Total Stream]],0)</f>
        <v>1.8138274171988711E-2</v>
      </c>
      <c r="T290" t="str">
        <f>IF(Table3[[#This Row],[Total Streams (in millions)]]&gt;=50000,"High Performer",IF(Table3[[#This Row],[Total Streams (in millions)]]&gt;=20000,"Medium Performer","Low Performer"))</f>
        <v>Low Performer</v>
      </c>
    </row>
    <row r="291" spans="1:20" x14ac:dyDescent="0.3">
      <c r="A291" s="11" t="s">
        <v>365</v>
      </c>
      <c r="B291" s="11" t="s">
        <v>14</v>
      </c>
      <c r="C291" s="11" t="s">
        <v>21</v>
      </c>
      <c r="D291" s="11" t="s">
        <v>16</v>
      </c>
      <c r="E291" s="11" t="s">
        <v>51</v>
      </c>
      <c r="F291" s="11" t="s">
        <v>48</v>
      </c>
      <c r="G291" s="12">
        <v>2004</v>
      </c>
      <c r="H291" s="12" t="str">
        <f>IF(Table3[[#This Row],[Debut Year]]&lt;=2000,"1999–2000",
IF(Table3[[#This Row],[Debut Year]]&lt;=2005,"2001–2005",
IF(Table3[[#This Row],[Debut Year]]&lt;=2010,"2006–2010",
IF(Table3[[#This Row],[Debut Year]]&lt;=2015,"2011–2015",
IF(Table3[[#This Row],[Debut Year]]&lt;=2020,"2016–2020",
"2021–2025")))))</f>
        <v>2001–2005</v>
      </c>
      <c r="I291" s="12">
        <v>10767.6</v>
      </c>
      <c r="J291" s="12">
        <v>1893.8</v>
      </c>
      <c r="K291" s="12">
        <v>8878.2000000000007</v>
      </c>
      <c r="L291" s="4">
        <v>10569.4</v>
      </c>
      <c r="M291" s="6">
        <f>Table2[[#This Row],[% of Solo Streams]]/100</f>
        <v>0.9815929269</v>
      </c>
      <c r="N291" s="3">
        <v>198.2</v>
      </c>
      <c r="O291" s="6">
        <f>Table2[[#This Row],[% of Collaborative Streams]]/100</f>
        <v>1.8407073069999998E-2</v>
      </c>
      <c r="P291" s="4">
        <f>Table3[[#This Row],[Lead Streams (in millions)]]+Table3[[#This Row],[Feature Streams (in millions)]]</f>
        <v>10772</v>
      </c>
      <c r="Q291" s="4">
        <f>_xlfn.RANK.EQ(Table3[[#This Row],[Total Stream]],Table3[Total Stream],0)</f>
        <v>290</v>
      </c>
      <c r="R291" s="4">
        <f>Table3[[#This Row],[Total Streams (in millions)]]-Table3[[#This Row],[Total Stream]]</f>
        <v>-4.3999999999996362</v>
      </c>
      <c r="S291" s="8">
        <f>IFERROR(Table3[[#This Row],[Collaborative Streams (in millions)]]/Table3[[#This Row],[Total Stream]],0)</f>
        <v>1.8399554400297065E-2</v>
      </c>
      <c r="T291" t="str">
        <f>IF(Table3[[#This Row],[Total Streams (in millions)]]&gt;=50000,"High Performer",IF(Table3[[#This Row],[Total Streams (in millions)]]&gt;=20000,"Medium Performer","Low Performer"))</f>
        <v>Low Performer</v>
      </c>
    </row>
    <row r="292" spans="1:20" x14ac:dyDescent="0.3">
      <c r="A292" s="9" t="s">
        <v>366</v>
      </c>
      <c r="B292" s="9" t="s">
        <v>14</v>
      </c>
      <c r="C292" s="9" t="s">
        <v>21</v>
      </c>
      <c r="D292" s="9" t="s">
        <v>16</v>
      </c>
      <c r="E292" s="9" t="s">
        <v>51</v>
      </c>
      <c r="F292" s="9" t="s">
        <v>48</v>
      </c>
      <c r="G292" s="10">
        <v>1995</v>
      </c>
      <c r="H292" s="10" t="str">
        <f>IF(Table3[[#This Row],[Debut Year]]&lt;=2000,"1999–2000",
IF(Table3[[#This Row],[Debut Year]]&lt;=2005,"2001–2005",
IF(Table3[[#This Row],[Debut Year]]&lt;=2010,"2006–2010",
IF(Table3[[#This Row],[Debut Year]]&lt;=2015,"2011–2015",
IF(Table3[[#This Row],[Debut Year]]&lt;=2020,"2016–2020",
"2021–2025")))))</f>
        <v>1999–2000</v>
      </c>
      <c r="I292" s="10">
        <v>10760.4</v>
      </c>
      <c r="J292" s="10">
        <v>10630.4</v>
      </c>
      <c r="K292" s="10">
        <v>133.80000000000001</v>
      </c>
      <c r="L292" s="4">
        <v>10584.7</v>
      </c>
      <c r="M292" s="6">
        <f>Table2[[#This Row],[% of Solo Streams]]/100</f>
        <v>0.98367161069999998</v>
      </c>
      <c r="N292" s="3">
        <v>175.7</v>
      </c>
      <c r="O292" s="6">
        <f>Table2[[#This Row],[% of Collaborative Streams]]/100</f>
        <v>1.6328389280000001E-2</v>
      </c>
      <c r="P292" s="4">
        <f>Table3[[#This Row],[Lead Streams (in millions)]]+Table3[[#This Row],[Feature Streams (in millions)]]</f>
        <v>10764.199999999999</v>
      </c>
      <c r="Q292" s="4">
        <f>_xlfn.RANK.EQ(Table3[[#This Row],[Total Stream]],Table3[Total Stream],0)</f>
        <v>291</v>
      </c>
      <c r="R292" s="4">
        <f>Table3[[#This Row],[Total Streams (in millions)]]-Table3[[#This Row],[Total Stream]]</f>
        <v>-3.7999999999992724</v>
      </c>
      <c r="S292" s="8">
        <f>IFERROR(Table3[[#This Row],[Collaborative Streams (in millions)]]/Table3[[#This Row],[Total Stream]],0)</f>
        <v>1.6322624997677487E-2</v>
      </c>
      <c r="T292" t="str">
        <f>IF(Table3[[#This Row],[Total Streams (in millions)]]&gt;=50000,"High Performer",IF(Table3[[#This Row],[Total Streams (in millions)]]&gt;=20000,"Medium Performer","Low Performer"))</f>
        <v>Low Performer</v>
      </c>
    </row>
    <row r="293" spans="1:20" x14ac:dyDescent="0.3">
      <c r="A293" s="11" t="s">
        <v>367</v>
      </c>
      <c r="B293" s="11" t="s">
        <v>20</v>
      </c>
      <c r="C293" s="11" t="s">
        <v>21</v>
      </c>
      <c r="D293" s="11" t="s">
        <v>16</v>
      </c>
      <c r="E293" s="11" t="s">
        <v>27</v>
      </c>
      <c r="F293" s="11" t="s">
        <v>18</v>
      </c>
      <c r="G293" s="12">
        <v>2018</v>
      </c>
      <c r="H293" s="12" t="str">
        <f>IF(Table3[[#This Row],[Debut Year]]&lt;=2000,"1999–2000",
IF(Table3[[#This Row],[Debut Year]]&lt;=2005,"2001–2005",
IF(Table3[[#This Row],[Debut Year]]&lt;=2010,"2006–2010",
IF(Table3[[#This Row],[Debut Year]]&lt;=2015,"2011–2015",
IF(Table3[[#This Row],[Debut Year]]&lt;=2020,"2016–2020",
"2021–2025")))))</f>
        <v>2016–2020</v>
      </c>
      <c r="I293" s="12">
        <v>10756.4</v>
      </c>
      <c r="J293" s="12">
        <v>7776.1</v>
      </c>
      <c r="K293" s="12">
        <v>2980.3</v>
      </c>
      <c r="L293" s="4">
        <v>3834.9</v>
      </c>
      <c r="M293" s="6">
        <f>Table2[[#This Row],[% of Solo Streams]]/100</f>
        <v>0.35652262839999999</v>
      </c>
      <c r="N293" s="3">
        <v>6921.5</v>
      </c>
      <c r="O293" s="6">
        <f>Table2[[#This Row],[% of Collaborative Streams]]/100</f>
        <v>0.64347737159999996</v>
      </c>
      <c r="P293" s="4">
        <f>Table3[[#This Row],[Lead Streams (in millions)]]+Table3[[#This Row],[Feature Streams (in millions)]]</f>
        <v>10756.400000000001</v>
      </c>
      <c r="Q293" s="4">
        <f>_xlfn.RANK.EQ(Table3[[#This Row],[Total Stream]],Table3[Total Stream],0)</f>
        <v>292</v>
      </c>
      <c r="R293" s="4">
        <f>Table3[[#This Row],[Total Streams (in millions)]]-Table3[[#This Row],[Total Stream]]</f>
        <v>0</v>
      </c>
      <c r="S293" s="8">
        <f>IFERROR(Table3[[#This Row],[Collaborative Streams (in millions)]]/Table3[[#This Row],[Total Stream]],0)</f>
        <v>0.64347737161131968</v>
      </c>
      <c r="T293" t="str">
        <f>IF(Table3[[#This Row],[Total Streams (in millions)]]&gt;=50000,"High Performer",IF(Table3[[#This Row],[Total Streams (in millions)]]&gt;=20000,"Medium Performer","Low Performer"))</f>
        <v>Low Performer</v>
      </c>
    </row>
    <row r="294" spans="1:20" x14ac:dyDescent="0.3">
      <c r="A294" s="9" t="s">
        <v>368</v>
      </c>
      <c r="B294" s="9" t="s">
        <v>20</v>
      </c>
      <c r="C294" s="9" t="s">
        <v>21</v>
      </c>
      <c r="D294" s="9" t="s">
        <v>16</v>
      </c>
      <c r="E294" s="9" t="s">
        <v>27</v>
      </c>
      <c r="F294" s="9" t="s">
        <v>18</v>
      </c>
      <c r="G294" s="10">
        <v>2002</v>
      </c>
      <c r="H294" s="10" t="str">
        <f>IF(Table3[[#This Row],[Debut Year]]&lt;=2000,"1999–2000",
IF(Table3[[#This Row],[Debut Year]]&lt;=2005,"2001–2005",
IF(Table3[[#This Row],[Debut Year]]&lt;=2010,"2006–2010",
IF(Table3[[#This Row],[Debut Year]]&lt;=2015,"2011–2015",
IF(Table3[[#This Row],[Debut Year]]&lt;=2020,"2016–2020",
"2021–2025")))))</f>
        <v>2001–2005</v>
      </c>
      <c r="I294" s="10">
        <v>10731.7</v>
      </c>
      <c r="J294" s="10">
        <v>6224.9</v>
      </c>
      <c r="K294" s="10">
        <v>4506.8</v>
      </c>
      <c r="L294" s="4">
        <v>3239.2</v>
      </c>
      <c r="M294" s="6">
        <f>Table2[[#This Row],[% of Solo Streams]]/100</f>
        <v>0.30183475130000004</v>
      </c>
      <c r="N294" s="3">
        <v>7492.5</v>
      </c>
      <c r="O294" s="6">
        <f>Table2[[#This Row],[% of Collaborative Streams]]/100</f>
        <v>0.69816524869999996</v>
      </c>
      <c r="P294" s="4">
        <f>Table3[[#This Row],[Lead Streams (in millions)]]+Table3[[#This Row],[Feature Streams (in millions)]]</f>
        <v>10731.7</v>
      </c>
      <c r="Q294" s="4">
        <f>_xlfn.RANK.EQ(Table3[[#This Row],[Total Stream]],Table3[Total Stream],0)</f>
        <v>293</v>
      </c>
      <c r="R294" s="4">
        <f>Table3[[#This Row],[Total Streams (in millions)]]-Table3[[#This Row],[Total Stream]]</f>
        <v>0</v>
      </c>
      <c r="S294" s="8">
        <f>IFERROR(Table3[[#This Row],[Collaborative Streams (in millions)]]/Table3[[#This Row],[Total Stream]],0)</f>
        <v>0.69816524874903318</v>
      </c>
      <c r="T294" t="str">
        <f>IF(Table3[[#This Row],[Total Streams (in millions)]]&gt;=50000,"High Performer",IF(Table3[[#This Row],[Total Streams (in millions)]]&gt;=20000,"Medium Performer","Low Performer"))</f>
        <v>Low Performer</v>
      </c>
    </row>
    <row r="295" spans="1:20" x14ac:dyDescent="0.3">
      <c r="A295" s="11" t="s">
        <v>369</v>
      </c>
      <c r="B295" s="11" t="s">
        <v>20</v>
      </c>
      <c r="C295" s="11" t="s">
        <v>21</v>
      </c>
      <c r="D295" s="11" t="s">
        <v>16</v>
      </c>
      <c r="E295" s="11" t="s">
        <v>27</v>
      </c>
      <c r="F295" s="11" t="s">
        <v>18</v>
      </c>
      <c r="G295" s="12">
        <v>2014</v>
      </c>
      <c r="H295" s="12" t="str">
        <f>IF(Table3[[#This Row],[Debut Year]]&lt;=2000,"1999–2000",
IF(Table3[[#This Row],[Debut Year]]&lt;=2005,"2001–2005",
IF(Table3[[#This Row],[Debut Year]]&lt;=2010,"2006–2010",
IF(Table3[[#This Row],[Debut Year]]&lt;=2015,"2011–2015",
IF(Table3[[#This Row],[Debut Year]]&lt;=2020,"2016–2020",
"2021–2025")))))</f>
        <v>2011–2015</v>
      </c>
      <c r="I295" s="12">
        <v>10712.8</v>
      </c>
      <c r="J295" s="12">
        <v>6060.2</v>
      </c>
      <c r="K295" s="12">
        <v>4663.3999999999996</v>
      </c>
      <c r="L295" s="4">
        <v>4257.3999999999996</v>
      </c>
      <c r="M295" s="6">
        <f>Table2[[#This Row],[% of Solo Streams]]/100</f>
        <v>0.39741244119999997</v>
      </c>
      <c r="N295" s="3">
        <v>6455.4</v>
      </c>
      <c r="O295" s="6">
        <f>Table2[[#This Row],[% of Collaborative Streams]]/100</f>
        <v>0.60258755880000003</v>
      </c>
      <c r="P295" s="4">
        <f>Table3[[#This Row],[Lead Streams (in millions)]]+Table3[[#This Row],[Feature Streams (in millions)]]</f>
        <v>10723.599999999999</v>
      </c>
      <c r="Q295" s="4">
        <f>_xlfn.RANK.EQ(Table3[[#This Row],[Total Stream]],Table3[Total Stream],0)</f>
        <v>294</v>
      </c>
      <c r="R295" s="4">
        <f>Table3[[#This Row],[Total Streams (in millions)]]-Table3[[#This Row],[Total Stream]]</f>
        <v>-10.799999999999272</v>
      </c>
      <c r="S295" s="8">
        <f>IFERROR(Table3[[#This Row],[Collaborative Streams (in millions)]]/Table3[[#This Row],[Total Stream]],0)</f>
        <v>0.60198067813047862</v>
      </c>
      <c r="T295" t="str">
        <f>IF(Table3[[#This Row],[Total Streams (in millions)]]&gt;=50000,"High Performer",IF(Table3[[#This Row],[Total Streams (in millions)]]&gt;=20000,"Medium Performer","Low Performer"))</f>
        <v>Low Performer</v>
      </c>
    </row>
    <row r="296" spans="1:20" x14ac:dyDescent="0.3">
      <c r="A296" s="9" t="s">
        <v>370</v>
      </c>
      <c r="B296" s="9" t="s">
        <v>78</v>
      </c>
      <c r="C296" s="9" t="s">
        <v>33</v>
      </c>
      <c r="D296" s="9" t="s">
        <v>16</v>
      </c>
      <c r="E296" s="9" t="s">
        <v>22</v>
      </c>
      <c r="F296" s="9" t="s">
        <v>48</v>
      </c>
      <c r="G296" s="10">
        <v>2012</v>
      </c>
      <c r="H296" s="10" t="str">
        <f>IF(Table3[[#This Row],[Debut Year]]&lt;=2000,"1999–2000",
IF(Table3[[#This Row],[Debut Year]]&lt;=2005,"2001–2005",
IF(Table3[[#This Row],[Debut Year]]&lt;=2010,"2006–2010",
IF(Table3[[#This Row],[Debut Year]]&lt;=2015,"2011–2015",
IF(Table3[[#This Row],[Debut Year]]&lt;=2020,"2016–2020",
"2021–2025")))))</f>
        <v>2011–2015</v>
      </c>
      <c r="I296" s="10">
        <v>10711.2</v>
      </c>
      <c r="J296" s="10">
        <v>10381.4</v>
      </c>
      <c r="K296" s="10">
        <v>333.5</v>
      </c>
      <c r="L296" s="4">
        <v>73.400000000000006</v>
      </c>
      <c r="M296" s="6">
        <f>Table2[[#This Row],[% of Solo Streams]]/100</f>
        <v>6.8526402269999996E-3</v>
      </c>
      <c r="N296" s="3">
        <v>10637.8</v>
      </c>
      <c r="O296" s="6">
        <f>Table2[[#This Row],[% of Collaborative Streams]]/100</f>
        <v>0.99314735979999991</v>
      </c>
      <c r="P296" s="4">
        <f>Table3[[#This Row],[Lead Streams (in millions)]]+Table3[[#This Row],[Feature Streams (in millions)]]</f>
        <v>10714.9</v>
      </c>
      <c r="Q296" s="4">
        <f>_xlfn.RANK.EQ(Table3[[#This Row],[Total Stream]],Table3[Total Stream],0)</f>
        <v>295</v>
      </c>
      <c r="R296" s="4">
        <f>Table3[[#This Row],[Total Streams (in millions)]]-Table3[[#This Row],[Total Stream]]</f>
        <v>-3.6999999999989086</v>
      </c>
      <c r="S296" s="8">
        <f>IFERROR(Table3[[#This Row],[Collaborative Streams (in millions)]]/Table3[[#This Row],[Total Stream]],0)</f>
        <v>0.9928044125470139</v>
      </c>
      <c r="T296" t="str">
        <f>IF(Table3[[#This Row],[Total Streams (in millions)]]&gt;=50000,"High Performer",IF(Table3[[#This Row],[Total Streams (in millions)]]&gt;=20000,"Medium Performer","Low Performer"))</f>
        <v>Low Performer</v>
      </c>
    </row>
    <row r="297" spans="1:20" x14ac:dyDescent="0.3">
      <c r="A297" s="11" t="s">
        <v>371</v>
      </c>
      <c r="B297" s="11" t="s">
        <v>14</v>
      </c>
      <c r="C297" s="11" t="s">
        <v>33</v>
      </c>
      <c r="D297" s="11" t="s">
        <v>16</v>
      </c>
      <c r="E297" s="11" t="s">
        <v>51</v>
      </c>
      <c r="F297" s="11" t="s">
        <v>18</v>
      </c>
      <c r="G297" s="12">
        <v>1967</v>
      </c>
      <c r="H297" s="12" t="str">
        <f>IF(Table3[[#This Row],[Debut Year]]&lt;=2000,"1999–2000",
IF(Table3[[#This Row],[Debut Year]]&lt;=2005,"2001–2005",
IF(Table3[[#This Row],[Debut Year]]&lt;=2010,"2006–2010",
IF(Table3[[#This Row],[Debut Year]]&lt;=2015,"2011–2015",
IF(Table3[[#This Row],[Debut Year]]&lt;=2020,"2016–2020",
"2021–2025")))))</f>
        <v>1999–2000</v>
      </c>
      <c r="I297" s="12">
        <v>10696.6</v>
      </c>
      <c r="J297" s="12">
        <v>8379.6</v>
      </c>
      <c r="K297" s="12">
        <v>2317</v>
      </c>
      <c r="L297" s="4">
        <v>8204.5</v>
      </c>
      <c r="M297" s="6">
        <f>Table2[[#This Row],[% of Solo Streams]]/100</f>
        <v>0.7670194266999999</v>
      </c>
      <c r="N297" s="3">
        <v>2492.1</v>
      </c>
      <c r="O297" s="6">
        <f>Table2[[#This Row],[% of Collaborative Streams]]/100</f>
        <v>0.23298057329999999</v>
      </c>
      <c r="P297" s="4">
        <f>Table3[[#This Row],[Lead Streams (in millions)]]+Table3[[#This Row],[Feature Streams (in millions)]]</f>
        <v>10696.6</v>
      </c>
      <c r="Q297" s="4">
        <f>_xlfn.RANK.EQ(Table3[[#This Row],[Total Stream]],Table3[Total Stream],0)</f>
        <v>296</v>
      </c>
      <c r="R297" s="4">
        <f>Table3[[#This Row],[Total Streams (in millions)]]-Table3[[#This Row],[Total Stream]]</f>
        <v>0</v>
      </c>
      <c r="S297" s="8">
        <f>IFERROR(Table3[[#This Row],[Collaborative Streams (in millions)]]/Table3[[#This Row],[Total Stream]],0)</f>
        <v>0.2329805732662715</v>
      </c>
      <c r="T297" t="str">
        <f>IF(Table3[[#This Row],[Total Streams (in millions)]]&gt;=50000,"High Performer",IF(Table3[[#This Row],[Total Streams (in millions)]]&gt;=20000,"Medium Performer","Low Performer"))</f>
        <v>Low Performer</v>
      </c>
    </row>
    <row r="298" spans="1:20" x14ac:dyDescent="0.3">
      <c r="A298" s="9" t="s">
        <v>372</v>
      </c>
      <c r="B298" s="9" t="s">
        <v>14</v>
      </c>
      <c r="C298" s="9" t="s">
        <v>204</v>
      </c>
      <c r="D298" s="9" t="s">
        <v>16</v>
      </c>
      <c r="E298" s="9" t="s">
        <v>51</v>
      </c>
      <c r="F298" s="9" t="s">
        <v>48</v>
      </c>
      <c r="G298" s="10">
        <v>1979</v>
      </c>
      <c r="H298" s="10" t="str">
        <f>IF(Table3[[#This Row],[Debut Year]]&lt;=2000,"1999–2000",
IF(Table3[[#This Row],[Debut Year]]&lt;=2005,"2001–2005",
IF(Table3[[#This Row],[Debut Year]]&lt;=2010,"2006–2010",
IF(Table3[[#This Row],[Debut Year]]&lt;=2015,"2011–2015",
IF(Table3[[#This Row],[Debut Year]]&lt;=2020,"2016–2020",
"2021–2025")))))</f>
        <v>1999–2000</v>
      </c>
      <c r="I298" s="10">
        <v>10616.1</v>
      </c>
      <c r="J298" s="10">
        <v>10020.5</v>
      </c>
      <c r="K298" s="10">
        <v>599.29999999999995</v>
      </c>
      <c r="L298" s="4">
        <v>9771.2999999999993</v>
      </c>
      <c r="M298" s="6">
        <f>Table2[[#This Row],[% of Solo Streams]]/100</f>
        <v>0.92042275410000007</v>
      </c>
      <c r="N298" s="3">
        <v>844.8</v>
      </c>
      <c r="O298" s="6">
        <f>Table2[[#This Row],[% of Collaborative Streams]]/100</f>
        <v>7.9577245879999994E-2</v>
      </c>
      <c r="P298" s="4">
        <f>Table3[[#This Row],[Lead Streams (in millions)]]+Table3[[#This Row],[Feature Streams (in millions)]]</f>
        <v>10619.8</v>
      </c>
      <c r="Q298" s="4">
        <f>_xlfn.RANK.EQ(Table3[[#This Row],[Total Stream]],Table3[Total Stream],0)</f>
        <v>297</v>
      </c>
      <c r="R298" s="4">
        <f>Table3[[#This Row],[Total Streams (in millions)]]-Table3[[#This Row],[Total Stream]]</f>
        <v>-3.6999999999989086</v>
      </c>
      <c r="S298" s="8">
        <f>IFERROR(Table3[[#This Row],[Collaborative Streams (in millions)]]/Table3[[#This Row],[Total Stream]],0)</f>
        <v>7.9549520706604648E-2</v>
      </c>
      <c r="T298" t="str">
        <f>IF(Table3[[#This Row],[Total Streams (in millions)]]&gt;=50000,"High Performer",IF(Table3[[#This Row],[Total Streams (in millions)]]&gt;=20000,"Medium Performer","Low Performer"))</f>
        <v>Low Performer</v>
      </c>
    </row>
    <row r="299" spans="1:20" x14ac:dyDescent="0.3">
      <c r="A299" s="11" t="s">
        <v>373</v>
      </c>
      <c r="B299" s="11" t="s">
        <v>14</v>
      </c>
      <c r="C299" s="11" t="s">
        <v>21</v>
      </c>
      <c r="D299" s="11" t="s">
        <v>24</v>
      </c>
      <c r="E299" s="11" t="s">
        <v>151</v>
      </c>
      <c r="F299" s="11" t="s">
        <v>48</v>
      </c>
      <c r="G299" s="12">
        <v>1996</v>
      </c>
      <c r="H299" s="12" t="str">
        <f>IF(Table3[[#This Row],[Debut Year]]&lt;=2000,"1999–2000",
IF(Table3[[#This Row],[Debut Year]]&lt;=2005,"2001–2005",
IF(Table3[[#This Row],[Debut Year]]&lt;=2010,"2006–2010",
IF(Table3[[#This Row],[Debut Year]]&lt;=2015,"2011–2015",
IF(Table3[[#This Row],[Debut Year]]&lt;=2020,"2016–2020",
"2021–2025")))))</f>
        <v>1999–2000</v>
      </c>
      <c r="I299" s="12">
        <v>10607</v>
      </c>
      <c r="J299" s="12">
        <v>10520.3</v>
      </c>
      <c r="K299" s="12">
        <v>92.7</v>
      </c>
      <c r="L299" s="4">
        <v>8371.2999999999993</v>
      </c>
      <c r="M299" s="6">
        <f>Table2[[#This Row],[% of Solo Streams]]/100</f>
        <v>0.78922409729999998</v>
      </c>
      <c r="N299" s="3">
        <v>2235.6999999999998</v>
      </c>
      <c r="O299" s="6">
        <f>Table2[[#This Row],[% of Collaborative Streams]]/100</f>
        <v>0.21077590270000002</v>
      </c>
      <c r="P299" s="4">
        <f>Table3[[#This Row],[Lead Streams (in millions)]]+Table3[[#This Row],[Feature Streams (in millions)]]</f>
        <v>10613</v>
      </c>
      <c r="Q299" s="4">
        <f>_xlfn.RANK.EQ(Table3[[#This Row],[Total Stream]],Table3[Total Stream],0)</f>
        <v>298</v>
      </c>
      <c r="R299" s="4">
        <f>Table3[[#This Row],[Total Streams (in millions)]]-Table3[[#This Row],[Total Stream]]</f>
        <v>-6</v>
      </c>
      <c r="S299" s="8">
        <f>IFERROR(Table3[[#This Row],[Collaborative Streams (in millions)]]/Table3[[#This Row],[Total Stream]],0)</f>
        <v>0.21065674173183829</v>
      </c>
      <c r="T299" t="str">
        <f>IF(Table3[[#This Row],[Total Streams (in millions)]]&gt;=50000,"High Performer",IF(Table3[[#This Row],[Total Streams (in millions)]]&gt;=20000,"Medium Performer","Low Performer"))</f>
        <v>Low Performer</v>
      </c>
    </row>
    <row r="300" spans="1:20" x14ac:dyDescent="0.3">
      <c r="A300" s="9" t="s">
        <v>374</v>
      </c>
      <c r="B300" s="9" t="s">
        <v>14</v>
      </c>
      <c r="C300" s="9" t="s">
        <v>21</v>
      </c>
      <c r="D300" s="9" t="s">
        <v>16</v>
      </c>
      <c r="E300" s="9" t="s">
        <v>51</v>
      </c>
      <c r="F300" s="9" t="s">
        <v>48</v>
      </c>
      <c r="G300" s="10">
        <v>1994</v>
      </c>
      <c r="H300" s="10" t="str">
        <f>IF(Table3[[#This Row],[Debut Year]]&lt;=2000,"1999–2000",
IF(Table3[[#This Row],[Debut Year]]&lt;=2005,"2001–2005",
IF(Table3[[#This Row],[Debut Year]]&lt;=2010,"2006–2010",
IF(Table3[[#This Row],[Debut Year]]&lt;=2015,"2011–2015",
IF(Table3[[#This Row],[Debut Year]]&lt;=2020,"2016–2020",
"2021–2025")))))</f>
        <v>1999–2000</v>
      </c>
      <c r="I300" s="10">
        <v>10571.1</v>
      </c>
      <c r="J300" s="10">
        <v>10570.2</v>
      </c>
      <c r="K300" s="10">
        <v>4.5</v>
      </c>
      <c r="L300" s="4">
        <v>10555.6</v>
      </c>
      <c r="M300" s="6">
        <f>Table2[[#This Row],[% of Solo Streams]]/100</f>
        <v>0.99853373820000002</v>
      </c>
      <c r="N300" s="3">
        <v>15.5</v>
      </c>
      <c r="O300" s="6">
        <f>Table2[[#This Row],[% of Collaborative Streams]]/100</f>
        <v>1.4662617889999998E-3</v>
      </c>
      <c r="P300" s="4">
        <f>Table3[[#This Row],[Lead Streams (in millions)]]+Table3[[#This Row],[Feature Streams (in millions)]]</f>
        <v>10574.7</v>
      </c>
      <c r="Q300" s="4">
        <f>_xlfn.RANK.EQ(Table3[[#This Row],[Total Stream]],Table3[Total Stream],0)</f>
        <v>299</v>
      </c>
      <c r="R300" s="4">
        <f>Table3[[#This Row],[Total Streams (in millions)]]-Table3[[#This Row],[Total Stream]]</f>
        <v>-3.6000000000003638</v>
      </c>
      <c r="S300" s="8">
        <f>IFERROR(Table3[[#This Row],[Collaborative Streams (in millions)]]/Table3[[#This Row],[Total Stream]],0)</f>
        <v>1.4657626221074829E-3</v>
      </c>
      <c r="T300" t="str">
        <f>IF(Table3[[#This Row],[Total Streams (in millions)]]&gt;=50000,"High Performer",IF(Table3[[#This Row],[Total Streams (in millions)]]&gt;=20000,"Medium Performer","Low Performer"))</f>
        <v>Low Performer</v>
      </c>
    </row>
    <row r="301" spans="1:20" x14ac:dyDescent="0.3">
      <c r="A301" s="11" t="s">
        <v>375</v>
      </c>
      <c r="B301" s="11" t="s">
        <v>14</v>
      </c>
      <c r="C301" s="11" t="s">
        <v>33</v>
      </c>
      <c r="D301" s="11" t="s">
        <v>16</v>
      </c>
      <c r="E301" s="11" t="s">
        <v>51</v>
      </c>
      <c r="F301" s="11" t="s">
        <v>48</v>
      </c>
      <c r="G301" s="12">
        <v>2012</v>
      </c>
      <c r="H301" s="12" t="str">
        <f>IF(Table3[[#This Row],[Debut Year]]&lt;=2000,"1999–2000",
IF(Table3[[#This Row],[Debut Year]]&lt;=2005,"2001–2005",
IF(Table3[[#This Row],[Debut Year]]&lt;=2010,"2006–2010",
IF(Table3[[#This Row],[Debut Year]]&lt;=2015,"2011–2015",
IF(Table3[[#This Row],[Debut Year]]&lt;=2020,"2016–2020",
"2021–2025")))))</f>
        <v>2011–2015</v>
      </c>
      <c r="I301" s="12">
        <v>10489.6</v>
      </c>
      <c r="J301" s="12">
        <v>10191.700000000001</v>
      </c>
      <c r="K301" s="12">
        <v>301.5</v>
      </c>
      <c r="L301" s="4">
        <v>10165.9</v>
      </c>
      <c r="M301" s="6">
        <f>Table2[[#This Row],[% of Solo Streams]]/100</f>
        <v>0.96914086330000004</v>
      </c>
      <c r="N301" s="3">
        <v>323.7</v>
      </c>
      <c r="O301" s="6">
        <f>Table2[[#This Row],[% of Collaborative Streams]]/100</f>
        <v>3.0859136669999999E-2</v>
      </c>
      <c r="P301" s="4">
        <f>Table3[[#This Row],[Lead Streams (in millions)]]+Table3[[#This Row],[Feature Streams (in millions)]]</f>
        <v>10493.2</v>
      </c>
      <c r="Q301" s="4">
        <f>_xlfn.RANK.EQ(Table3[[#This Row],[Total Stream]],Table3[Total Stream],0)</f>
        <v>300</v>
      </c>
      <c r="R301" s="4">
        <f>Table3[[#This Row],[Total Streams (in millions)]]-Table3[[#This Row],[Total Stream]]</f>
        <v>-3.6000000000003638</v>
      </c>
      <c r="S301" s="8">
        <f>IFERROR(Table3[[#This Row],[Collaborative Streams (in millions)]]/Table3[[#This Row],[Total Stream]],0)</f>
        <v>3.0848549536842903E-2</v>
      </c>
      <c r="T301" t="str">
        <f>IF(Table3[[#This Row],[Total Streams (in millions)]]&gt;=50000,"High Performer",IF(Table3[[#This Row],[Total Streams (in millions)]]&gt;=20000,"Medium Performer","Low Performer"))</f>
        <v>Low Performer</v>
      </c>
    </row>
    <row r="302" spans="1:20" x14ac:dyDescent="0.3">
      <c r="A302" s="9" t="s">
        <v>376</v>
      </c>
      <c r="B302" s="9" t="s">
        <v>20</v>
      </c>
      <c r="C302" s="9" t="s">
        <v>222</v>
      </c>
      <c r="D302" s="9" t="s">
        <v>24</v>
      </c>
      <c r="E302" s="9" t="s">
        <v>82</v>
      </c>
      <c r="F302" s="9" t="s">
        <v>18</v>
      </c>
      <c r="G302" s="10">
        <v>2019</v>
      </c>
      <c r="H302" s="10" t="str">
        <f>IF(Table3[[#This Row],[Debut Year]]&lt;=2000,"1999–2000",
IF(Table3[[#This Row],[Debut Year]]&lt;=2005,"2001–2005",
IF(Table3[[#This Row],[Debut Year]]&lt;=2010,"2006–2010",
IF(Table3[[#This Row],[Debut Year]]&lt;=2015,"2011–2015",
IF(Table3[[#This Row],[Debut Year]]&lt;=2020,"2016–2020",
"2021–2025")))))</f>
        <v>2016–2020</v>
      </c>
      <c r="I302" s="10">
        <v>10476.9</v>
      </c>
      <c r="J302" s="10">
        <v>3977.8</v>
      </c>
      <c r="K302" s="10">
        <v>6499.1</v>
      </c>
      <c r="L302" s="4">
        <v>2597.3000000000002</v>
      </c>
      <c r="M302" s="6">
        <f>Table2[[#This Row],[% of Solo Streams]]/100</f>
        <v>0.24790730080000001</v>
      </c>
      <c r="N302" s="3">
        <v>7879.6</v>
      </c>
      <c r="O302" s="6">
        <f>Table2[[#This Row],[% of Collaborative Streams]]/100</f>
        <v>0.75209269919999999</v>
      </c>
      <c r="P302" s="4">
        <f>Table3[[#This Row],[Lead Streams (in millions)]]+Table3[[#This Row],[Feature Streams (in millions)]]</f>
        <v>10476.900000000001</v>
      </c>
      <c r="Q302" s="4">
        <f>_xlfn.RANK.EQ(Table3[[#This Row],[Total Stream]],Table3[Total Stream],0)</f>
        <v>301</v>
      </c>
      <c r="R302" s="4">
        <f>Table3[[#This Row],[Total Streams (in millions)]]-Table3[[#This Row],[Total Stream]]</f>
        <v>0</v>
      </c>
      <c r="S302" s="8">
        <f>IFERROR(Table3[[#This Row],[Collaborative Streams (in millions)]]/Table3[[#This Row],[Total Stream]],0)</f>
        <v>0.75209269917628296</v>
      </c>
      <c r="T302" t="str">
        <f>IF(Table3[[#This Row],[Total Streams (in millions)]]&gt;=50000,"High Performer",IF(Table3[[#This Row],[Total Streams (in millions)]]&gt;=20000,"Medium Performer","Low Performer"))</f>
        <v>Low Performer</v>
      </c>
    </row>
    <row r="303" spans="1:20" x14ac:dyDescent="0.3">
      <c r="A303" s="11" t="s">
        <v>377</v>
      </c>
      <c r="B303" s="11" t="s">
        <v>14</v>
      </c>
      <c r="C303" s="11" t="s">
        <v>33</v>
      </c>
      <c r="D303" s="11" t="s">
        <v>16</v>
      </c>
      <c r="E303" s="11" t="s">
        <v>17</v>
      </c>
      <c r="F303" s="11" t="s">
        <v>18</v>
      </c>
      <c r="G303" s="12">
        <v>2006</v>
      </c>
      <c r="H303" s="12" t="str">
        <f>IF(Table3[[#This Row],[Debut Year]]&lt;=2000,"1999–2000",
IF(Table3[[#This Row],[Debut Year]]&lt;=2005,"2001–2005",
IF(Table3[[#This Row],[Debut Year]]&lt;=2010,"2006–2010",
IF(Table3[[#This Row],[Debut Year]]&lt;=2015,"2011–2015",
IF(Table3[[#This Row],[Debut Year]]&lt;=2020,"2016–2020",
"2021–2025")))))</f>
        <v>2006–2010</v>
      </c>
      <c r="I303" s="12">
        <v>10449</v>
      </c>
      <c r="J303" s="12">
        <v>7062.7</v>
      </c>
      <c r="K303" s="12">
        <v>3394.7</v>
      </c>
      <c r="L303" s="4">
        <v>6337.8</v>
      </c>
      <c r="M303" s="6">
        <f>Table2[[#This Row],[% of Solo Streams]]/100</f>
        <v>0.60654608099999996</v>
      </c>
      <c r="N303" s="3">
        <v>4111.2</v>
      </c>
      <c r="O303" s="6">
        <f>Table2[[#This Row],[% of Collaborative Streams]]/100</f>
        <v>0.39345391900000004</v>
      </c>
      <c r="P303" s="4">
        <f>Table3[[#This Row],[Lead Streams (in millions)]]+Table3[[#This Row],[Feature Streams (in millions)]]</f>
        <v>10457.4</v>
      </c>
      <c r="Q303" s="4">
        <f>_xlfn.RANK.EQ(Table3[[#This Row],[Total Stream]],Table3[Total Stream],0)</f>
        <v>302</v>
      </c>
      <c r="R303" s="4">
        <f>Table3[[#This Row],[Total Streams (in millions)]]-Table3[[#This Row],[Total Stream]]</f>
        <v>-8.3999999999996362</v>
      </c>
      <c r="S303" s="8">
        <f>IFERROR(Table3[[#This Row],[Collaborative Streams (in millions)]]/Table3[[#This Row],[Total Stream]],0)</f>
        <v>0.39313787365884445</v>
      </c>
      <c r="T303" t="str">
        <f>IF(Table3[[#This Row],[Total Streams (in millions)]]&gt;=50000,"High Performer",IF(Table3[[#This Row],[Total Streams (in millions)]]&gt;=20000,"Medium Performer","Low Performer"))</f>
        <v>Low Performer</v>
      </c>
    </row>
    <row r="304" spans="1:20" x14ac:dyDescent="0.3">
      <c r="A304" s="9" t="s">
        <v>378</v>
      </c>
      <c r="B304" s="9" t="s">
        <v>14</v>
      </c>
      <c r="C304" s="9" t="s">
        <v>21</v>
      </c>
      <c r="D304" s="9" t="s">
        <v>16</v>
      </c>
      <c r="E304" s="9" t="s">
        <v>27</v>
      </c>
      <c r="F304" s="9" t="s">
        <v>18</v>
      </c>
      <c r="G304" s="10">
        <v>2015</v>
      </c>
      <c r="H304" s="10" t="str">
        <f>IF(Table3[[#This Row],[Debut Year]]&lt;=2000,"1999–2000",
IF(Table3[[#This Row],[Debut Year]]&lt;=2005,"2001–2005",
IF(Table3[[#This Row],[Debut Year]]&lt;=2010,"2006–2010",
IF(Table3[[#This Row],[Debut Year]]&lt;=2015,"2011–2015",
IF(Table3[[#This Row],[Debut Year]]&lt;=2020,"2016–2020",
"2021–2025")))))</f>
        <v>2011–2015</v>
      </c>
      <c r="I304" s="10">
        <v>10368.700000000001</v>
      </c>
      <c r="J304" s="10">
        <v>9179.2000000000007</v>
      </c>
      <c r="K304" s="10">
        <v>1201.2</v>
      </c>
      <c r="L304" s="4">
        <v>8970.6</v>
      </c>
      <c r="M304" s="6">
        <f>Table2[[#This Row],[% of Solo Streams]]/100</f>
        <v>0.86516149570000001</v>
      </c>
      <c r="N304" s="3">
        <v>1398.1</v>
      </c>
      <c r="O304" s="6">
        <f>Table2[[#This Row],[% of Collaborative Streams]]/100</f>
        <v>0.13483850429999999</v>
      </c>
      <c r="P304" s="4">
        <f>Table3[[#This Row],[Lead Streams (in millions)]]+Table3[[#This Row],[Feature Streams (in millions)]]</f>
        <v>10380.400000000001</v>
      </c>
      <c r="Q304" s="4">
        <f>_xlfn.RANK.EQ(Table3[[#This Row],[Total Stream]],Table3[Total Stream],0)</f>
        <v>303</v>
      </c>
      <c r="R304" s="4">
        <f>Table3[[#This Row],[Total Streams (in millions)]]-Table3[[#This Row],[Total Stream]]</f>
        <v>-11.700000000000728</v>
      </c>
      <c r="S304" s="8">
        <f>IFERROR(Table3[[#This Row],[Collaborative Streams (in millions)]]/Table3[[#This Row],[Total Stream]],0)</f>
        <v>0.13468652460406147</v>
      </c>
      <c r="T304" t="str">
        <f>IF(Table3[[#This Row],[Total Streams (in millions)]]&gt;=50000,"High Performer",IF(Table3[[#This Row],[Total Streams (in millions)]]&gt;=20000,"Medium Performer","Low Performer"))</f>
        <v>Low Performer</v>
      </c>
    </row>
    <row r="305" spans="1:20" x14ac:dyDescent="0.3">
      <c r="A305" s="11" t="s">
        <v>379</v>
      </c>
      <c r="B305" s="11" t="s">
        <v>14</v>
      </c>
      <c r="C305" s="11" t="s">
        <v>21</v>
      </c>
      <c r="D305" s="11" t="s">
        <v>24</v>
      </c>
      <c r="E305" s="11" t="s">
        <v>25</v>
      </c>
      <c r="F305" s="11" t="s">
        <v>18</v>
      </c>
      <c r="G305" s="12">
        <v>2004</v>
      </c>
      <c r="H305" s="12" t="str">
        <f>IF(Table3[[#This Row],[Debut Year]]&lt;=2000,"1999–2000",
IF(Table3[[#This Row],[Debut Year]]&lt;=2005,"2001–2005",
IF(Table3[[#This Row],[Debut Year]]&lt;=2010,"2006–2010",
IF(Table3[[#This Row],[Debut Year]]&lt;=2015,"2011–2015",
IF(Table3[[#This Row],[Debut Year]]&lt;=2020,"2016–2020",
"2021–2025")))))</f>
        <v>2001–2005</v>
      </c>
      <c r="I305" s="12">
        <v>10352.799999999999</v>
      </c>
      <c r="J305" s="12">
        <v>1937.7</v>
      </c>
      <c r="K305" s="12">
        <v>8415.1</v>
      </c>
      <c r="L305" s="4">
        <v>410.2</v>
      </c>
      <c r="M305" s="6">
        <f>Table2[[#This Row],[% of Solo Streams]]/100</f>
        <v>3.9622131210000001E-2</v>
      </c>
      <c r="N305" s="3">
        <v>9942.6</v>
      </c>
      <c r="O305" s="6">
        <f>Table2[[#This Row],[% of Collaborative Streams]]/100</f>
        <v>0.96037786879999998</v>
      </c>
      <c r="P305" s="4">
        <f>Table3[[#This Row],[Lead Streams (in millions)]]+Table3[[#This Row],[Feature Streams (in millions)]]</f>
        <v>10352.800000000001</v>
      </c>
      <c r="Q305" s="4">
        <f>_xlfn.RANK.EQ(Table3[[#This Row],[Total Stream]],Table3[Total Stream],0)</f>
        <v>304</v>
      </c>
      <c r="R305" s="4">
        <f>Table3[[#This Row],[Total Streams (in millions)]]-Table3[[#This Row],[Total Stream]]</f>
        <v>0</v>
      </c>
      <c r="S305" s="8">
        <f>IFERROR(Table3[[#This Row],[Collaborative Streams (in millions)]]/Table3[[#This Row],[Total Stream]],0)</f>
        <v>0.96037786878911979</v>
      </c>
      <c r="T305" t="str">
        <f>IF(Table3[[#This Row],[Total Streams (in millions)]]&gt;=50000,"High Performer",IF(Table3[[#This Row],[Total Streams (in millions)]]&gt;=20000,"Medium Performer","Low Performer"))</f>
        <v>Low Performer</v>
      </c>
    </row>
    <row r="306" spans="1:20" x14ac:dyDescent="0.3">
      <c r="A306" s="9" t="s">
        <v>380</v>
      </c>
      <c r="B306" s="9" t="s">
        <v>14</v>
      </c>
      <c r="C306" s="9" t="s">
        <v>381</v>
      </c>
      <c r="D306" s="9" t="s">
        <v>16</v>
      </c>
      <c r="E306" s="9" t="s">
        <v>22</v>
      </c>
      <c r="F306" s="9" t="s">
        <v>18</v>
      </c>
      <c r="G306" s="10">
        <v>2006</v>
      </c>
      <c r="H306" s="10" t="str">
        <f>IF(Table3[[#This Row],[Debut Year]]&lt;=2000,"1999–2000",
IF(Table3[[#This Row],[Debut Year]]&lt;=2005,"2001–2005",
IF(Table3[[#This Row],[Debut Year]]&lt;=2010,"2006–2010",
IF(Table3[[#This Row],[Debut Year]]&lt;=2015,"2011–2015",
IF(Table3[[#This Row],[Debut Year]]&lt;=2020,"2016–2020",
"2021–2025")))))</f>
        <v>2006–2010</v>
      </c>
      <c r="I306" s="10">
        <v>10332.799999999999</v>
      </c>
      <c r="J306" s="10">
        <v>7323</v>
      </c>
      <c r="K306" s="10">
        <v>3009.8</v>
      </c>
      <c r="L306" s="4">
        <v>6153.5</v>
      </c>
      <c r="M306" s="6">
        <f>Table2[[#This Row],[% of Solo Streams]]/100</f>
        <v>0.59553073710000004</v>
      </c>
      <c r="N306" s="3">
        <v>4179.3</v>
      </c>
      <c r="O306" s="6">
        <f>Table2[[#This Row],[% of Collaborative Streams]]/100</f>
        <v>0.40446926290000002</v>
      </c>
      <c r="P306" s="4">
        <f>Table3[[#This Row],[Lead Streams (in millions)]]+Table3[[#This Row],[Feature Streams (in millions)]]</f>
        <v>10332.799999999999</v>
      </c>
      <c r="Q306" s="4">
        <f>_xlfn.RANK.EQ(Table3[[#This Row],[Total Stream]],Table3[Total Stream],0)</f>
        <v>305</v>
      </c>
      <c r="R306" s="4">
        <f>Table3[[#This Row],[Total Streams (in millions)]]-Table3[[#This Row],[Total Stream]]</f>
        <v>0</v>
      </c>
      <c r="S306" s="8">
        <f>IFERROR(Table3[[#This Row],[Collaborative Streams (in millions)]]/Table3[[#This Row],[Total Stream]],0)</f>
        <v>0.40446926292969965</v>
      </c>
      <c r="T306" t="str">
        <f>IF(Table3[[#This Row],[Total Streams (in millions)]]&gt;=50000,"High Performer",IF(Table3[[#This Row],[Total Streams (in millions)]]&gt;=20000,"Medium Performer","Low Performer"))</f>
        <v>Low Performer</v>
      </c>
    </row>
    <row r="307" spans="1:20" x14ac:dyDescent="0.3">
      <c r="A307" s="11" t="s">
        <v>382</v>
      </c>
      <c r="B307" s="11" t="s">
        <v>14</v>
      </c>
      <c r="C307" s="11" t="s">
        <v>21</v>
      </c>
      <c r="D307" s="11" t="s">
        <v>16</v>
      </c>
      <c r="E307" s="11" t="s">
        <v>22</v>
      </c>
      <c r="F307" s="11" t="s">
        <v>18</v>
      </c>
      <c r="G307" s="12">
        <v>2017</v>
      </c>
      <c r="H307" s="12" t="str">
        <f>IF(Table3[[#This Row],[Debut Year]]&lt;=2000,"1999–2000",
IF(Table3[[#This Row],[Debut Year]]&lt;=2005,"2001–2005",
IF(Table3[[#This Row],[Debut Year]]&lt;=2010,"2006–2010",
IF(Table3[[#This Row],[Debut Year]]&lt;=2015,"2011–2015",
IF(Table3[[#This Row],[Debut Year]]&lt;=2020,"2016–2020",
"2021–2025")))))</f>
        <v>2016–2020</v>
      </c>
      <c r="I307" s="12">
        <v>10313.5</v>
      </c>
      <c r="J307" s="12">
        <v>10145.1</v>
      </c>
      <c r="K307" s="12">
        <v>172</v>
      </c>
      <c r="L307" s="4">
        <v>10141.5</v>
      </c>
      <c r="M307" s="6">
        <f>Table2[[#This Row],[% of Solo Streams]]/100</f>
        <v>0.98332282930000003</v>
      </c>
      <c r="N307" s="3">
        <v>172</v>
      </c>
      <c r="O307" s="6">
        <f>Table2[[#This Row],[% of Collaborative Streams]]/100</f>
        <v>1.6677170700000001E-2</v>
      </c>
      <c r="P307" s="4">
        <f>Table3[[#This Row],[Lead Streams (in millions)]]+Table3[[#This Row],[Feature Streams (in millions)]]</f>
        <v>10317.1</v>
      </c>
      <c r="Q307" s="4">
        <f>_xlfn.RANK.EQ(Table3[[#This Row],[Total Stream]],Table3[Total Stream],0)</f>
        <v>306</v>
      </c>
      <c r="R307" s="4">
        <f>Table3[[#This Row],[Total Streams (in millions)]]-Table3[[#This Row],[Total Stream]]</f>
        <v>-3.6000000000003638</v>
      </c>
      <c r="S307" s="8">
        <f>IFERROR(Table3[[#This Row],[Collaborative Streams (in millions)]]/Table3[[#This Row],[Total Stream]],0)</f>
        <v>1.6671351445658178E-2</v>
      </c>
      <c r="T307" t="str">
        <f>IF(Table3[[#This Row],[Total Streams (in millions)]]&gt;=50000,"High Performer",IF(Table3[[#This Row],[Total Streams (in millions)]]&gt;=20000,"Medium Performer","Low Performer"))</f>
        <v>Low Performer</v>
      </c>
    </row>
    <row r="308" spans="1:20" x14ac:dyDescent="0.3">
      <c r="A308" s="9" t="s">
        <v>383</v>
      </c>
      <c r="B308" s="9" t="s">
        <v>14</v>
      </c>
      <c r="C308" s="9" t="s">
        <v>21</v>
      </c>
      <c r="D308" s="9" t="s">
        <v>16</v>
      </c>
      <c r="E308" s="9" t="s">
        <v>17</v>
      </c>
      <c r="F308" s="9" t="s">
        <v>18</v>
      </c>
      <c r="G308" s="10">
        <v>1999</v>
      </c>
      <c r="H308" s="10" t="str">
        <f>IF(Table3[[#This Row],[Debut Year]]&lt;=2000,"1999–2000",
IF(Table3[[#This Row],[Debut Year]]&lt;=2005,"2001–2005",
IF(Table3[[#This Row],[Debut Year]]&lt;=2010,"2006–2010",
IF(Table3[[#This Row],[Debut Year]]&lt;=2015,"2011–2015",
IF(Table3[[#This Row],[Debut Year]]&lt;=2020,"2016–2020",
"2021–2025")))))</f>
        <v>1999–2000</v>
      </c>
      <c r="I308" s="10">
        <v>10293</v>
      </c>
      <c r="J308" s="10">
        <v>6016.2</v>
      </c>
      <c r="K308" s="10">
        <v>4284.3</v>
      </c>
      <c r="L308" s="4">
        <v>745.9</v>
      </c>
      <c r="M308" s="6">
        <f>Table2[[#This Row],[% of Solo Streams]]/100</f>
        <v>7.2466724960000006E-2</v>
      </c>
      <c r="N308" s="3">
        <v>9547.1</v>
      </c>
      <c r="O308" s="6">
        <f>Table2[[#This Row],[% of Collaborative Streams]]/100</f>
        <v>0.92753327499999993</v>
      </c>
      <c r="P308" s="4">
        <f>Table3[[#This Row],[Lead Streams (in millions)]]+Table3[[#This Row],[Feature Streams (in millions)]]</f>
        <v>10300.5</v>
      </c>
      <c r="Q308" s="4">
        <f>_xlfn.RANK.EQ(Table3[[#This Row],[Total Stream]],Table3[Total Stream],0)</f>
        <v>307</v>
      </c>
      <c r="R308" s="4">
        <f>Table3[[#This Row],[Total Streams (in millions)]]-Table3[[#This Row],[Total Stream]]</f>
        <v>-7.5</v>
      </c>
      <c r="S308" s="8">
        <f>IFERROR(Table3[[#This Row],[Collaborative Streams (in millions)]]/Table3[[#This Row],[Total Stream]],0)</f>
        <v>0.92685791951846996</v>
      </c>
      <c r="T308" t="str">
        <f>IF(Table3[[#This Row],[Total Streams (in millions)]]&gt;=50000,"High Performer",IF(Table3[[#This Row],[Total Streams (in millions)]]&gt;=20000,"Medium Performer","Low Performer"))</f>
        <v>Low Performer</v>
      </c>
    </row>
    <row r="309" spans="1:20" x14ac:dyDescent="0.3">
      <c r="A309" s="11" t="s">
        <v>384</v>
      </c>
      <c r="B309" s="11" t="s">
        <v>14</v>
      </c>
      <c r="C309" s="11" t="s">
        <v>348</v>
      </c>
      <c r="D309" s="11" t="s">
        <v>16</v>
      </c>
      <c r="E309" s="11" t="s">
        <v>349</v>
      </c>
      <c r="F309" s="11" t="s">
        <v>18</v>
      </c>
      <c r="G309" s="12">
        <v>2012</v>
      </c>
      <c r="H309" s="12" t="str">
        <f>IF(Table3[[#This Row],[Debut Year]]&lt;=2000,"1999–2000",
IF(Table3[[#This Row],[Debut Year]]&lt;=2005,"2001–2005",
IF(Table3[[#This Row],[Debut Year]]&lt;=2010,"2006–2010",
IF(Table3[[#This Row],[Debut Year]]&lt;=2015,"2011–2015",
IF(Table3[[#This Row],[Debut Year]]&lt;=2020,"2016–2020",
"2021–2025")))))</f>
        <v>2011–2015</v>
      </c>
      <c r="I309" s="12">
        <v>10290.6</v>
      </c>
      <c r="J309" s="12">
        <v>2289.1999999999998</v>
      </c>
      <c r="K309" s="12">
        <v>8003.8</v>
      </c>
      <c r="L309" s="4">
        <v>4395.8</v>
      </c>
      <c r="M309" s="6">
        <f>Table2[[#This Row],[% of Solo Streams]]/100</f>
        <v>0.42716654030000001</v>
      </c>
      <c r="N309" s="3">
        <v>5894.8</v>
      </c>
      <c r="O309" s="6">
        <f>Table2[[#This Row],[% of Collaborative Streams]]/100</f>
        <v>0.57283345969999999</v>
      </c>
      <c r="P309" s="4">
        <f>Table3[[#This Row],[Lead Streams (in millions)]]+Table3[[#This Row],[Feature Streams (in millions)]]</f>
        <v>10293</v>
      </c>
      <c r="Q309" s="4">
        <f>_xlfn.RANK.EQ(Table3[[#This Row],[Total Stream]],Table3[Total Stream],0)</f>
        <v>308</v>
      </c>
      <c r="R309" s="4">
        <f>Table3[[#This Row],[Total Streams (in millions)]]-Table3[[#This Row],[Total Stream]]</f>
        <v>-2.3999999999996362</v>
      </c>
      <c r="S309" s="8">
        <f>IFERROR(Table3[[#This Row],[Collaborative Streams (in millions)]]/Table3[[#This Row],[Total Stream]],0)</f>
        <v>0.57269989313125425</v>
      </c>
      <c r="T309" t="str">
        <f>IF(Table3[[#This Row],[Total Streams (in millions)]]&gt;=50000,"High Performer",IF(Table3[[#This Row],[Total Streams (in millions)]]&gt;=20000,"Medium Performer","Low Performer"))</f>
        <v>Low Performer</v>
      </c>
    </row>
    <row r="310" spans="1:20" x14ac:dyDescent="0.3">
      <c r="A310" s="9" t="s">
        <v>385</v>
      </c>
      <c r="B310" s="9" t="s">
        <v>14</v>
      </c>
      <c r="C310" s="9" t="s">
        <v>386</v>
      </c>
      <c r="D310" s="9" t="s">
        <v>24</v>
      </c>
      <c r="E310" s="9" t="s">
        <v>82</v>
      </c>
      <c r="F310" s="9" t="s">
        <v>18</v>
      </c>
      <c r="G310" s="10">
        <v>2009</v>
      </c>
      <c r="H310" s="10" t="str">
        <f>IF(Table3[[#This Row],[Debut Year]]&lt;=2000,"1999–2000",
IF(Table3[[#This Row],[Debut Year]]&lt;=2005,"2001–2005",
IF(Table3[[#This Row],[Debut Year]]&lt;=2010,"2006–2010",
IF(Table3[[#This Row],[Debut Year]]&lt;=2015,"2011–2015",
IF(Table3[[#This Row],[Debut Year]]&lt;=2020,"2016–2020",
"2021–2025")))))</f>
        <v>2006–2010</v>
      </c>
      <c r="I310" s="10">
        <v>10234.299999999999</v>
      </c>
      <c r="J310" s="10">
        <v>8102.5</v>
      </c>
      <c r="K310" s="10">
        <v>2138.3000000000002</v>
      </c>
      <c r="L310" s="4">
        <v>6955</v>
      </c>
      <c r="M310" s="6">
        <f>Table2[[#This Row],[% of Solo Streams]]/100</f>
        <v>0.67957749919999999</v>
      </c>
      <c r="N310" s="3">
        <v>3279.3</v>
      </c>
      <c r="O310" s="6">
        <f>Table2[[#This Row],[% of Collaborative Streams]]/100</f>
        <v>0.32042250080000001</v>
      </c>
      <c r="P310" s="4">
        <f>Table3[[#This Row],[Lead Streams (in millions)]]+Table3[[#This Row],[Feature Streams (in millions)]]</f>
        <v>10240.799999999999</v>
      </c>
      <c r="Q310" s="4">
        <f>_xlfn.RANK.EQ(Table3[[#This Row],[Total Stream]],Table3[Total Stream],0)</f>
        <v>309</v>
      </c>
      <c r="R310" s="4">
        <f>Table3[[#This Row],[Total Streams (in millions)]]-Table3[[#This Row],[Total Stream]]</f>
        <v>-6.5</v>
      </c>
      <c r="S310" s="8">
        <f>IFERROR(Table3[[#This Row],[Collaborative Streams (in millions)]]/Table3[[#This Row],[Total Stream]],0)</f>
        <v>0.32021912350597614</v>
      </c>
      <c r="T310" t="str">
        <f>IF(Table3[[#This Row],[Total Streams (in millions)]]&gt;=50000,"High Performer",IF(Table3[[#This Row],[Total Streams (in millions)]]&gt;=20000,"Medium Performer","Low Performer"))</f>
        <v>Low Performer</v>
      </c>
    </row>
    <row r="311" spans="1:20" x14ac:dyDescent="0.3">
      <c r="A311" s="11" t="s">
        <v>387</v>
      </c>
      <c r="B311" s="11" t="s">
        <v>14</v>
      </c>
      <c r="C311" s="11" t="s">
        <v>21</v>
      </c>
      <c r="D311" s="11" t="s">
        <v>16</v>
      </c>
      <c r="E311" s="11" t="s">
        <v>17</v>
      </c>
      <c r="F311" s="11" t="s">
        <v>18</v>
      </c>
      <c r="G311" s="12">
        <v>2003</v>
      </c>
      <c r="H311" s="12" t="str">
        <f>IF(Table3[[#This Row],[Debut Year]]&lt;=2000,"1999–2000",
IF(Table3[[#This Row],[Debut Year]]&lt;=2005,"2001–2005",
IF(Table3[[#This Row],[Debut Year]]&lt;=2010,"2006–2010",
IF(Table3[[#This Row],[Debut Year]]&lt;=2015,"2011–2015",
IF(Table3[[#This Row],[Debut Year]]&lt;=2020,"2016–2020",
"2021–2025")))))</f>
        <v>2001–2005</v>
      </c>
      <c r="I311" s="12">
        <v>10231.200000000001</v>
      </c>
      <c r="J311" s="12">
        <v>7551.1</v>
      </c>
      <c r="K311" s="12">
        <v>2685</v>
      </c>
      <c r="L311" s="4">
        <v>2118.4</v>
      </c>
      <c r="M311" s="6">
        <f>Table2[[#This Row],[% of Solo Streams]]/100</f>
        <v>0.20705293609999997</v>
      </c>
      <c r="N311" s="3">
        <v>8112.8</v>
      </c>
      <c r="O311" s="6">
        <f>Table2[[#This Row],[% of Collaborative Streams]]/100</f>
        <v>0.79294706390000003</v>
      </c>
      <c r="P311" s="4">
        <f>Table3[[#This Row],[Lead Streams (in millions)]]+Table3[[#This Row],[Feature Streams (in millions)]]</f>
        <v>10236.1</v>
      </c>
      <c r="Q311" s="4">
        <f>_xlfn.RANK.EQ(Table3[[#This Row],[Total Stream]],Table3[Total Stream],0)</f>
        <v>310</v>
      </c>
      <c r="R311" s="4">
        <f>Table3[[#This Row],[Total Streams (in millions)]]-Table3[[#This Row],[Total Stream]]</f>
        <v>-4.8999999999996362</v>
      </c>
      <c r="S311" s="8">
        <f>IFERROR(Table3[[#This Row],[Collaborative Streams (in millions)]]/Table3[[#This Row],[Total Stream]],0)</f>
        <v>0.79256748175574676</v>
      </c>
      <c r="T311" t="str">
        <f>IF(Table3[[#This Row],[Total Streams (in millions)]]&gt;=50000,"High Performer",IF(Table3[[#This Row],[Total Streams (in millions)]]&gt;=20000,"Medium Performer","Low Performer"))</f>
        <v>Low Performer</v>
      </c>
    </row>
    <row r="312" spans="1:20" x14ac:dyDescent="0.3">
      <c r="A312" s="9" t="s">
        <v>388</v>
      </c>
      <c r="B312" s="9" t="s">
        <v>14</v>
      </c>
      <c r="C312" s="9" t="s">
        <v>21</v>
      </c>
      <c r="D312" s="9" t="s">
        <v>16</v>
      </c>
      <c r="E312" s="9" t="s">
        <v>51</v>
      </c>
      <c r="F312" s="9" t="s">
        <v>48</v>
      </c>
      <c r="G312" s="10">
        <v>2002</v>
      </c>
      <c r="H312" s="10" t="str">
        <f>IF(Table3[[#This Row],[Debut Year]]&lt;=2000,"1999–2000",
IF(Table3[[#This Row],[Debut Year]]&lt;=2005,"2001–2005",
IF(Table3[[#This Row],[Debut Year]]&lt;=2010,"2006–2010",
IF(Table3[[#This Row],[Debut Year]]&lt;=2015,"2011–2015",
IF(Table3[[#This Row],[Debut Year]]&lt;=2020,"2016–2020",
"2021–2025")))))</f>
        <v>2001–2005</v>
      </c>
      <c r="I312" s="10">
        <v>10180.200000000001</v>
      </c>
      <c r="J312" s="10">
        <v>10185.799999999999</v>
      </c>
      <c r="K312" s="10">
        <v>0</v>
      </c>
      <c r="L312" s="4">
        <v>10132.799999999999</v>
      </c>
      <c r="M312" s="6">
        <f>Table2[[#This Row],[% of Solo Streams]]/100</f>
        <v>0.99534390290000008</v>
      </c>
      <c r="N312" s="3">
        <v>47.4</v>
      </c>
      <c r="O312" s="6">
        <f>Table2[[#This Row],[% of Collaborative Streams]]/100</f>
        <v>4.65609713E-3</v>
      </c>
      <c r="P312" s="4">
        <f>Table3[[#This Row],[Lead Streams (in millions)]]+Table3[[#This Row],[Feature Streams (in millions)]]</f>
        <v>10185.799999999999</v>
      </c>
      <c r="Q312" s="4">
        <f>_xlfn.RANK.EQ(Table3[[#This Row],[Total Stream]],Table3[Total Stream],0)</f>
        <v>311</v>
      </c>
      <c r="R312" s="4">
        <f>Table3[[#This Row],[Total Streams (in millions)]]-Table3[[#This Row],[Total Stream]]</f>
        <v>-5.5999999999985448</v>
      </c>
      <c r="S312" s="8">
        <f>IFERROR(Table3[[#This Row],[Collaborative Streams (in millions)]]/Table3[[#This Row],[Total Stream]],0)</f>
        <v>4.6535372773861654E-3</v>
      </c>
      <c r="T312" t="str">
        <f>IF(Table3[[#This Row],[Total Streams (in millions)]]&gt;=50000,"High Performer",IF(Table3[[#This Row],[Total Streams (in millions)]]&gt;=20000,"Medium Performer","Low Performer"))</f>
        <v>Low Performer</v>
      </c>
    </row>
    <row r="313" spans="1:20" x14ac:dyDescent="0.3">
      <c r="A313" s="11" t="s">
        <v>389</v>
      </c>
      <c r="B313" s="11" t="s">
        <v>20</v>
      </c>
      <c r="C313" s="11" t="s">
        <v>15</v>
      </c>
      <c r="D313" s="11" t="s">
        <v>16</v>
      </c>
      <c r="E313" s="11" t="s">
        <v>22</v>
      </c>
      <c r="F313" s="11" t="s">
        <v>18</v>
      </c>
      <c r="G313" s="12">
        <v>2015</v>
      </c>
      <c r="H313" s="12" t="str">
        <f>IF(Table3[[#This Row],[Debut Year]]&lt;=2000,"1999–2000",
IF(Table3[[#This Row],[Debut Year]]&lt;=2005,"2001–2005",
IF(Table3[[#This Row],[Debut Year]]&lt;=2010,"2006–2010",
IF(Table3[[#This Row],[Debut Year]]&lt;=2015,"2011–2015",
IF(Table3[[#This Row],[Debut Year]]&lt;=2020,"2016–2020",
"2021–2025")))))</f>
        <v>2011–2015</v>
      </c>
      <c r="I313" s="12">
        <v>10179.299999999999</v>
      </c>
      <c r="J313" s="12">
        <v>6431.1</v>
      </c>
      <c r="K313" s="12">
        <v>3750.4</v>
      </c>
      <c r="L313" s="4">
        <v>5420.2</v>
      </c>
      <c r="M313" s="6">
        <f>Table2[[#This Row],[% of Solo Streams]]/100</f>
        <v>0.53247276339999994</v>
      </c>
      <c r="N313" s="3">
        <v>4759.1000000000004</v>
      </c>
      <c r="O313" s="6">
        <f>Table2[[#This Row],[% of Collaborative Streams]]/100</f>
        <v>0.46752723660000001</v>
      </c>
      <c r="P313" s="4">
        <f>Table3[[#This Row],[Lead Streams (in millions)]]+Table3[[#This Row],[Feature Streams (in millions)]]</f>
        <v>10181.5</v>
      </c>
      <c r="Q313" s="4">
        <f>_xlfn.RANK.EQ(Table3[[#This Row],[Total Stream]],Table3[Total Stream],0)</f>
        <v>312</v>
      </c>
      <c r="R313" s="4">
        <f>Table3[[#This Row],[Total Streams (in millions)]]-Table3[[#This Row],[Total Stream]]</f>
        <v>-2.2000000000007276</v>
      </c>
      <c r="S313" s="8">
        <f>IFERROR(Table3[[#This Row],[Collaborative Streams (in millions)]]/Table3[[#This Row],[Total Stream]],0)</f>
        <v>0.46742621421205133</v>
      </c>
      <c r="T313" t="str">
        <f>IF(Table3[[#This Row],[Total Streams (in millions)]]&gt;=50000,"High Performer",IF(Table3[[#This Row],[Total Streams (in millions)]]&gt;=20000,"Medium Performer","Low Performer"))</f>
        <v>Low Performer</v>
      </c>
    </row>
    <row r="314" spans="1:20" x14ac:dyDescent="0.3">
      <c r="A314" s="9" t="s">
        <v>390</v>
      </c>
      <c r="B314" s="9" t="s">
        <v>14</v>
      </c>
      <c r="C314" s="9" t="s">
        <v>71</v>
      </c>
      <c r="D314" s="9" t="s">
        <v>72</v>
      </c>
      <c r="E314" s="9" t="s">
        <v>73</v>
      </c>
      <c r="F314" s="9" t="s">
        <v>48</v>
      </c>
      <c r="G314" s="10">
        <v>1999</v>
      </c>
      <c r="H314" s="10" t="str">
        <f>IF(Table3[[#This Row],[Debut Year]]&lt;=2000,"1999–2000",
IF(Table3[[#This Row],[Debut Year]]&lt;=2005,"2001–2005",
IF(Table3[[#This Row],[Debut Year]]&lt;=2010,"2006–2010",
IF(Table3[[#This Row],[Debut Year]]&lt;=2015,"2011–2015",
IF(Table3[[#This Row],[Debut Year]]&lt;=2020,"2016–2020",
"2021–2025")))))</f>
        <v>1999–2000</v>
      </c>
      <c r="I314" s="10">
        <v>10165</v>
      </c>
      <c r="J314" s="10">
        <v>8858.9</v>
      </c>
      <c r="K314" s="10">
        <v>1312.6</v>
      </c>
      <c r="L314" s="4">
        <v>6.7</v>
      </c>
      <c r="M314" s="6">
        <f>Table2[[#This Row],[% of Solo Streams]]/100</f>
        <v>6.5912444660000001E-4</v>
      </c>
      <c r="N314" s="3">
        <v>10158.299999999999</v>
      </c>
      <c r="O314" s="6">
        <f>Table2[[#This Row],[% of Collaborative Streams]]/100</f>
        <v>0.99934087559999996</v>
      </c>
      <c r="P314" s="4">
        <f>Table3[[#This Row],[Lead Streams (in millions)]]+Table3[[#This Row],[Feature Streams (in millions)]]</f>
        <v>10171.5</v>
      </c>
      <c r="Q314" s="4">
        <f>_xlfn.RANK.EQ(Table3[[#This Row],[Total Stream]],Table3[Total Stream],0)</f>
        <v>313</v>
      </c>
      <c r="R314" s="4">
        <f>Table3[[#This Row],[Total Streams (in millions)]]-Table3[[#This Row],[Total Stream]]</f>
        <v>-6.5</v>
      </c>
      <c r="S314" s="8">
        <f>IFERROR(Table3[[#This Row],[Collaborative Streams (in millions)]]/Table3[[#This Row],[Total Stream]],0)</f>
        <v>0.99870225630437981</v>
      </c>
      <c r="T314" t="str">
        <f>IF(Table3[[#This Row],[Total Streams (in millions)]]&gt;=50000,"High Performer",IF(Table3[[#This Row],[Total Streams (in millions)]]&gt;=20000,"Medium Performer","Low Performer"))</f>
        <v>Low Performer</v>
      </c>
    </row>
    <row r="315" spans="1:20" x14ac:dyDescent="0.3">
      <c r="A315" s="11" t="s">
        <v>391</v>
      </c>
      <c r="B315" s="11" t="s">
        <v>14</v>
      </c>
      <c r="C315" s="11" t="s">
        <v>222</v>
      </c>
      <c r="D315" s="11" t="s">
        <v>24</v>
      </c>
      <c r="E315" s="11" t="s">
        <v>17</v>
      </c>
      <c r="F315" s="11" t="s">
        <v>18</v>
      </c>
      <c r="G315" s="12">
        <v>2017</v>
      </c>
      <c r="H315" s="12" t="str">
        <f>IF(Table3[[#This Row],[Debut Year]]&lt;=2000,"1999–2000",
IF(Table3[[#This Row],[Debut Year]]&lt;=2005,"2001–2005",
IF(Table3[[#This Row],[Debut Year]]&lt;=2010,"2006–2010",
IF(Table3[[#This Row],[Debut Year]]&lt;=2015,"2011–2015",
IF(Table3[[#This Row],[Debut Year]]&lt;=2020,"2016–2020",
"2021–2025")))))</f>
        <v>2016–2020</v>
      </c>
      <c r="I315" s="12">
        <v>10160.5</v>
      </c>
      <c r="J315" s="12">
        <v>8082</v>
      </c>
      <c r="K315" s="12">
        <v>2081.6999999999998</v>
      </c>
      <c r="L315" s="4">
        <v>6415.1</v>
      </c>
      <c r="M315" s="6">
        <f>Table2[[#This Row],[% of Solo Streams]]/100</f>
        <v>0.63137640859999999</v>
      </c>
      <c r="N315" s="3">
        <v>3745.4</v>
      </c>
      <c r="O315" s="6">
        <f>Table2[[#This Row],[% of Collaborative Streams]]/100</f>
        <v>0.36862359140000001</v>
      </c>
      <c r="P315" s="4">
        <f>Table3[[#This Row],[Lead Streams (in millions)]]+Table3[[#This Row],[Feature Streams (in millions)]]</f>
        <v>10163.700000000001</v>
      </c>
      <c r="Q315" s="4">
        <f>_xlfn.RANK.EQ(Table3[[#This Row],[Total Stream]],Table3[Total Stream],0)</f>
        <v>314</v>
      </c>
      <c r="R315" s="4">
        <f>Table3[[#This Row],[Total Streams (in millions)]]-Table3[[#This Row],[Total Stream]]</f>
        <v>-3.2000000000007276</v>
      </c>
      <c r="S315" s="8">
        <f>IFERROR(Table3[[#This Row],[Collaborative Streams (in millions)]]/Table3[[#This Row],[Total Stream]],0)</f>
        <v>0.36850753170597322</v>
      </c>
      <c r="T315" t="str">
        <f>IF(Table3[[#This Row],[Total Streams (in millions)]]&gt;=50000,"High Performer",IF(Table3[[#This Row],[Total Streams (in millions)]]&gt;=20000,"Medium Performer","Low Performer"))</f>
        <v>Low Performer</v>
      </c>
    </row>
    <row r="316" spans="1:20" x14ac:dyDescent="0.3">
      <c r="A316" s="9" t="s">
        <v>392</v>
      </c>
      <c r="B316" s="9" t="s">
        <v>14</v>
      </c>
      <c r="C316" s="9" t="s">
        <v>89</v>
      </c>
      <c r="D316" s="9" t="s">
        <v>24</v>
      </c>
      <c r="E316" s="9" t="s">
        <v>90</v>
      </c>
      <c r="F316" s="9" t="s">
        <v>48</v>
      </c>
      <c r="G316" s="10">
        <v>1997</v>
      </c>
      <c r="H316" s="10" t="str">
        <f>IF(Table3[[#This Row],[Debut Year]]&lt;=2000,"1999–2000",
IF(Table3[[#This Row],[Debut Year]]&lt;=2005,"2001–2005",
IF(Table3[[#This Row],[Debut Year]]&lt;=2010,"2006–2010",
IF(Table3[[#This Row],[Debut Year]]&lt;=2015,"2011–2015",
IF(Table3[[#This Row],[Debut Year]]&lt;=2020,"2016–2020",
"2021–2025")))))</f>
        <v>1999–2000</v>
      </c>
      <c r="I316" s="10">
        <v>10147.9</v>
      </c>
      <c r="J316" s="10">
        <v>10065.9</v>
      </c>
      <c r="K316" s="10">
        <v>89.1</v>
      </c>
      <c r="L316" s="4">
        <v>9956.7999999999993</v>
      </c>
      <c r="M316" s="6">
        <f>Table2[[#This Row],[% of Solo Streams]]/100</f>
        <v>0.98116851760000001</v>
      </c>
      <c r="N316" s="3">
        <v>191.1</v>
      </c>
      <c r="O316" s="6">
        <f>Table2[[#This Row],[% of Collaborative Streams]]/100</f>
        <v>1.883148238E-2</v>
      </c>
      <c r="P316" s="4">
        <f>Table3[[#This Row],[Lead Streams (in millions)]]+Table3[[#This Row],[Feature Streams (in millions)]]</f>
        <v>10155</v>
      </c>
      <c r="Q316" s="4">
        <f>_xlfn.RANK.EQ(Table3[[#This Row],[Total Stream]],Table3[Total Stream],0)</f>
        <v>315</v>
      </c>
      <c r="R316" s="4">
        <f>Table3[[#This Row],[Total Streams (in millions)]]-Table3[[#This Row],[Total Stream]]</f>
        <v>-7.1000000000003638</v>
      </c>
      <c r="S316" s="8">
        <f>IFERROR(Table3[[#This Row],[Collaborative Streams (in millions)]]/Table3[[#This Row],[Total Stream]],0)</f>
        <v>1.8818316100443131E-2</v>
      </c>
      <c r="T316" t="str">
        <f>IF(Table3[[#This Row],[Total Streams (in millions)]]&gt;=50000,"High Performer",IF(Table3[[#This Row],[Total Streams (in millions)]]&gt;=20000,"Medium Performer","Low Performer"))</f>
        <v>Low Performer</v>
      </c>
    </row>
    <row r="317" spans="1:20" x14ac:dyDescent="0.3">
      <c r="A317" s="11" t="s">
        <v>393</v>
      </c>
      <c r="B317" s="11" t="s">
        <v>14</v>
      </c>
      <c r="C317" s="11" t="s">
        <v>21</v>
      </c>
      <c r="D317" s="11" t="s">
        <v>16</v>
      </c>
      <c r="E317" s="11" t="s">
        <v>17</v>
      </c>
      <c r="F317" s="11" t="s">
        <v>18</v>
      </c>
      <c r="G317" s="12">
        <v>2015</v>
      </c>
      <c r="H317" s="12" t="str">
        <f>IF(Table3[[#This Row],[Debut Year]]&lt;=2000,"1999–2000",
IF(Table3[[#This Row],[Debut Year]]&lt;=2005,"2001–2005",
IF(Table3[[#This Row],[Debut Year]]&lt;=2010,"2006–2010",
IF(Table3[[#This Row],[Debut Year]]&lt;=2015,"2011–2015",
IF(Table3[[#This Row],[Debut Year]]&lt;=2020,"2016–2020",
"2021–2025")))))</f>
        <v>2011–2015</v>
      </c>
      <c r="I317" s="12">
        <v>10141.700000000001</v>
      </c>
      <c r="J317" s="12">
        <v>9084.2000000000007</v>
      </c>
      <c r="K317" s="12">
        <v>1067.9000000000001</v>
      </c>
      <c r="L317" s="4">
        <v>7696.5</v>
      </c>
      <c r="M317" s="6">
        <f>Table2[[#This Row],[% of Solo Streams]]/100</f>
        <v>0.75889643750000002</v>
      </c>
      <c r="N317" s="3">
        <v>2445.1999999999998</v>
      </c>
      <c r="O317" s="6">
        <f>Table2[[#This Row],[% of Collaborative Streams]]/100</f>
        <v>0.24110356249999998</v>
      </c>
      <c r="P317" s="4">
        <f>Table3[[#This Row],[Lead Streams (in millions)]]+Table3[[#This Row],[Feature Streams (in millions)]]</f>
        <v>10152.1</v>
      </c>
      <c r="Q317" s="4">
        <f>_xlfn.RANK.EQ(Table3[[#This Row],[Total Stream]],Table3[Total Stream],0)</f>
        <v>316</v>
      </c>
      <c r="R317" s="4">
        <f>Table3[[#This Row],[Total Streams (in millions)]]-Table3[[#This Row],[Total Stream]]</f>
        <v>-10.399999999999636</v>
      </c>
      <c r="S317" s="8">
        <f>IFERROR(Table3[[#This Row],[Collaborative Streams (in millions)]]/Table3[[#This Row],[Total Stream]],0)</f>
        <v>0.24085657154677353</v>
      </c>
      <c r="T317" t="str">
        <f>IF(Table3[[#This Row],[Total Streams (in millions)]]&gt;=50000,"High Performer",IF(Table3[[#This Row],[Total Streams (in millions)]]&gt;=20000,"Medium Performer","Low Performer"))</f>
        <v>Low Performer</v>
      </c>
    </row>
    <row r="318" spans="1:20" x14ac:dyDescent="0.3">
      <c r="A318" s="9" t="s">
        <v>394</v>
      </c>
      <c r="B318" s="9" t="s">
        <v>14</v>
      </c>
      <c r="C318" s="9" t="s">
        <v>166</v>
      </c>
      <c r="D318" s="9" t="s">
        <v>167</v>
      </c>
      <c r="E318" s="9" t="s">
        <v>168</v>
      </c>
      <c r="F318" s="9" t="s">
        <v>48</v>
      </c>
      <c r="G318" s="10">
        <v>2010</v>
      </c>
      <c r="H318" s="10" t="str">
        <f>IF(Table3[[#This Row],[Debut Year]]&lt;=2000,"1999–2000",
IF(Table3[[#This Row],[Debut Year]]&lt;=2005,"2001–2005",
IF(Table3[[#This Row],[Debut Year]]&lt;=2010,"2006–2010",
IF(Table3[[#This Row],[Debut Year]]&lt;=2015,"2011–2015",
IF(Table3[[#This Row],[Debut Year]]&lt;=2020,"2016–2020",
"2021–2025")))))</f>
        <v>2006–2010</v>
      </c>
      <c r="I318" s="10">
        <v>10122.5</v>
      </c>
      <c r="J318" s="10">
        <v>8138.6</v>
      </c>
      <c r="K318" s="10">
        <v>1988.4</v>
      </c>
      <c r="L318" s="4">
        <v>5614.2</v>
      </c>
      <c r="M318" s="6">
        <f>Table2[[#This Row],[% of Solo Streams]]/100</f>
        <v>0.55462583350000005</v>
      </c>
      <c r="N318" s="3">
        <v>4508.3</v>
      </c>
      <c r="O318" s="6">
        <f>Table2[[#This Row],[% of Collaborative Streams]]/100</f>
        <v>0.44537416649999995</v>
      </c>
      <c r="P318" s="4">
        <f>Table3[[#This Row],[Lead Streams (in millions)]]+Table3[[#This Row],[Feature Streams (in millions)]]</f>
        <v>10127</v>
      </c>
      <c r="Q318" s="4">
        <f>_xlfn.RANK.EQ(Table3[[#This Row],[Total Stream]],Table3[Total Stream],0)</f>
        <v>317</v>
      </c>
      <c r="R318" s="4">
        <f>Table3[[#This Row],[Total Streams (in millions)]]-Table3[[#This Row],[Total Stream]]</f>
        <v>-4.5</v>
      </c>
      <c r="S318" s="8">
        <f>IFERROR(Table3[[#This Row],[Collaborative Streams (in millions)]]/Table3[[#This Row],[Total Stream]],0)</f>
        <v>0.44517626147921402</v>
      </c>
      <c r="T318" t="str">
        <f>IF(Table3[[#This Row],[Total Streams (in millions)]]&gt;=50000,"High Performer",IF(Table3[[#This Row],[Total Streams (in millions)]]&gt;=20000,"Medium Performer","Low Performer"))</f>
        <v>Low Performer</v>
      </c>
    </row>
    <row r="319" spans="1:20" x14ac:dyDescent="0.3">
      <c r="A319" s="11" t="s">
        <v>395</v>
      </c>
      <c r="B319" s="11" t="s">
        <v>14</v>
      </c>
      <c r="C319" s="11" t="s">
        <v>166</v>
      </c>
      <c r="D319" s="11" t="s">
        <v>167</v>
      </c>
      <c r="E319" s="11" t="s">
        <v>60</v>
      </c>
      <c r="F319" s="11" t="s">
        <v>18</v>
      </c>
      <c r="G319" s="12">
        <v>2004</v>
      </c>
      <c r="H319" s="12" t="str">
        <f>IF(Table3[[#This Row],[Debut Year]]&lt;=2000,"1999–2000",
IF(Table3[[#This Row],[Debut Year]]&lt;=2005,"2001–2005",
IF(Table3[[#This Row],[Debut Year]]&lt;=2010,"2006–2010",
IF(Table3[[#This Row],[Debut Year]]&lt;=2015,"2011–2015",
IF(Table3[[#This Row],[Debut Year]]&lt;=2020,"2016–2020",
"2021–2025")))))</f>
        <v>2001–2005</v>
      </c>
      <c r="I319" s="12">
        <v>10115.700000000001</v>
      </c>
      <c r="J319" s="12">
        <v>9351.5</v>
      </c>
      <c r="K319" s="12">
        <v>766.2</v>
      </c>
      <c r="L319" s="4">
        <v>269.8</v>
      </c>
      <c r="M319" s="6">
        <f>Table2[[#This Row],[% of Solo Streams]]/100</f>
        <v>2.667141177E-2</v>
      </c>
      <c r="N319" s="3">
        <v>9845.9</v>
      </c>
      <c r="O319" s="6">
        <f>Table2[[#This Row],[% of Collaborative Streams]]/100</f>
        <v>0.97332858820000001</v>
      </c>
      <c r="P319" s="4">
        <f>Table3[[#This Row],[Lead Streams (in millions)]]+Table3[[#This Row],[Feature Streams (in millions)]]</f>
        <v>10117.700000000001</v>
      </c>
      <c r="Q319" s="4">
        <f>_xlfn.RANK.EQ(Table3[[#This Row],[Total Stream]],Table3[Total Stream],0)</f>
        <v>318</v>
      </c>
      <c r="R319" s="4">
        <f>Table3[[#This Row],[Total Streams (in millions)]]-Table3[[#This Row],[Total Stream]]</f>
        <v>-2</v>
      </c>
      <c r="S319" s="8">
        <f>IFERROR(Table3[[#This Row],[Collaborative Streams (in millions)]]/Table3[[#This Row],[Total Stream]],0)</f>
        <v>0.9731361870780908</v>
      </c>
      <c r="T319" t="str">
        <f>IF(Table3[[#This Row],[Total Streams (in millions)]]&gt;=50000,"High Performer",IF(Table3[[#This Row],[Total Streams (in millions)]]&gt;=20000,"Medium Performer","Low Performer"))</f>
        <v>Low Performer</v>
      </c>
    </row>
    <row r="320" spans="1:20" x14ac:dyDescent="0.3">
      <c r="A320" s="9" t="s">
        <v>396</v>
      </c>
      <c r="B320" s="9" t="s">
        <v>14</v>
      </c>
      <c r="C320" s="9" t="s">
        <v>33</v>
      </c>
      <c r="D320" s="9" t="s">
        <v>16</v>
      </c>
      <c r="E320" s="9" t="s">
        <v>51</v>
      </c>
      <c r="F320" s="9" t="s">
        <v>48</v>
      </c>
      <c r="G320" s="10">
        <v>2006</v>
      </c>
      <c r="H320" s="10" t="str">
        <f>IF(Table3[[#This Row],[Debut Year]]&lt;=2000,"1999–2000",
IF(Table3[[#This Row],[Debut Year]]&lt;=2005,"2001–2005",
IF(Table3[[#This Row],[Debut Year]]&lt;=2010,"2006–2010",
IF(Table3[[#This Row],[Debut Year]]&lt;=2015,"2011–2015",
IF(Table3[[#This Row],[Debut Year]]&lt;=2020,"2016–2020",
"2021–2025")))))</f>
        <v>2006–2010</v>
      </c>
      <c r="I320" s="10">
        <v>10108</v>
      </c>
      <c r="J320" s="10">
        <v>8333.7000000000007</v>
      </c>
      <c r="K320" s="10">
        <v>1782</v>
      </c>
      <c r="L320" s="4">
        <v>8006.1</v>
      </c>
      <c r="M320" s="6">
        <f>Table2[[#This Row],[% of Solo Streams]]/100</f>
        <v>0.79205579740000009</v>
      </c>
      <c r="N320" s="3">
        <v>2101.9</v>
      </c>
      <c r="O320" s="6">
        <f>Table2[[#This Row],[% of Collaborative Streams]]/100</f>
        <v>0.20794420259999999</v>
      </c>
      <c r="P320" s="4">
        <f>Table3[[#This Row],[Lead Streams (in millions)]]+Table3[[#This Row],[Feature Streams (in millions)]]</f>
        <v>10115.700000000001</v>
      </c>
      <c r="Q320" s="4">
        <f>_xlfn.RANK.EQ(Table3[[#This Row],[Total Stream]],Table3[Total Stream],0)</f>
        <v>319</v>
      </c>
      <c r="R320" s="4">
        <f>Table3[[#This Row],[Total Streams (in millions)]]-Table3[[#This Row],[Total Stream]]</f>
        <v>-7.7000000000007276</v>
      </c>
      <c r="S320" s="8">
        <f>IFERROR(Table3[[#This Row],[Collaborative Streams (in millions)]]/Table3[[#This Row],[Total Stream]],0)</f>
        <v>0.20778591694099272</v>
      </c>
      <c r="T320" t="str">
        <f>IF(Table3[[#This Row],[Total Streams (in millions)]]&gt;=50000,"High Performer",IF(Table3[[#This Row],[Total Streams (in millions)]]&gt;=20000,"Medium Performer","Low Performer"))</f>
        <v>Low Performer</v>
      </c>
    </row>
    <row r="321" spans="1:20" x14ac:dyDescent="0.3">
      <c r="A321" s="11" t="s">
        <v>397</v>
      </c>
      <c r="B321" s="11" t="s">
        <v>14</v>
      </c>
      <c r="C321" s="11" t="s">
        <v>33</v>
      </c>
      <c r="D321" s="11" t="s">
        <v>16</v>
      </c>
      <c r="E321" s="11" t="s">
        <v>17</v>
      </c>
      <c r="F321" s="11" t="s">
        <v>18</v>
      </c>
      <c r="G321" s="12">
        <v>2014</v>
      </c>
      <c r="H321" s="12" t="str">
        <f>IF(Table3[[#This Row],[Debut Year]]&lt;=2000,"1999–2000",
IF(Table3[[#This Row],[Debut Year]]&lt;=2005,"2001–2005",
IF(Table3[[#This Row],[Debut Year]]&lt;=2010,"2006–2010",
IF(Table3[[#This Row],[Debut Year]]&lt;=2015,"2011–2015",
IF(Table3[[#This Row],[Debut Year]]&lt;=2020,"2016–2020",
"2021–2025")))))</f>
        <v>2011–2015</v>
      </c>
      <c r="I321" s="12">
        <v>10095.5</v>
      </c>
      <c r="J321" s="12">
        <v>6587</v>
      </c>
      <c r="K321" s="12">
        <v>3508.5</v>
      </c>
      <c r="L321" s="4">
        <v>5050.8999999999996</v>
      </c>
      <c r="M321" s="6">
        <f>Table2[[#This Row],[% of Solo Streams]]/100</f>
        <v>0.50031202019999998</v>
      </c>
      <c r="N321" s="3">
        <v>5044.6000000000004</v>
      </c>
      <c r="O321" s="6">
        <f>Table2[[#This Row],[% of Collaborative Streams]]/100</f>
        <v>0.49968797979999996</v>
      </c>
      <c r="P321" s="4">
        <f>Table3[[#This Row],[Lead Streams (in millions)]]+Table3[[#This Row],[Feature Streams (in millions)]]</f>
        <v>10095.5</v>
      </c>
      <c r="Q321" s="4">
        <f>_xlfn.RANK.EQ(Table3[[#This Row],[Total Stream]],Table3[Total Stream],0)</f>
        <v>320</v>
      </c>
      <c r="R321" s="4">
        <f>Table3[[#This Row],[Total Streams (in millions)]]-Table3[[#This Row],[Total Stream]]</f>
        <v>0</v>
      </c>
      <c r="S321" s="8">
        <f>IFERROR(Table3[[#This Row],[Collaborative Streams (in millions)]]/Table3[[#This Row],[Total Stream]],0)</f>
        <v>0.49968797979297713</v>
      </c>
      <c r="T321" t="str">
        <f>IF(Table3[[#This Row],[Total Streams (in millions)]]&gt;=50000,"High Performer",IF(Table3[[#This Row],[Total Streams (in millions)]]&gt;=20000,"Medium Performer","Low Performer"))</f>
        <v>Low Performer</v>
      </c>
    </row>
    <row r="322" spans="1:20" x14ac:dyDescent="0.3">
      <c r="A322" s="9" t="s">
        <v>398</v>
      </c>
      <c r="B322" s="9" t="s">
        <v>78</v>
      </c>
      <c r="C322" s="9" t="s">
        <v>21</v>
      </c>
      <c r="D322" s="9" t="s">
        <v>16</v>
      </c>
      <c r="E322" s="9" t="s">
        <v>139</v>
      </c>
      <c r="F322" s="9" t="s">
        <v>48</v>
      </c>
      <c r="G322" s="10">
        <v>2009</v>
      </c>
      <c r="H322" s="10" t="str">
        <f>IF(Table3[[#This Row],[Debut Year]]&lt;=2000,"1999–2000",
IF(Table3[[#This Row],[Debut Year]]&lt;=2005,"2001–2005",
IF(Table3[[#This Row],[Debut Year]]&lt;=2010,"2006–2010",
IF(Table3[[#This Row],[Debut Year]]&lt;=2015,"2011–2015",
IF(Table3[[#This Row],[Debut Year]]&lt;=2020,"2016–2020",
"2021–2025")))))</f>
        <v>2006–2010</v>
      </c>
      <c r="I322" s="10">
        <v>10048.299999999999</v>
      </c>
      <c r="J322" s="10">
        <v>3456.4</v>
      </c>
      <c r="K322" s="10">
        <v>6591.9</v>
      </c>
      <c r="L322" s="4">
        <v>257</v>
      </c>
      <c r="M322" s="6">
        <f>Table2[[#This Row],[% of Solo Streams]]/100</f>
        <v>2.557646567E-2</v>
      </c>
      <c r="N322" s="3">
        <v>9791.2999999999993</v>
      </c>
      <c r="O322" s="6">
        <f>Table2[[#This Row],[% of Collaborative Streams]]/100</f>
        <v>0.97442353429999995</v>
      </c>
      <c r="P322" s="4">
        <f>Table3[[#This Row],[Lead Streams (in millions)]]+Table3[[#This Row],[Feature Streams (in millions)]]</f>
        <v>10048.299999999999</v>
      </c>
      <c r="Q322" s="4">
        <f>_xlfn.RANK.EQ(Table3[[#This Row],[Total Stream]],Table3[Total Stream],0)</f>
        <v>321</v>
      </c>
      <c r="R322" s="4">
        <f>Table3[[#This Row],[Total Streams (in millions)]]-Table3[[#This Row],[Total Stream]]</f>
        <v>0</v>
      </c>
      <c r="S322" s="8">
        <f>IFERROR(Table3[[#This Row],[Collaborative Streams (in millions)]]/Table3[[#This Row],[Total Stream]],0)</f>
        <v>0.97442353432919004</v>
      </c>
      <c r="T322" t="str">
        <f>IF(Table3[[#This Row],[Total Streams (in millions)]]&gt;=50000,"High Performer",IF(Table3[[#This Row],[Total Streams (in millions)]]&gt;=20000,"Medium Performer","Low Performer"))</f>
        <v>Low Performer</v>
      </c>
    </row>
    <row r="323" spans="1:20" x14ac:dyDescent="0.3">
      <c r="A323" s="11" t="s">
        <v>399</v>
      </c>
      <c r="B323" s="11" t="s">
        <v>14</v>
      </c>
      <c r="C323" s="11" t="s">
        <v>15</v>
      </c>
      <c r="D323" s="11" t="s">
        <v>16</v>
      </c>
      <c r="E323" s="11" t="s">
        <v>51</v>
      </c>
      <c r="F323" s="11" t="s">
        <v>18</v>
      </c>
      <c r="G323" s="12">
        <v>2012</v>
      </c>
      <c r="H323" s="12" t="str">
        <f>IF(Table3[[#This Row],[Debut Year]]&lt;=2000,"1999–2000",
IF(Table3[[#This Row],[Debut Year]]&lt;=2005,"2001–2005",
IF(Table3[[#This Row],[Debut Year]]&lt;=2010,"2006–2010",
IF(Table3[[#This Row],[Debut Year]]&lt;=2015,"2011–2015",
IF(Table3[[#This Row],[Debut Year]]&lt;=2020,"2016–2020",
"2021–2025")))))</f>
        <v>2011–2015</v>
      </c>
      <c r="I323" s="12">
        <v>9970.2000000000007</v>
      </c>
      <c r="J323" s="12">
        <v>9813.7000000000007</v>
      </c>
      <c r="K323" s="12">
        <v>161.5</v>
      </c>
      <c r="L323" s="4">
        <v>9795.7999999999993</v>
      </c>
      <c r="M323" s="6">
        <f>Table2[[#This Row],[% of Solo Streams]]/100</f>
        <v>0.98250787349999991</v>
      </c>
      <c r="N323" s="3">
        <v>174.4</v>
      </c>
      <c r="O323" s="6">
        <f>Table2[[#This Row],[% of Collaborative Streams]]/100</f>
        <v>1.749212654E-2</v>
      </c>
      <c r="P323" s="4">
        <f>Table3[[#This Row],[Lead Streams (in millions)]]+Table3[[#This Row],[Feature Streams (in millions)]]</f>
        <v>9975.2000000000007</v>
      </c>
      <c r="Q323" s="4">
        <f>_xlfn.RANK.EQ(Table3[[#This Row],[Total Stream]],Table3[Total Stream],0)</f>
        <v>322</v>
      </c>
      <c r="R323" s="4">
        <f>Table3[[#This Row],[Total Streams (in millions)]]-Table3[[#This Row],[Total Stream]]</f>
        <v>-5</v>
      </c>
      <c r="S323" s="8">
        <f>IFERROR(Table3[[#This Row],[Collaborative Streams (in millions)]]/Table3[[#This Row],[Total Stream]],0)</f>
        <v>1.7483358729649529E-2</v>
      </c>
      <c r="T323" t="str">
        <f>IF(Table3[[#This Row],[Total Streams (in millions)]]&gt;=50000,"High Performer",IF(Table3[[#This Row],[Total Streams (in millions)]]&gt;=20000,"Medium Performer","Low Performer"))</f>
        <v>Low Performer</v>
      </c>
    </row>
    <row r="324" spans="1:20" x14ac:dyDescent="0.3">
      <c r="A324" s="9" t="s">
        <v>400</v>
      </c>
      <c r="B324" s="9" t="s">
        <v>14</v>
      </c>
      <c r="C324" s="9" t="s">
        <v>21</v>
      </c>
      <c r="D324" s="9" t="s">
        <v>16</v>
      </c>
      <c r="E324" s="9" t="s">
        <v>22</v>
      </c>
      <c r="F324" s="9" t="s">
        <v>18</v>
      </c>
      <c r="G324" s="10">
        <v>2021</v>
      </c>
      <c r="H324" s="10" t="str">
        <f>IF(Table3[[#This Row],[Debut Year]]&lt;=2000,"1999–2000",
IF(Table3[[#This Row],[Debut Year]]&lt;=2005,"2001–2005",
IF(Table3[[#This Row],[Debut Year]]&lt;=2010,"2006–2010",
IF(Table3[[#This Row],[Debut Year]]&lt;=2015,"2011–2015",
IF(Table3[[#This Row],[Debut Year]]&lt;=2020,"2016–2020",
"2021–2025")))))</f>
        <v>2021–2025</v>
      </c>
      <c r="I324" s="10">
        <v>9949.6</v>
      </c>
      <c r="J324" s="10">
        <v>9956.4</v>
      </c>
      <c r="K324" s="10">
        <v>0</v>
      </c>
      <c r="L324" s="4">
        <v>9911.9</v>
      </c>
      <c r="M324" s="6">
        <f>Table2[[#This Row],[% of Solo Streams]]/100</f>
        <v>0.99621090300000004</v>
      </c>
      <c r="N324" s="3">
        <v>37.700000000000003</v>
      </c>
      <c r="O324" s="6">
        <f>Table2[[#This Row],[% of Collaborative Streams]]/100</f>
        <v>3.7890970489999998E-3</v>
      </c>
      <c r="P324" s="4">
        <f>Table3[[#This Row],[Lead Streams (in millions)]]+Table3[[#This Row],[Feature Streams (in millions)]]</f>
        <v>9956.4</v>
      </c>
      <c r="Q324" s="4">
        <f>_xlfn.RANK.EQ(Table3[[#This Row],[Total Stream]],Table3[Total Stream],0)</f>
        <v>323</v>
      </c>
      <c r="R324" s="4">
        <f>Table3[[#This Row],[Total Streams (in millions)]]-Table3[[#This Row],[Total Stream]]</f>
        <v>-6.7999999999992724</v>
      </c>
      <c r="S324" s="8">
        <f>IFERROR(Table3[[#This Row],[Collaborative Streams (in millions)]]/Table3[[#This Row],[Total Stream]],0)</f>
        <v>3.786509180024909E-3</v>
      </c>
      <c r="T324" t="str">
        <f>IF(Table3[[#This Row],[Total Streams (in millions)]]&gt;=50000,"High Performer",IF(Table3[[#This Row],[Total Streams (in millions)]]&gt;=20000,"Medium Performer","Low Performer"))</f>
        <v>Low Performer</v>
      </c>
    </row>
    <row r="325" spans="1:20" x14ac:dyDescent="0.3">
      <c r="A325" s="11" t="s">
        <v>401</v>
      </c>
      <c r="B325" s="11" t="s">
        <v>14</v>
      </c>
      <c r="C325" s="11" t="s">
        <v>21</v>
      </c>
      <c r="D325" s="11" t="s">
        <v>24</v>
      </c>
      <c r="E325" s="11" t="s">
        <v>25</v>
      </c>
      <c r="F325" s="11" t="s">
        <v>18</v>
      </c>
      <c r="G325" s="12">
        <v>2014</v>
      </c>
      <c r="H325" s="12" t="str">
        <f>IF(Table3[[#This Row],[Debut Year]]&lt;=2000,"1999–2000",
IF(Table3[[#This Row],[Debut Year]]&lt;=2005,"2001–2005",
IF(Table3[[#This Row],[Debut Year]]&lt;=2010,"2006–2010",
IF(Table3[[#This Row],[Debut Year]]&lt;=2015,"2011–2015",
IF(Table3[[#This Row],[Debut Year]]&lt;=2020,"2016–2020",
"2021–2025")))))</f>
        <v>2011–2015</v>
      </c>
      <c r="I325" s="12">
        <v>9948.7000000000007</v>
      </c>
      <c r="J325" s="12">
        <v>4105.3</v>
      </c>
      <c r="K325" s="12">
        <v>5843.4</v>
      </c>
      <c r="L325" s="4">
        <v>471.7</v>
      </c>
      <c r="M325" s="6">
        <f>Table2[[#This Row],[% of Solo Streams]]/100</f>
        <v>4.7413229870000004E-2</v>
      </c>
      <c r="N325" s="3">
        <v>9477</v>
      </c>
      <c r="O325" s="6">
        <f>Table2[[#This Row],[% of Collaborative Streams]]/100</f>
        <v>0.95258677010000004</v>
      </c>
      <c r="P325" s="4">
        <f>Table3[[#This Row],[Lead Streams (in millions)]]+Table3[[#This Row],[Feature Streams (in millions)]]</f>
        <v>9948.7000000000007</v>
      </c>
      <c r="Q325" s="4">
        <f>_xlfn.RANK.EQ(Table3[[#This Row],[Total Stream]],Table3[Total Stream],0)</f>
        <v>324</v>
      </c>
      <c r="R325" s="4">
        <f>Table3[[#This Row],[Total Streams (in millions)]]-Table3[[#This Row],[Total Stream]]</f>
        <v>0</v>
      </c>
      <c r="S325" s="8">
        <f>IFERROR(Table3[[#This Row],[Collaborative Streams (in millions)]]/Table3[[#This Row],[Total Stream]],0)</f>
        <v>0.95258677013077075</v>
      </c>
      <c r="T325" t="str">
        <f>IF(Table3[[#This Row],[Total Streams (in millions)]]&gt;=50000,"High Performer",IF(Table3[[#This Row],[Total Streams (in millions)]]&gt;=20000,"Medium Performer","Low Performer"))</f>
        <v>Low Performer</v>
      </c>
    </row>
    <row r="326" spans="1:20" x14ac:dyDescent="0.3">
      <c r="A326" s="9" t="s">
        <v>402</v>
      </c>
      <c r="B326" s="9" t="s">
        <v>14</v>
      </c>
      <c r="C326" s="9" t="s">
        <v>15</v>
      </c>
      <c r="D326" s="9" t="s">
        <v>16</v>
      </c>
      <c r="E326" s="9" t="s">
        <v>51</v>
      </c>
      <c r="F326" s="9" t="s">
        <v>48</v>
      </c>
      <c r="G326" s="10">
        <v>1996</v>
      </c>
      <c r="H326" s="10" t="str">
        <f>IF(Table3[[#This Row],[Debut Year]]&lt;=2000,"1999–2000",
IF(Table3[[#This Row],[Debut Year]]&lt;=2005,"2001–2005",
IF(Table3[[#This Row],[Debut Year]]&lt;=2010,"2006–2010",
IF(Table3[[#This Row],[Debut Year]]&lt;=2015,"2011–2015",
IF(Table3[[#This Row],[Debut Year]]&lt;=2020,"2016–2020",
"2021–2025")))))</f>
        <v>1999–2000</v>
      </c>
      <c r="I326" s="10">
        <v>9933.4</v>
      </c>
      <c r="J326" s="10">
        <v>9932.9</v>
      </c>
      <c r="K326" s="10">
        <v>6.1</v>
      </c>
      <c r="L326" s="4">
        <v>9864.7000000000007</v>
      </c>
      <c r="M326" s="6">
        <f>Table2[[#This Row],[% of Solo Streams]]/100</f>
        <v>0.99308393900000003</v>
      </c>
      <c r="N326" s="3">
        <v>68.7</v>
      </c>
      <c r="O326" s="6">
        <f>Table2[[#This Row],[% of Collaborative Streams]]/100</f>
        <v>6.9160609660000004E-3</v>
      </c>
      <c r="P326" s="4">
        <f>Table3[[#This Row],[Lead Streams (in millions)]]+Table3[[#This Row],[Feature Streams (in millions)]]</f>
        <v>9939</v>
      </c>
      <c r="Q326" s="4">
        <f>_xlfn.RANK.EQ(Table3[[#This Row],[Total Stream]],Table3[Total Stream],0)</f>
        <v>325</v>
      </c>
      <c r="R326" s="4">
        <f>Table3[[#This Row],[Total Streams (in millions)]]-Table3[[#This Row],[Total Stream]]</f>
        <v>-5.6000000000003638</v>
      </c>
      <c r="S326" s="8">
        <f>IFERROR(Table3[[#This Row],[Collaborative Streams (in millions)]]/Table3[[#This Row],[Total Stream]],0)</f>
        <v>6.9121642016299429E-3</v>
      </c>
      <c r="T326" t="str">
        <f>IF(Table3[[#This Row],[Total Streams (in millions)]]&gt;=50000,"High Performer",IF(Table3[[#This Row],[Total Streams (in millions)]]&gt;=20000,"Medium Performer","Low Performer"))</f>
        <v>Low Performer</v>
      </c>
    </row>
    <row r="327" spans="1:20" x14ac:dyDescent="0.3">
      <c r="A327" s="11" t="s">
        <v>403</v>
      </c>
      <c r="B327" s="11" t="s">
        <v>14</v>
      </c>
      <c r="C327" s="11" t="s">
        <v>21</v>
      </c>
      <c r="D327" s="11" t="s">
        <v>24</v>
      </c>
      <c r="E327" s="11" t="s">
        <v>82</v>
      </c>
      <c r="F327" s="11" t="s">
        <v>18</v>
      </c>
      <c r="G327" s="12">
        <v>1988</v>
      </c>
      <c r="H327" s="12" t="str">
        <f>IF(Table3[[#This Row],[Debut Year]]&lt;=2000,"1999–2000",
IF(Table3[[#This Row],[Debut Year]]&lt;=2005,"2001–2005",
IF(Table3[[#This Row],[Debut Year]]&lt;=2010,"2006–2010",
IF(Table3[[#This Row],[Debut Year]]&lt;=2015,"2011–2015",
IF(Table3[[#This Row],[Debut Year]]&lt;=2020,"2016–2020",
"2021–2025")))))</f>
        <v>1999–2000</v>
      </c>
      <c r="I327" s="12">
        <v>9914.5</v>
      </c>
      <c r="J327" s="12">
        <v>6239</v>
      </c>
      <c r="K327" s="12">
        <v>3689.5</v>
      </c>
      <c r="L327" s="4">
        <v>5931.4</v>
      </c>
      <c r="M327" s="6">
        <f>Table2[[#This Row],[% of Solo Streams]]/100</f>
        <v>0.59825508090000001</v>
      </c>
      <c r="N327" s="3">
        <v>3983.1</v>
      </c>
      <c r="O327" s="6">
        <f>Table2[[#This Row],[% of Collaborative Streams]]/100</f>
        <v>0.40174491909999999</v>
      </c>
      <c r="P327" s="4">
        <f>Table3[[#This Row],[Lead Streams (in millions)]]+Table3[[#This Row],[Feature Streams (in millions)]]</f>
        <v>9928.5</v>
      </c>
      <c r="Q327" s="4">
        <f>_xlfn.RANK.EQ(Table3[[#This Row],[Total Stream]],Table3[Total Stream],0)</f>
        <v>326</v>
      </c>
      <c r="R327" s="4">
        <f>Table3[[#This Row],[Total Streams (in millions)]]-Table3[[#This Row],[Total Stream]]</f>
        <v>-14</v>
      </c>
      <c r="S327" s="8">
        <f>IFERROR(Table3[[#This Row],[Collaborative Streams (in millions)]]/Table3[[#This Row],[Total Stream]],0)</f>
        <v>0.40117842574407009</v>
      </c>
      <c r="T327" t="str">
        <f>IF(Table3[[#This Row],[Total Streams (in millions)]]&gt;=50000,"High Performer",IF(Table3[[#This Row],[Total Streams (in millions)]]&gt;=20000,"Medium Performer","Low Performer"))</f>
        <v>Low Performer</v>
      </c>
    </row>
    <row r="328" spans="1:20" x14ac:dyDescent="0.3">
      <c r="A328" s="9" t="s">
        <v>404</v>
      </c>
      <c r="B328" s="9" t="s">
        <v>78</v>
      </c>
      <c r="C328" s="9" t="s">
        <v>89</v>
      </c>
      <c r="D328" s="9" t="s">
        <v>24</v>
      </c>
      <c r="E328" s="9" t="s">
        <v>51</v>
      </c>
      <c r="F328" s="9" t="s">
        <v>48</v>
      </c>
      <c r="G328" s="10">
        <v>1987</v>
      </c>
      <c r="H328" s="10" t="str">
        <f>IF(Table3[[#This Row],[Debut Year]]&lt;=2000,"1999–2000",
IF(Table3[[#This Row],[Debut Year]]&lt;=2005,"2001–2005",
IF(Table3[[#This Row],[Debut Year]]&lt;=2010,"2006–2010",
IF(Table3[[#This Row],[Debut Year]]&lt;=2015,"2011–2015",
IF(Table3[[#This Row],[Debut Year]]&lt;=2020,"2016–2020",
"2021–2025")))))</f>
        <v>1999–2000</v>
      </c>
      <c r="I328" s="10">
        <v>9914.4</v>
      </c>
      <c r="J328" s="10">
        <v>9921.1</v>
      </c>
      <c r="K328" s="10">
        <v>6.1</v>
      </c>
      <c r="L328" s="4">
        <v>7817.7</v>
      </c>
      <c r="M328" s="6">
        <f>Table2[[#This Row],[% of Solo Streams]]/100</f>
        <v>0.78851972889999999</v>
      </c>
      <c r="N328" s="3">
        <v>2096.6999999999998</v>
      </c>
      <c r="O328" s="6">
        <f>Table2[[#This Row],[% of Collaborative Streams]]/100</f>
        <v>0.21148027110000001</v>
      </c>
      <c r="P328" s="4">
        <f>Table3[[#This Row],[Lead Streams (in millions)]]+Table3[[#This Row],[Feature Streams (in millions)]]</f>
        <v>9927.2000000000007</v>
      </c>
      <c r="Q328" s="4">
        <f>_xlfn.RANK.EQ(Table3[[#This Row],[Total Stream]],Table3[Total Stream],0)</f>
        <v>327</v>
      </c>
      <c r="R328" s="4">
        <f>Table3[[#This Row],[Total Streams (in millions)]]-Table3[[#This Row],[Total Stream]]</f>
        <v>-12.800000000001091</v>
      </c>
      <c r="S328" s="8">
        <f>IFERROR(Table3[[#This Row],[Collaborative Streams (in millions)]]/Table3[[#This Row],[Total Stream]],0)</f>
        <v>0.21120759126440483</v>
      </c>
      <c r="T328" t="str">
        <f>IF(Table3[[#This Row],[Total Streams (in millions)]]&gt;=50000,"High Performer",IF(Table3[[#This Row],[Total Streams (in millions)]]&gt;=20000,"Medium Performer","Low Performer"))</f>
        <v>Low Performer</v>
      </c>
    </row>
    <row r="329" spans="1:20" x14ac:dyDescent="0.3">
      <c r="A329" s="11" t="s">
        <v>405</v>
      </c>
      <c r="B329" s="11" t="s">
        <v>14</v>
      </c>
      <c r="C329" s="11" t="s">
        <v>33</v>
      </c>
      <c r="D329" s="11" t="s">
        <v>16</v>
      </c>
      <c r="E329" s="11" t="s">
        <v>51</v>
      </c>
      <c r="F329" s="11" t="s">
        <v>48</v>
      </c>
      <c r="G329" s="12">
        <v>1969</v>
      </c>
      <c r="H329" s="12" t="str">
        <f>IF(Table3[[#This Row],[Debut Year]]&lt;=2000,"1999–2000",
IF(Table3[[#This Row],[Debut Year]]&lt;=2005,"2001–2005",
IF(Table3[[#This Row],[Debut Year]]&lt;=2010,"2006–2010",
IF(Table3[[#This Row],[Debut Year]]&lt;=2015,"2011–2015",
IF(Table3[[#This Row],[Debut Year]]&lt;=2020,"2016–2020",
"2021–2025")))))</f>
        <v>1999–2000</v>
      </c>
      <c r="I329" s="12">
        <v>9909.5</v>
      </c>
      <c r="J329" s="12">
        <v>9912.7999999999993</v>
      </c>
      <c r="K329" s="12">
        <v>0</v>
      </c>
      <c r="L329" s="4">
        <v>9909.5</v>
      </c>
      <c r="M329" s="6">
        <f>Table2[[#This Row],[% of Solo Streams]]/100</f>
        <v>1</v>
      </c>
      <c r="N329" s="3">
        <v>0</v>
      </c>
      <c r="O329" s="6">
        <f>Table2[[#This Row],[% of Collaborative Streams]]/100</f>
        <v>0</v>
      </c>
      <c r="P329" s="4">
        <f>Table3[[#This Row],[Lead Streams (in millions)]]+Table3[[#This Row],[Feature Streams (in millions)]]</f>
        <v>9912.7999999999993</v>
      </c>
      <c r="Q329" s="4">
        <f>_xlfn.RANK.EQ(Table3[[#This Row],[Total Stream]],Table3[Total Stream],0)</f>
        <v>328</v>
      </c>
      <c r="R329" s="4">
        <f>Table3[[#This Row],[Total Streams (in millions)]]-Table3[[#This Row],[Total Stream]]</f>
        <v>-3.2999999999992724</v>
      </c>
      <c r="S329" s="8">
        <f>IFERROR(Table3[[#This Row],[Collaborative Streams (in millions)]]/Table3[[#This Row],[Total Stream]],0)</f>
        <v>0</v>
      </c>
      <c r="T329" t="str">
        <f>IF(Table3[[#This Row],[Total Streams (in millions)]]&gt;=50000,"High Performer",IF(Table3[[#This Row],[Total Streams (in millions)]]&gt;=20000,"Medium Performer","Low Performer"))</f>
        <v>Low Performer</v>
      </c>
    </row>
    <row r="330" spans="1:20" x14ac:dyDescent="0.3">
      <c r="A330" s="9" t="s">
        <v>406</v>
      </c>
      <c r="B330" s="9" t="s">
        <v>78</v>
      </c>
      <c r="C330" s="9" t="s">
        <v>407</v>
      </c>
      <c r="D330" s="9" t="s">
        <v>408</v>
      </c>
      <c r="E330" s="9" t="s">
        <v>51</v>
      </c>
      <c r="F330" s="9" t="s">
        <v>48</v>
      </c>
      <c r="G330" s="10">
        <v>2017</v>
      </c>
      <c r="H330" s="10" t="str">
        <f>IF(Table3[[#This Row],[Debut Year]]&lt;=2000,"1999–2000",
IF(Table3[[#This Row],[Debut Year]]&lt;=2005,"2001–2005",
IF(Table3[[#This Row],[Debut Year]]&lt;=2010,"2006–2010",
IF(Table3[[#This Row],[Debut Year]]&lt;=2015,"2011–2015",
IF(Table3[[#This Row],[Debut Year]]&lt;=2020,"2016–2020",
"2021–2025")))))</f>
        <v>2016–2020</v>
      </c>
      <c r="I330" s="10">
        <v>9899.4</v>
      </c>
      <c r="J330" s="10">
        <v>9883</v>
      </c>
      <c r="K330" s="10">
        <v>20.100000000000001</v>
      </c>
      <c r="L330" s="4">
        <v>9351.9</v>
      </c>
      <c r="M330" s="6">
        <f>Table2[[#This Row],[% of Solo Streams]]/100</f>
        <v>0.94469361780000005</v>
      </c>
      <c r="N330" s="3">
        <v>547.5</v>
      </c>
      <c r="O330" s="6">
        <f>Table2[[#This Row],[% of Collaborative Streams]]/100</f>
        <v>5.5306382200000004E-2</v>
      </c>
      <c r="P330" s="4">
        <f>Table3[[#This Row],[Lead Streams (in millions)]]+Table3[[#This Row],[Feature Streams (in millions)]]</f>
        <v>9903.1</v>
      </c>
      <c r="Q330" s="4">
        <f>_xlfn.RANK.EQ(Table3[[#This Row],[Total Stream]],Table3[Total Stream],0)</f>
        <v>329</v>
      </c>
      <c r="R330" s="4">
        <f>Table3[[#This Row],[Total Streams (in millions)]]-Table3[[#This Row],[Total Stream]]</f>
        <v>-3.7000000000007276</v>
      </c>
      <c r="S330" s="8">
        <f>IFERROR(Table3[[#This Row],[Collaborative Streams (in millions)]]/Table3[[#This Row],[Total Stream]],0)</f>
        <v>5.528571861336349E-2</v>
      </c>
      <c r="T330" t="str">
        <f>IF(Table3[[#This Row],[Total Streams (in millions)]]&gt;=50000,"High Performer",IF(Table3[[#This Row],[Total Streams (in millions)]]&gt;=20000,"Medium Performer","Low Performer"))</f>
        <v>Low Performer</v>
      </c>
    </row>
    <row r="331" spans="1:20" x14ac:dyDescent="0.3">
      <c r="A331" s="11" t="s">
        <v>409</v>
      </c>
      <c r="B331" s="11" t="s">
        <v>14</v>
      </c>
      <c r="C331" s="11" t="s">
        <v>21</v>
      </c>
      <c r="D331" s="11" t="s">
        <v>16</v>
      </c>
      <c r="E331" s="11" t="s">
        <v>98</v>
      </c>
      <c r="F331" s="11" t="s">
        <v>48</v>
      </c>
      <c r="G331" s="12">
        <v>2010</v>
      </c>
      <c r="H331" s="12" t="str">
        <f>IF(Table3[[#This Row],[Debut Year]]&lt;=2000,"1999–2000",
IF(Table3[[#This Row],[Debut Year]]&lt;=2005,"2001–2005",
IF(Table3[[#This Row],[Debut Year]]&lt;=2010,"2006–2010",
IF(Table3[[#This Row],[Debut Year]]&lt;=2015,"2011–2015",
IF(Table3[[#This Row],[Debut Year]]&lt;=2020,"2016–2020",
"2021–2025")))))</f>
        <v>2006–2010</v>
      </c>
      <c r="I331" s="12">
        <v>9869.2999999999993</v>
      </c>
      <c r="J331" s="12">
        <v>6437</v>
      </c>
      <c r="K331" s="12">
        <v>3432.3</v>
      </c>
      <c r="L331" s="4">
        <v>4558.7</v>
      </c>
      <c r="M331" s="6">
        <f>Table2[[#This Row],[% of Solo Streams]]/100</f>
        <v>0.46190712610000001</v>
      </c>
      <c r="N331" s="3">
        <v>5310.6</v>
      </c>
      <c r="O331" s="6">
        <f>Table2[[#This Row],[% of Collaborative Streams]]/100</f>
        <v>0.53809287390000005</v>
      </c>
      <c r="P331" s="4">
        <f>Table3[[#This Row],[Lead Streams (in millions)]]+Table3[[#This Row],[Feature Streams (in millions)]]</f>
        <v>9869.2999999999993</v>
      </c>
      <c r="Q331" s="4">
        <f>_xlfn.RANK.EQ(Table3[[#This Row],[Total Stream]],Table3[Total Stream],0)</f>
        <v>330</v>
      </c>
      <c r="R331" s="4">
        <f>Table3[[#This Row],[Total Streams (in millions)]]-Table3[[#This Row],[Total Stream]]</f>
        <v>0</v>
      </c>
      <c r="S331" s="8">
        <f>IFERROR(Table3[[#This Row],[Collaborative Streams (in millions)]]/Table3[[#This Row],[Total Stream]],0)</f>
        <v>0.53809287386136817</v>
      </c>
      <c r="T331" t="str">
        <f>IF(Table3[[#This Row],[Total Streams (in millions)]]&gt;=50000,"High Performer",IF(Table3[[#This Row],[Total Streams (in millions)]]&gt;=20000,"Medium Performer","Low Performer"))</f>
        <v>Low Performer</v>
      </c>
    </row>
    <row r="332" spans="1:20" x14ac:dyDescent="0.3">
      <c r="A332" s="9" t="s">
        <v>410</v>
      </c>
      <c r="B332" s="9" t="s">
        <v>14</v>
      </c>
      <c r="C332" s="9" t="s">
        <v>21</v>
      </c>
      <c r="D332" s="9" t="s">
        <v>24</v>
      </c>
      <c r="E332" s="9" t="s">
        <v>82</v>
      </c>
      <c r="F332" s="9" t="s">
        <v>18</v>
      </c>
      <c r="G332" s="10">
        <v>1998</v>
      </c>
      <c r="H332" s="10" t="str">
        <f>IF(Table3[[#This Row],[Debut Year]]&lt;=2000,"1999–2000",
IF(Table3[[#This Row],[Debut Year]]&lt;=2005,"2001–2005",
IF(Table3[[#This Row],[Debut Year]]&lt;=2010,"2006–2010",
IF(Table3[[#This Row],[Debut Year]]&lt;=2015,"2011–2015",
IF(Table3[[#This Row],[Debut Year]]&lt;=2020,"2016–2020",
"2021–2025")))))</f>
        <v>1999–2000</v>
      </c>
      <c r="I332" s="10">
        <v>9862.6</v>
      </c>
      <c r="J332" s="10">
        <v>4889.8</v>
      </c>
      <c r="K332" s="10">
        <v>4976.3999999999996</v>
      </c>
      <c r="L332" s="4">
        <v>1538.9</v>
      </c>
      <c r="M332" s="6">
        <f>Table2[[#This Row],[% of Solo Streams]]/100</f>
        <v>0.15603390589999999</v>
      </c>
      <c r="N332" s="3">
        <v>8323.7000000000007</v>
      </c>
      <c r="O332" s="6">
        <f>Table2[[#This Row],[% of Collaborative Streams]]/100</f>
        <v>0.84396609410000001</v>
      </c>
      <c r="P332" s="4">
        <f>Table3[[#This Row],[Lead Streams (in millions)]]+Table3[[#This Row],[Feature Streams (in millions)]]</f>
        <v>9866.2000000000007</v>
      </c>
      <c r="Q332" s="4">
        <f>_xlfn.RANK.EQ(Table3[[#This Row],[Total Stream]],Table3[Total Stream],0)</f>
        <v>331</v>
      </c>
      <c r="R332" s="4">
        <f>Table3[[#This Row],[Total Streams (in millions)]]-Table3[[#This Row],[Total Stream]]</f>
        <v>-3.6000000000003638</v>
      </c>
      <c r="S332" s="8">
        <f>IFERROR(Table3[[#This Row],[Collaborative Streams (in millions)]]/Table3[[#This Row],[Total Stream]],0)</f>
        <v>0.84365814599339162</v>
      </c>
      <c r="T332" t="str">
        <f>IF(Table3[[#This Row],[Total Streams (in millions)]]&gt;=50000,"High Performer",IF(Table3[[#This Row],[Total Streams (in millions)]]&gt;=20000,"Medium Performer","Low Performer"))</f>
        <v>Low Performer</v>
      </c>
    </row>
    <row r="333" spans="1:20" x14ac:dyDescent="0.3">
      <c r="A333" s="11" t="s">
        <v>411</v>
      </c>
      <c r="B333" s="11" t="s">
        <v>20</v>
      </c>
      <c r="C333" s="11" t="s">
        <v>33</v>
      </c>
      <c r="D333" s="11" t="s">
        <v>16</v>
      </c>
      <c r="E333" s="11" t="s">
        <v>22</v>
      </c>
      <c r="F333" s="11" t="s">
        <v>18</v>
      </c>
      <c r="G333" s="12">
        <v>2014</v>
      </c>
      <c r="H333" s="12" t="str">
        <f>IF(Table3[[#This Row],[Debut Year]]&lt;=2000,"1999–2000",
IF(Table3[[#This Row],[Debut Year]]&lt;=2005,"2001–2005",
IF(Table3[[#This Row],[Debut Year]]&lt;=2010,"2006–2010",
IF(Table3[[#This Row],[Debut Year]]&lt;=2015,"2011–2015",
IF(Table3[[#This Row],[Debut Year]]&lt;=2020,"2016–2020",
"2021–2025")))))</f>
        <v>2011–2015</v>
      </c>
      <c r="I333" s="12">
        <v>9859.6</v>
      </c>
      <c r="J333" s="12">
        <v>4832.5</v>
      </c>
      <c r="K333" s="12">
        <v>5032.8999999999996</v>
      </c>
      <c r="L333" s="4">
        <v>2441.1</v>
      </c>
      <c r="M333" s="6">
        <f>Table2[[#This Row],[% of Solo Streams]]/100</f>
        <v>0.247586109</v>
      </c>
      <c r="N333" s="3">
        <v>7418.5</v>
      </c>
      <c r="O333" s="6">
        <f>Table2[[#This Row],[% of Collaborative Streams]]/100</f>
        <v>0.75241389100000011</v>
      </c>
      <c r="P333" s="4">
        <f>Table3[[#This Row],[Lead Streams (in millions)]]+Table3[[#This Row],[Feature Streams (in millions)]]</f>
        <v>9865.4</v>
      </c>
      <c r="Q333" s="4">
        <f>_xlfn.RANK.EQ(Table3[[#This Row],[Total Stream]],Table3[Total Stream],0)</f>
        <v>332</v>
      </c>
      <c r="R333" s="4">
        <f>Table3[[#This Row],[Total Streams (in millions)]]-Table3[[#This Row],[Total Stream]]</f>
        <v>-5.7999999999992724</v>
      </c>
      <c r="S333" s="8">
        <f>IFERROR(Table3[[#This Row],[Collaborative Streams (in millions)]]/Table3[[#This Row],[Total Stream]],0)</f>
        <v>0.75197153688649221</v>
      </c>
      <c r="T333" t="str">
        <f>IF(Table3[[#This Row],[Total Streams (in millions)]]&gt;=50000,"High Performer",IF(Table3[[#This Row],[Total Streams (in millions)]]&gt;=20000,"Medium Performer","Low Performer"))</f>
        <v>Low Performer</v>
      </c>
    </row>
    <row r="334" spans="1:20" x14ac:dyDescent="0.3">
      <c r="A334" s="9" t="s">
        <v>412</v>
      </c>
      <c r="B334" s="9" t="s">
        <v>14</v>
      </c>
      <c r="C334" s="9" t="s">
        <v>89</v>
      </c>
      <c r="D334" s="9" t="s">
        <v>24</v>
      </c>
      <c r="E334" s="9" t="s">
        <v>82</v>
      </c>
      <c r="F334" s="9" t="s">
        <v>18</v>
      </c>
      <c r="G334" s="10">
        <v>2023</v>
      </c>
      <c r="H334" s="10" t="str">
        <f>IF(Table3[[#This Row],[Debut Year]]&lt;=2000,"1999–2000",
IF(Table3[[#This Row],[Debut Year]]&lt;=2005,"2001–2005",
IF(Table3[[#This Row],[Debut Year]]&lt;=2010,"2006–2010",
IF(Table3[[#This Row],[Debut Year]]&lt;=2015,"2011–2015",
IF(Table3[[#This Row],[Debut Year]]&lt;=2020,"2016–2020",
"2021–2025")))))</f>
        <v>2021–2025</v>
      </c>
      <c r="I334" s="10">
        <v>9854</v>
      </c>
      <c r="J334" s="10">
        <v>8668.1</v>
      </c>
      <c r="K334" s="10">
        <v>1197.3</v>
      </c>
      <c r="L334" s="4">
        <v>2611.1</v>
      </c>
      <c r="M334" s="6">
        <f>Table2[[#This Row],[% of Solo Streams]]/100</f>
        <v>0.26497868889999998</v>
      </c>
      <c r="N334" s="3">
        <v>7242.9</v>
      </c>
      <c r="O334" s="6">
        <f>Table2[[#This Row],[% of Collaborative Streams]]/100</f>
        <v>0.73502131109999991</v>
      </c>
      <c r="P334" s="4">
        <f>Table3[[#This Row],[Lead Streams (in millions)]]+Table3[[#This Row],[Feature Streams (in millions)]]</f>
        <v>9865.4</v>
      </c>
      <c r="Q334" s="4">
        <f>_xlfn.RANK.EQ(Table3[[#This Row],[Total Stream]],Table3[Total Stream],0)</f>
        <v>332</v>
      </c>
      <c r="R334" s="4">
        <f>Table3[[#This Row],[Total Streams (in millions)]]-Table3[[#This Row],[Total Stream]]</f>
        <v>-11.399999999999636</v>
      </c>
      <c r="S334" s="8">
        <f>IFERROR(Table3[[#This Row],[Collaborative Streams (in millions)]]/Table3[[#This Row],[Total Stream]],0)</f>
        <v>0.73417195450767325</v>
      </c>
      <c r="T334" t="str">
        <f>IF(Table3[[#This Row],[Total Streams (in millions)]]&gt;=50000,"High Performer",IF(Table3[[#This Row],[Total Streams (in millions)]]&gt;=20000,"Medium Performer","Low Performer"))</f>
        <v>Low Performer</v>
      </c>
    </row>
    <row r="335" spans="1:20" x14ac:dyDescent="0.3">
      <c r="A335" s="11" t="s">
        <v>413</v>
      </c>
      <c r="B335" s="11" t="s">
        <v>20</v>
      </c>
      <c r="C335" s="11" t="s">
        <v>21</v>
      </c>
      <c r="D335" s="11" t="s">
        <v>16</v>
      </c>
      <c r="E335" s="11" t="s">
        <v>22</v>
      </c>
      <c r="F335" s="11" t="s">
        <v>18</v>
      </c>
      <c r="G335" s="12">
        <v>2019</v>
      </c>
      <c r="H335" s="12" t="str">
        <f>IF(Table3[[#This Row],[Debut Year]]&lt;=2000,"1999–2000",
IF(Table3[[#This Row],[Debut Year]]&lt;=2005,"2001–2005",
IF(Table3[[#This Row],[Debut Year]]&lt;=2010,"2006–2010",
IF(Table3[[#This Row],[Debut Year]]&lt;=2015,"2011–2015",
IF(Table3[[#This Row],[Debut Year]]&lt;=2020,"2016–2020",
"2021–2025")))))</f>
        <v>2016–2020</v>
      </c>
      <c r="I335" s="12">
        <v>9797.7999999999993</v>
      </c>
      <c r="J335" s="12">
        <v>9279.7000000000007</v>
      </c>
      <c r="K335" s="12">
        <v>543.29999999999995</v>
      </c>
      <c r="L335" s="4">
        <v>8953.2000000000007</v>
      </c>
      <c r="M335" s="6">
        <f>Table2[[#This Row],[% of Solo Streams]]/100</f>
        <v>0.91379697479999999</v>
      </c>
      <c r="N335" s="3">
        <v>844.6</v>
      </c>
      <c r="O335" s="6">
        <f>Table2[[#This Row],[% of Collaborative Streams]]/100</f>
        <v>8.6203025170000003E-2</v>
      </c>
      <c r="P335" s="4">
        <f>Table3[[#This Row],[Lead Streams (in millions)]]+Table3[[#This Row],[Feature Streams (in millions)]]</f>
        <v>9823</v>
      </c>
      <c r="Q335" s="4">
        <f>_xlfn.RANK.EQ(Table3[[#This Row],[Total Stream]],Table3[Total Stream],0)</f>
        <v>334</v>
      </c>
      <c r="R335" s="4">
        <f>Table3[[#This Row],[Total Streams (in millions)]]-Table3[[#This Row],[Total Stream]]</f>
        <v>-25.200000000000728</v>
      </c>
      <c r="S335" s="8">
        <f>IFERROR(Table3[[#This Row],[Collaborative Streams (in millions)]]/Table3[[#This Row],[Total Stream]],0)</f>
        <v>8.5981879262954294E-2</v>
      </c>
      <c r="T335" t="str">
        <f>IF(Table3[[#This Row],[Total Streams (in millions)]]&gt;=50000,"High Performer",IF(Table3[[#This Row],[Total Streams (in millions)]]&gt;=20000,"Medium Performer","Low Performer"))</f>
        <v>Low Performer</v>
      </c>
    </row>
    <row r="336" spans="1:20" x14ac:dyDescent="0.3">
      <c r="A336" s="9" t="s">
        <v>414</v>
      </c>
      <c r="B336" s="9" t="s">
        <v>14</v>
      </c>
      <c r="C336" s="9" t="s">
        <v>21</v>
      </c>
      <c r="D336" s="9" t="s">
        <v>16</v>
      </c>
      <c r="E336" s="9" t="s">
        <v>17</v>
      </c>
      <c r="F336" s="9" t="s">
        <v>18</v>
      </c>
      <c r="G336" s="10">
        <v>1997</v>
      </c>
      <c r="H336" s="10" t="str">
        <f>IF(Table3[[#This Row],[Debut Year]]&lt;=2000,"1999–2000",
IF(Table3[[#This Row],[Debut Year]]&lt;=2005,"2001–2005",
IF(Table3[[#This Row],[Debut Year]]&lt;=2010,"2006–2010",
IF(Table3[[#This Row],[Debut Year]]&lt;=2015,"2011–2015",
IF(Table3[[#This Row],[Debut Year]]&lt;=2020,"2016–2020",
"2021–2025")))))</f>
        <v>1999–2000</v>
      </c>
      <c r="I336" s="10">
        <v>9734</v>
      </c>
      <c r="J336" s="10">
        <v>4314.3</v>
      </c>
      <c r="K336" s="10">
        <v>5425.4</v>
      </c>
      <c r="L336" s="4">
        <v>31</v>
      </c>
      <c r="M336" s="6">
        <f>Table2[[#This Row],[% of Solo Streams]]/100</f>
        <v>3.1847133760000003E-3</v>
      </c>
      <c r="N336" s="3">
        <v>9703</v>
      </c>
      <c r="O336" s="6">
        <f>Table2[[#This Row],[% of Collaborative Streams]]/100</f>
        <v>0.99681528659999996</v>
      </c>
      <c r="P336" s="4">
        <f>Table3[[#This Row],[Lead Streams (in millions)]]+Table3[[#This Row],[Feature Streams (in millions)]]</f>
        <v>9739.7000000000007</v>
      </c>
      <c r="Q336" s="4">
        <f>_xlfn.RANK.EQ(Table3[[#This Row],[Total Stream]],Table3[Total Stream],0)</f>
        <v>335</v>
      </c>
      <c r="R336" s="4">
        <f>Table3[[#This Row],[Total Streams (in millions)]]-Table3[[#This Row],[Total Stream]]</f>
        <v>-5.7000000000007276</v>
      </c>
      <c r="S336" s="8">
        <f>IFERROR(Table3[[#This Row],[Collaborative Streams (in millions)]]/Table3[[#This Row],[Total Stream]],0)</f>
        <v>0.99623191679415168</v>
      </c>
      <c r="T336" t="str">
        <f>IF(Table3[[#This Row],[Total Streams (in millions)]]&gt;=50000,"High Performer",IF(Table3[[#This Row],[Total Streams (in millions)]]&gt;=20000,"Medium Performer","Low Performer"))</f>
        <v>Low Performer</v>
      </c>
    </row>
    <row r="337" spans="1:20" x14ac:dyDescent="0.3">
      <c r="A337" s="11" t="s">
        <v>415</v>
      </c>
      <c r="B337" s="11" t="s">
        <v>14</v>
      </c>
      <c r="C337" s="11" t="s">
        <v>21</v>
      </c>
      <c r="D337" s="11" t="s">
        <v>16</v>
      </c>
      <c r="E337" s="11" t="s">
        <v>27</v>
      </c>
      <c r="F337" s="11" t="s">
        <v>18</v>
      </c>
      <c r="G337" s="12">
        <v>2009</v>
      </c>
      <c r="H337" s="12" t="str">
        <f>IF(Table3[[#This Row],[Debut Year]]&lt;=2000,"1999–2000",
IF(Table3[[#This Row],[Debut Year]]&lt;=2005,"2001–2005",
IF(Table3[[#This Row],[Debut Year]]&lt;=2010,"2006–2010",
IF(Table3[[#This Row],[Debut Year]]&lt;=2015,"2011–2015",
IF(Table3[[#This Row],[Debut Year]]&lt;=2020,"2016–2020",
"2021–2025")))))</f>
        <v>2006–2010</v>
      </c>
      <c r="I337" s="12">
        <v>9713</v>
      </c>
      <c r="J337" s="12">
        <v>5586.8</v>
      </c>
      <c r="K337" s="12">
        <v>4126.1000000000004</v>
      </c>
      <c r="L337" s="4">
        <v>2334.8000000000002</v>
      </c>
      <c r="M337" s="6">
        <f>Table2[[#This Row],[% of Solo Streams]]/100</f>
        <v>0.2403788737</v>
      </c>
      <c r="N337" s="3">
        <v>7378.2</v>
      </c>
      <c r="O337" s="6">
        <f>Table2[[#This Row],[% of Collaborative Streams]]/100</f>
        <v>0.75962112629999989</v>
      </c>
      <c r="P337" s="4">
        <f>Table3[[#This Row],[Lead Streams (in millions)]]+Table3[[#This Row],[Feature Streams (in millions)]]</f>
        <v>9712.9000000000015</v>
      </c>
      <c r="Q337" s="4">
        <f>_xlfn.RANK.EQ(Table3[[#This Row],[Total Stream]],Table3[Total Stream],0)</f>
        <v>336</v>
      </c>
      <c r="R337" s="4">
        <f>Table3[[#This Row],[Total Streams (in millions)]]-Table3[[#This Row],[Total Stream]]</f>
        <v>9.9999999998544808E-2</v>
      </c>
      <c r="S337" s="8">
        <f>IFERROR(Table3[[#This Row],[Collaborative Streams (in millions)]]/Table3[[#This Row],[Total Stream]],0)</f>
        <v>0.75962894707039075</v>
      </c>
      <c r="T337" t="str">
        <f>IF(Table3[[#This Row],[Total Streams (in millions)]]&gt;=50000,"High Performer",IF(Table3[[#This Row],[Total Streams (in millions)]]&gt;=20000,"Medium Performer","Low Performer"))</f>
        <v>Low Performer</v>
      </c>
    </row>
    <row r="338" spans="1:20" x14ac:dyDescent="0.3">
      <c r="A338" s="9" t="s">
        <v>416</v>
      </c>
      <c r="B338" s="9" t="s">
        <v>14</v>
      </c>
      <c r="C338" s="9" t="s">
        <v>21</v>
      </c>
      <c r="D338" s="9" t="s">
        <v>16</v>
      </c>
      <c r="E338" s="9" t="s">
        <v>272</v>
      </c>
      <c r="F338" s="9" t="s">
        <v>48</v>
      </c>
      <c r="G338" s="10">
        <v>2012</v>
      </c>
      <c r="H338" s="10" t="str">
        <f>IF(Table3[[#This Row],[Debut Year]]&lt;=2000,"1999–2000",
IF(Table3[[#This Row],[Debut Year]]&lt;=2005,"2001–2005",
IF(Table3[[#This Row],[Debut Year]]&lt;=2010,"2006–2010",
IF(Table3[[#This Row],[Debut Year]]&lt;=2015,"2011–2015",
IF(Table3[[#This Row],[Debut Year]]&lt;=2020,"2016–2020",
"2021–2025")))))</f>
        <v>2011–2015</v>
      </c>
      <c r="I338" s="10">
        <v>9666.1</v>
      </c>
      <c r="J338" s="10">
        <v>9207.9</v>
      </c>
      <c r="K338" s="10">
        <v>460.8</v>
      </c>
      <c r="L338" s="4">
        <v>9168.2999999999993</v>
      </c>
      <c r="M338" s="6">
        <f>Table2[[#This Row],[% of Solo Streams]]/100</f>
        <v>0.9485004293</v>
      </c>
      <c r="N338" s="3">
        <v>497.8</v>
      </c>
      <c r="O338" s="6">
        <f>Table2[[#This Row],[% of Collaborative Streams]]/100</f>
        <v>5.1499570660000001E-2</v>
      </c>
      <c r="P338" s="4">
        <f>Table3[[#This Row],[Lead Streams (in millions)]]+Table3[[#This Row],[Feature Streams (in millions)]]</f>
        <v>9668.6999999999989</v>
      </c>
      <c r="Q338" s="4">
        <f>_xlfn.RANK.EQ(Table3[[#This Row],[Total Stream]],Table3[Total Stream],0)</f>
        <v>337</v>
      </c>
      <c r="R338" s="4">
        <f>Table3[[#This Row],[Total Streams (in millions)]]-Table3[[#This Row],[Total Stream]]</f>
        <v>-2.5999999999985448</v>
      </c>
      <c r="S338" s="8">
        <f>IFERROR(Table3[[#This Row],[Collaborative Streams (in millions)]]/Table3[[#This Row],[Total Stream]],0)</f>
        <v>5.1485721968827253E-2</v>
      </c>
      <c r="T338" t="str">
        <f>IF(Table3[[#This Row],[Total Streams (in millions)]]&gt;=50000,"High Performer",IF(Table3[[#This Row],[Total Streams (in millions)]]&gt;=20000,"Medium Performer","Low Performer"))</f>
        <v>Low Performer</v>
      </c>
    </row>
    <row r="339" spans="1:20" x14ac:dyDescent="0.3">
      <c r="A339" s="11" t="s">
        <v>417</v>
      </c>
      <c r="B339" s="11" t="s">
        <v>14</v>
      </c>
      <c r="C339" s="11" t="s">
        <v>89</v>
      </c>
      <c r="D339" s="11" t="s">
        <v>24</v>
      </c>
      <c r="E339" s="11" t="s">
        <v>82</v>
      </c>
      <c r="F339" s="11" t="s">
        <v>18</v>
      </c>
      <c r="G339" s="12">
        <v>2020</v>
      </c>
      <c r="H339" s="12" t="str">
        <f>IF(Table3[[#This Row],[Debut Year]]&lt;=2000,"1999–2000",
IF(Table3[[#This Row],[Debut Year]]&lt;=2005,"2001–2005",
IF(Table3[[#This Row],[Debut Year]]&lt;=2010,"2006–2010",
IF(Table3[[#This Row],[Debut Year]]&lt;=2015,"2011–2015",
IF(Table3[[#This Row],[Debut Year]]&lt;=2020,"2016–2020",
"2021–2025")))))</f>
        <v>2016–2020</v>
      </c>
      <c r="I339" s="12">
        <v>9609</v>
      </c>
      <c r="J339" s="12">
        <v>5573.7</v>
      </c>
      <c r="K339" s="12">
        <v>4061</v>
      </c>
      <c r="L339" s="4">
        <v>436.8</v>
      </c>
      <c r="M339" s="6">
        <f>Table2[[#This Row],[% of Solo Streams]]/100</f>
        <v>4.5457383699999993E-2</v>
      </c>
      <c r="N339" s="3">
        <v>9172.2000000000007</v>
      </c>
      <c r="O339" s="6">
        <f>Table2[[#This Row],[% of Collaborative Streams]]/100</f>
        <v>0.95454261630000004</v>
      </c>
      <c r="P339" s="4">
        <f>Table3[[#This Row],[Lead Streams (in millions)]]+Table3[[#This Row],[Feature Streams (in millions)]]</f>
        <v>9634.7000000000007</v>
      </c>
      <c r="Q339" s="4">
        <f>_xlfn.RANK.EQ(Table3[[#This Row],[Total Stream]],Table3[Total Stream],0)</f>
        <v>338</v>
      </c>
      <c r="R339" s="4">
        <f>Table3[[#This Row],[Total Streams (in millions)]]-Table3[[#This Row],[Total Stream]]</f>
        <v>-25.700000000000728</v>
      </c>
      <c r="S339" s="8">
        <f>IFERROR(Table3[[#This Row],[Collaborative Streams (in millions)]]/Table3[[#This Row],[Total Stream]],0)</f>
        <v>0.95199642957227526</v>
      </c>
      <c r="T339" t="str">
        <f>IF(Table3[[#This Row],[Total Streams (in millions)]]&gt;=50000,"High Performer",IF(Table3[[#This Row],[Total Streams (in millions)]]&gt;=20000,"Medium Performer","Low Performer"))</f>
        <v>Low Performer</v>
      </c>
    </row>
    <row r="340" spans="1:20" x14ac:dyDescent="0.3">
      <c r="A340" s="9" t="s">
        <v>418</v>
      </c>
      <c r="B340" s="9" t="s">
        <v>14</v>
      </c>
      <c r="C340" s="9" t="s">
        <v>21</v>
      </c>
      <c r="D340" s="9" t="s">
        <v>16</v>
      </c>
      <c r="E340" s="9" t="s">
        <v>27</v>
      </c>
      <c r="F340" s="9" t="s">
        <v>18</v>
      </c>
      <c r="G340" s="10">
        <v>2014</v>
      </c>
      <c r="H340" s="10" t="str">
        <f>IF(Table3[[#This Row],[Debut Year]]&lt;=2000,"1999–2000",
IF(Table3[[#This Row],[Debut Year]]&lt;=2005,"2001–2005",
IF(Table3[[#This Row],[Debut Year]]&lt;=2010,"2006–2010",
IF(Table3[[#This Row],[Debut Year]]&lt;=2015,"2011–2015",
IF(Table3[[#This Row],[Debut Year]]&lt;=2020,"2016–2020",
"2021–2025")))))</f>
        <v>2011–2015</v>
      </c>
      <c r="I340" s="10">
        <v>9513.7000000000007</v>
      </c>
      <c r="J340" s="10">
        <v>9454.2999999999993</v>
      </c>
      <c r="K340" s="10">
        <v>63.4</v>
      </c>
      <c r="L340" s="4">
        <v>1289.2</v>
      </c>
      <c r="M340" s="6">
        <f>Table2[[#This Row],[% of Solo Streams]]/100</f>
        <v>0.13550984369999999</v>
      </c>
      <c r="N340" s="3">
        <v>8224.5</v>
      </c>
      <c r="O340" s="6">
        <f>Table2[[#This Row],[% of Collaborative Streams]]/100</f>
        <v>0.86449015630000003</v>
      </c>
      <c r="P340" s="4">
        <f>Table3[[#This Row],[Lead Streams (in millions)]]+Table3[[#This Row],[Feature Streams (in millions)]]</f>
        <v>9517.6999999999989</v>
      </c>
      <c r="Q340" s="4">
        <f>_xlfn.RANK.EQ(Table3[[#This Row],[Total Stream]],Table3[Total Stream],0)</f>
        <v>339</v>
      </c>
      <c r="R340" s="4">
        <f>Table3[[#This Row],[Total Streams (in millions)]]-Table3[[#This Row],[Total Stream]]</f>
        <v>-3.999999999998181</v>
      </c>
      <c r="S340" s="8">
        <f>IFERROR(Table3[[#This Row],[Collaborative Streams (in millions)]]/Table3[[#This Row],[Total Stream]],0)</f>
        <v>0.86412683736617046</v>
      </c>
      <c r="T340" t="str">
        <f>IF(Table3[[#This Row],[Total Streams (in millions)]]&gt;=50000,"High Performer",IF(Table3[[#This Row],[Total Streams (in millions)]]&gt;=20000,"Medium Performer","Low Performer"))</f>
        <v>Low Performer</v>
      </c>
    </row>
    <row r="341" spans="1:20" x14ac:dyDescent="0.3">
      <c r="A341" s="11" t="s">
        <v>419</v>
      </c>
      <c r="B341" s="11" t="s">
        <v>14</v>
      </c>
      <c r="C341" s="11" t="s">
        <v>94</v>
      </c>
      <c r="D341" s="11" t="s">
        <v>16</v>
      </c>
      <c r="E341" s="11" t="s">
        <v>27</v>
      </c>
      <c r="F341" s="11" t="s">
        <v>48</v>
      </c>
      <c r="G341" s="12">
        <v>2014</v>
      </c>
      <c r="H341" s="12" t="str">
        <f>IF(Table3[[#This Row],[Debut Year]]&lt;=2000,"1999–2000",
IF(Table3[[#This Row],[Debut Year]]&lt;=2005,"2001–2005",
IF(Table3[[#This Row],[Debut Year]]&lt;=2010,"2006–2010",
IF(Table3[[#This Row],[Debut Year]]&lt;=2015,"2011–2015",
IF(Table3[[#This Row],[Debut Year]]&lt;=2020,"2016–2020",
"2021–2025")))))</f>
        <v>2011–2015</v>
      </c>
      <c r="I341" s="12">
        <v>9513</v>
      </c>
      <c r="J341" s="12">
        <v>9329.2999999999993</v>
      </c>
      <c r="K341" s="12">
        <v>185.8</v>
      </c>
      <c r="L341" s="4">
        <v>8793</v>
      </c>
      <c r="M341" s="6">
        <f>Table2[[#This Row],[% of Solo Streams]]/100</f>
        <v>0.92431409650000007</v>
      </c>
      <c r="N341" s="3">
        <v>720</v>
      </c>
      <c r="O341" s="6">
        <f>Table2[[#This Row],[% of Collaborative Streams]]/100</f>
        <v>7.5685903499999999E-2</v>
      </c>
      <c r="P341" s="4">
        <f>Table3[[#This Row],[Lead Streams (in millions)]]+Table3[[#This Row],[Feature Streams (in millions)]]</f>
        <v>9515.0999999999985</v>
      </c>
      <c r="Q341" s="4">
        <f>_xlfn.RANK.EQ(Table3[[#This Row],[Total Stream]],Table3[Total Stream],0)</f>
        <v>340</v>
      </c>
      <c r="R341" s="4">
        <f>Table3[[#This Row],[Total Streams (in millions)]]-Table3[[#This Row],[Total Stream]]</f>
        <v>-2.0999999999985448</v>
      </c>
      <c r="S341" s="8">
        <f>IFERROR(Table3[[#This Row],[Collaborative Streams (in millions)]]/Table3[[#This Row],[Total Stream]],0)</f>
        <v>7.5669199482927149E-2</v>
      </c>
      <c r="T341" t="str">
        <f>IF(Table3[[#This Row],[Total Streams (in millions)]]&gt;=50000,"High Performer",IF(Table3[[#This Row],[Total Streams (in millions)]]&gt;=20000,"Medium Performer","Low Performer"))</f>
        <v>Low Performer</v>
      </c>
    </row>
    <row r="342" spans="1:20" x14ac:dyDescent="0.3">
      <c r="A342" s="9" t="s">
        <v>420</v>
      </c>
      <c r="B342" s="9" t="s">
        <v>14</v>
      </c>
      <c r="C342" s="9" t="s">
        <v>89</v>
      </c>
      <c r="D342" s="9" t="s">
        <v>24</v>
      </c>
      <c r="E342" s="9" t="s">
        <v>90</v>
      </c>
      <c r="F342" s="9" t="s">
        <v>48</v>
      </c>
      <c r="G342" s="10">
        <v>2007</v>
      </c>
      <c r="H342" s="10" t="str">
        <f>IF(Table3[[#This Row],[Debut Year]]&lt;=2000,"1999–2000",
IF(Table3[[#This Row],[Debut Year]]&lt;=2005,"2001–2005",
IF(Table3[[#This Row],[Debut Year]]&lt;=2010,"2006–2010",
IF(Table3[[#This Row],[Debut Year]]&lt;=2015,"2011–2015",
IF(Table3[[#This Row],[Debut Year]]&lt;=2020,"2016–2020",
"2021–2025")))))</f>
        <v>2006–2010</v>
      </c>
      <c r="I342" s="10">
        <v>9503.2999999999993</v>
      </c>
      <c r="J342" s="10">
        <v>2467.8000000000002</v>
      </c>
      <c r="K342" s="10">
        <v>7045.9</v>
      </c>
      <c r="L342" s="4">
        <v>9278.4</v>
      </c>
      <c r="M342" s="6">
        <f>Table2[[#This Row],[% of Solo Streams]]/100</f>
        <v>0.97633453640000001</v>
      </c>
      <c r="N342" s="3">
        <v>224.9</v>
      </c>
      <c r="O342" s="6">
        <f>Table2[[#This Row],[% of Collaborative Streams]]/100</f>
        <v>2.3665463580000001E-2</v>
      </c>
      <c r="P342" s="4">
        <f>Table3[[#This Row],[Lead Streams (in millions)]]+Table3[[#This Row],[Feature Streams (in millions)]]</f>
        <v>9513.7000000000007</v>
      </c>
      <c r="Q342" s="4">
        <f>_xlfn.RANK.EQ(Table3[[#This Row],[Total Stream]],Table3[Total Stream],0)</f>
        <v>341</v>
      </c>
      <c r="R342" s="4">
        <f>Table3[[#This Row],[Total Streams (in millions)]]-Table3[[#This Row],[Total Stream]]</f>
        <v>-10.400000000001455</v>
      </c>
      <c r="S342" s="8">
        <f>IFERROR(Table3[[#This Row],[Collaborative Streams (in millions)]]/Table3[[#This Row],[Total Stream]],0)</f>
        <v>2.3639593428424272E-2</v>
      </c>
      <c r="T342" t="str">
        <f>IF(Table3[[#This Row],[Total Streams (in millions)]]&gt;=50000,"High Performer",IF(Table3[[#This Row],[Total Streams (in millions)]]&gt;=20000,"Medium Performer","Low Performer"))</f>
        <v>Low Performer</v>
      </c>
    </row>
    <row r="343" spans="1:20" x14ac:dyDescent="0.3">
      <c r="A343" s="11" t="s">
        <v>421</v>
      </c>
      <c r="B343" s="11" t="s">
        <v>14</v>
      </c>
      <c r="C343" s="11" t="s">
        <v>21</v>
      </c>
      <c r="D343" s="11" t="s">
        <v>24</v>
      </c>
      <c r="E343" s="11" t="s">
        <v>151</v>
      </c>
      <c r="F343" s="11" t="s">
        <v>18</v>
      </c>
      <c r="G343" s="12">
        <v>2010</v>
      </c>
      <c r="H343" s="12" t="str">
        <f>IF(Table3[[#This Row],[Debut Year]]&lt;=2000,"1999–2000",
IF(Table3[[#This Row],[Debut Year]]&lt;=2005,"2001–2005",
IF(Table3[[#This Row],[Debut Year]]&lt;=2010,"2006–2010",
IF(Table3[[#This Row],[Debut Year]]&lt;=2015,"2011–2015",
IF(Table3[[#This Row],[Debut Year]]&lt;=2020,"2016–2020",
"2021–2025")))))</f>
        <v>2006–2010</v>
      </c>
      <c r="I343" s="12">
        <v>9495.2000000000007</v>
      </c>
      <c r="J343" s="12">
        <v>6483.6</v>
      </c>
      <c r="K343" s="12">
        <v>3011.7</v>
      </c>
      <c r="L343" s="4">
        <v>4320.3999999999996</v>
      </c>
      <c r="M343" s="6">
        <f>Table2[[#This Row],[% of Solo Streams]]/100</f>
        <v>0.45500884659999996</v>
      </c>
      <c r="N343" s="3">
        <v>5174.8</v>
      </c>
      <c r="O343" s="6">
        <f>Table2[[#This Row],[% of Collaborative Streams]]/100</f>
        <v>0.54499115340000004</v>
      </c>
      <c r="P343" s="4">
        <f>Table3[[#This Row],[Lead Streams (in millions)]]+Table3[[#This Row],[Feature Streams (in millions)]]</f>
        <v>9495.2999999999993</v>
      </c>
      <c r="Q343" s="4">
        <f>_xlfn.RANK.EQ(Table3[[#This Row],[Total Stream]],Table3[Total Stream],0)</f>
        <v>342</v>
      </c>
      <c r="R343" s="4">
        <f>Table3[[#This Row],[Total Streams (in millions)]]-Table3[[#This Row],[Total Stream]]</f>
        <v>-9.9999999998544808E-2</v>
      </c>
      <c r="S343" s="8">
        <f>IFERROR(Table3[[#This Row],[Collaborative Streams (in millions)]]/Table3[[#This Row],[Total Stream]],0)</f>
        <v>0.54498541383631904</v>
      </c>
      <c r="T343" t="str">
        <f>IF(Table3[[#This Row],[Total Streams (in millions)]]&gt;=50000,"High Performer",IF(Table3[[#This Row],[Total Streams (in millions)]]&gt;=20000,"Medium Performer","Low Performer"))</f>
        <v>Low Performer</v>
      </c>
    </row>
    <row r="344" spans="1:20" x14ac:dyDescent="0.3">
      <c r="A344" s="9" t="s">
        <v>422</v>
      </c>
      <c r="B344" s="9" t="s">
        <v>14</v>
      </c>
      <c r="C344" s="9" t="s">
        <v>33</v>
      </c>
      <c r="D344" s="9" t="s">
        <v>16</v>
      </c>
      <c r="E344" s="9" t="s">
        <v>57</v>
      </c>
      <c r="F344" s="9" t="s">
        <v>48</v>
      </c>
      <c r="G344" s="10">
        <v>2010</v>
      </c>
      <c r="H344" s="10" t="str">
        <f>IF(Table3[[#This Row],[Debut Year]]&lt;=2000,"1999–2000",
IF(Table3[[#This Row],[Debut Year]]&lt;=2005,"2001–2005",
IF(Table3[[#This Row],[Debut Year]]&lt;=2010,"2006–2010",
IF(Table3[[#This Row],[Debut Year]]&lt;=2015,"2011–2015",
IF(Table3[[#This Row],[Debut Year]]&lt;=2020,"2016–2020",
"2021–2025")))))</f>
        <v>2006–2010</v>
      </c>
      <c r="I344" s="10">
        <v>9439.9</v>
      </c>
      <c r="J344" s="10">
        <v>4498.2</v>
      </c>
      <c r="K344" s="10">
        <v>4948.6000000000004</v>
      </c>
      <c r="L344" s="4">
        <v>5621.4</v>
      </c>
      <c r="M344" s="6">
        <f>Table2[[#This Row],[% of Solo Streams]]/100</f>
        <v>0.59549359629999998</v>
      </c>
      <c r="N344" s="3">
        <v>3818.5</v>
      </c>
      <c r="O344" s="6">
        <f>Table2[[#This Row],[% of Collaborative Streams]]/100</f>
        <v>0.40450640370000002</v>
      </c>
      <c r="P344" s="4">
        <f>Table3[[#This Row],[Lead Streams (in millions)]]+Table3[[#This Row],[Feature Streams (in millions)]]</f>
        <v>9446.7999999999993</v>
      </c>
      <c r="Q344" s="4">
        <f>_xlfn.RANK.EQ(Table3[[#This Row],[Total Stream]],Table3[Total Stream],0)</f>
        <v>343</v>
      </c>
      <c r="R344" s="4">
        <f>Table3[[#This Row],[Total Streams (in millions)]]-Table3[[#This Row],[Total Stream]]</f>
        <v>-6.8999999999996362</v>
      </c>
      <c r="S344" s="8">
        <f>IFERROR(Table3[[#This Row],[Collaborative Streams (in millions)]]/Table3[[#This Row],[Total Stream]],0)</f>
        <v>0.40421094973959437</v>
      </c>
      <c r="T344" t="str">
        <f>IF(Table3[[#This Row],[Total Streams (in millions)]]&gt;=50000,"High Performer",IF(Table3[[#This Row],[Total Streams (in millions)]]&gt;=20000,"Medium Performer","Low Performer"))</f>
        <v>Low Performer</v>
      </c>
    </row>
    <row r="345" spans="1:20" x14ac:dyDescent="0.3">
      <c r="A345" s="11" t="s">
        <v>423</v>
      </c>
      <c r="B345" s="11" t="s">
        <v>14</v>
      </c>
      <c r="C345" s="11" t="s">
        <v>407</v>
      </c>
      <c r="D345" s="11" t="s">
        <v>408</v>
      </c>
      <c r="E345" s="11" t="s">
        <v>17</v>
      </c>
      <c r="F345" s="11" t="s">
        <v>18</v>
      </c>
      <c r="G345" s="12">
        <v>2011</v>
      </c>
      <c r="H345" s="12" t="str">
        <f>IF(Table3[[#This Row],[Debut Year]]&lt;=2000,"1999–2000",
IF(Table3[[#This Row],[Debut Year]]&lt;=2005,"2001–2005",
IF(Table3[[#This Row],[Debut Year]]&lt;=2010,"2006–2010",
IF(Table3[[#This Row],[Debut Year]]&lt;=2015,"2011–2015",
IF(Table3[[#This Row],[Debut Year]]&lt;=2020,"2016–2020",
"2021–2025")))))</f>
        <v>2011–2015</v>
      </c>
      <c r="I345" s="12">
        <v>9437.2999999999993</v>
      </c>
      <c r="J345" s="12">
        <v>6110.3</v>
      </c>
      <c r="K345" s="12">
        <v>3331.7</v>
      </c>
      <c r="L345" s="4">
        <v>2399.1999999999998</v>
      </c>
      <c r="M345" s="6">
        <f>Table2[[#This Row],[% of Solo Streams]]/100</f>
        <v>0.25422525509999999</v>
      </c>
      <c r="N345" s="3">
        <v>7038.1</v>
      </c>
      <c r="O345" s="6">
        <f>Table2[[#This Row],[% of Collaborative Streams]]/100</f>
        <v>0.74577474489999995</v>
      </c>
      <c r="P345" s="4">
        <f>Table3[[#This Row],[Lead Streams (in millions)]]+Table3[[#This Row],[Feature Streams (in millions)]]</f>
        <v>9442</v>
      </c>
      <c r="Q345" s="4">
        <f>_xlfn.RANK.EQ(Table3[[#This Row],[Total Stream]],Table3[Total Stream],0)</f>
        <v>344</v>
      </c>
      <c r="R345" s="4">
        <f>Table3[[#This Row],[Total Streams (in millions)]]-Table3[[#This Row],[Total Stream]]</f>
        <v>-4.7000000000007276</v>
      </c>
      <c r="S345" s="8">
        <f>IFERROR(Table3[[#This Row],[Collaborative Streams (in millions)]]/Table3[[#This Row],[Total Stream]],0)</f>
        <v>0.74540351620419409</v>
      </c>
      <c r="T345" t="str">
        <f>IF(Table3[[#This Row],[Total Streams (in millions)]]&gt;=50000,"High Performer",IF(Table3[[#This Row],[Total Streams (in millions)]]&gt;=20000,"Medium Performer","Low Performer"))</f>
        <v>Low Performer</v>
      </c>
    </row>
    <row r="346" spans="1:20" x14ac:dyDescent="0.3">
      <c r="A346" s="9" t="s">
        <v>424</v>
      </c>
      <c r="B346" s="9" t="s">
        <v>20</v>
      </c>
      <c r="C346" s="9" t="s">
        <v>33</v>
      </c>
      <c r="D346" s="9" t="s">
        <v>16</v>
      </c>
      <c r="E346" s="9" t="s">
        <v>51</v>
      </c>
      <c r="F346" s="9" t="s">
        <v>48</v>
      </c>
      <c r="G346" s="10">
        <v>2009</v>
      </c>
      <c r="H346" s="10" t="str">
        <f>IF(Table3[[#This Row],[Debut Year]]&lt;=2000,"1999–2000",
IF(Table3[[#This Row],[Debut Year]]&lt;=2005,"2001–2005",
IF(Table3[[#This Row],[Debut Year]]&lt;=2010,"2006–2010",
IF(Table3[[#This Row],[Debut Year]]&lt;=2015,"2011–2015",
IF(Table3[[#This Row],[Debut Year]]&lt;=2020,"2016–2020",
"2021–2025")))))</f>
        <v>2006–2010</v>
      </c>
      <c r="I346" s="10">
        <v>9401</v>
      </c>
      <c r="J346" s="10">
        <v>8691.5</v>
      </c>
      <c r="K346" s="10">
        <v>712.9</v>
      </c>
      <c r="L346" s="4">
        <v>8081.2</v>
      </c>
      <c r="M346" s="6">
        <f>Table2[[#This Row],[% of Solo Streams]]/100</f>
        <v>0.85961067970000005</v>
      </c>
      <c r="N346" s="3">
        <v>1319.8</v>
      </c>
      <c r="O346" s="6">
        <f>Table2[[#This Row],[% of Collaborative Streams]]/100</f>
        <v>0.14038932030000001</v>
      </c>
      <c r="P346" s="4">
        <f>Table3[[#This Row],[Lead Streams (in millions)]]+Table3[[#This Row],[Feature Streams (in millions)]]</f>
        <v>9404.4</v>
      </c>
      <c r="Q346" s="4">
        <f>_xlfn.RANK.EQ(Table3[[#This Row],[Total Stream]],Table3[Total Stream],0)</f>
        <v>345</v>
      </c>
      <c r="R346" s="4">
        <f>Table3[[#This Row],[Total Streams (in millions)]]-Table3[[#This Row],[Total Stream]]</f>
        <v>-3.3999999999996362</v>
      </c>
      <c r="S346" s="8">
        <f>IFERROR(Table3[[#This Row],[Collaborative Streams (in millions)]]/Table3[[#This Row],[Total Stream]],0)</f>
        <v>0.14033856492705543</v>
      </c>
      <c r="T346" t="str">
        <f>IF(Table3[[#This Row],[Total Streams (in millions)]]&gt;=50000,"High Performer",IF(Table3[[#This Row],[Total Streams (in millions)]]&gt;=20000,"Medium Performer","Low Performer"))</f>
        <v>Low Performer</v>
      </c>
    </row>
    <row r="347" spans="1:20" x14ac:dyDescent="0.3">
      <c r="A347" s="11" t="s">
        <v>425</v>
      </c>
      <c r="B347" s="11" t="s">
        <v>14</v>
      </c>
      <c r="C347" s="11" t="s">
        <v>21</v>
      </c>
      <c r="D347" s="11" t="s">
        <v>16</v>
      </c>
      <c r="E347" s="11" t="s">
        <v>17</v>
      </c>
      <c r="F347" s="11" t="s">
        <v>18</v>
      </c>
      <c r="G347" s="12">
        <v>2008</v>
      </c>
      <c r="H347" s="12" t="str">
        <f>IF(Table3[[#This Row],[Debut Year]]&lt;=2000,"1999–2000",
IF(Table3[[#This Row],[Debut Year]]&lt;=2005,"2001–2005",
IF(Table3[[#This Row],[Debut Year]]&lt;=2010,"2006–2010",
IF(Table3[[#This Row],[Debut Year]]&lt;=2015,"2011–2015",
IF(Table3[[#This Row],[Debut Year]]&lt;=2020,"2016–2020",
"2021–2025")))))</f>
        <v>2006–2010</v>
      </c>
      <c r="I347" s="12">
        <v>9362.2999999999993</v>
      </c>
      <c r="J347" s="12">
        <v>4260.1000000000004</v>
      </c>
      <c r="K347" s="12">
        <v>5102.2</v>
      </c>
      <c r="L347" s="4">
        <v>1075.5999999999999</v>
      </c>
      <c r="M347" s="6">
        <f>Table2[[#This Row],[% of Solo Streams]]/100</f>
        <v>0.11488629929999999</v>
      </c>
      <c r="N347" s="3">
        <v>8286.7000000000007</v>
      </c>
      <c r="O347" s="6">
        <f>Table2[[#This Row],[% of Collaborative Streams]]/100</f>
        <v>0.88511370069999995</v>
      </c>
      <c r="P347" s="4">
        <f>Table3[[#This Row],[Lead Streams (in millions)]]+Table3[[#This Row],[Feature Streams (in millions)]]</f>
        <v>9362.2999999999993</v>
      </c>
      <c r="Q347" s="4">
        <f>_xlfn.RANK.EQ(Table3[[#This Row],[Total Stream]],Table3[Total Stream],0)</f>
        <v>346</v>
      </c>
      <c r="R347" s="4">
        <f>Table3[[#This Row],[Total Streams (in millions)]]-Table3[[#This Row],[Total Stream]]</f>
        <v>0</v>
      </c>
      <c r="S347" s="8">
        <f>IFERROR(Table3[[#This Row],[Collaborative Streams (in millions)]]/Table3[[#This Row],[Total Stream]],0)</f>
        <v>0.88511370069320583</v>
      </c>
      <c r="T347" t="str">
        <f>IF(Table3[[#This Row],[Total Streams (in millions)]]&gt;=50000,"High Performer",IF(Table3[[#This Row],[Total Streams (in millions)]]&gt;=20000,"Medium Performer","Low Performer"))</f>
        <v>Low Performer</v>
      </c>
    </row>
    <row r="348" spans="1:20" x14ac:dyDescent="0.3">
      <c r="A348" s="9" t="s">
        <v>426</v>
      </c>
      <c r="B348" s="9" t="s">
        <v>14</v>
      </c>
      <c r="C348" s="9" t="s">
        <v>242</v>
      </c>
      <c r="D348" s="9" t="s">
        <v>24</v>
      </c>
      <c r="E348" s="9" t="s">
        <v>82</v>
      </c>
      <c r="F348" s="9" t="s">
        <v>18</v>
      </c>
      <c r="G348" s="10">
        <v>1989</v>
      </c>
      <c r="H348" s="10" t="str">
        <f>IF(Table3[[#This Row],[Debut Year]]&lt;=2000,"1999–2000",
IF(Table3[[#This Row],[Debut Year]]&lt;=2005,"2001–2005",
IF(Table3[[#This Row],[Debut Year]]&lt;=2010,"2006–2010",
IF(Table3[[#This Row],[Debut Year]]&lt;=2015,"2011–2015",
IF(Table3[[#This Row],[Debut Year]]&lt;=2020,"2016–2020",
"2021–2025")))))</f>
        <v>1999–2000</v>
      </c>
      <c r="I348" s="10">
        <v>9340.1</v>
      </c>
      <c r="J348" s="10">
        <v>6691.7</v>
      </c>
      <c r="K348" s="10">
        <v>2658.2</v>
      </c>
      <c r="L348" s="4">
        <v>5230.2</v>
      </c>
      <c r="M348" s="6">
        <f>Table2[[#This Row],[% of Solo Streams]]/100</f>
        <v>0.55997259129999999</v>
      </c>
      <c r="N348" s="3">
        <v>4109.8999999999996</v>
      </c>
      <c r="O348" s="6">
        <f>Table2[[#This Row],[% of Collaborative Streams]]/100</f>
        <v>0.44002740869999996</v>
      </c>
      <c r="P348" s="4">
        <f>Table3[[#This Row],[Lead Streams (in millions)]]+Table3[[#This Row],[Feature Streams (in millions)]]</f>
        <v>9349.9</v>
      </c>
      <c r="Q348" s="4">
        <f>_xlfn.RANK.EQ(Table3[[#This Row],[Total Stream]],Table3[Total Stream],0)</f>
        <v>347</v>
      </c>
      <c r="R348" s="4">
        <f>Table3[[#This Row],[Total Streams (in millions)]]-Table3[[#This Row],[Total Stream]]</f>
        <v>-9.7999999999992724</v>
      </c>
      <c r="S348" s="8">
        <f>IFERROR(Table3[[#This Row],[Collaborative Streams (in millions)]]/Table3[[#This Row],[Total Stream]],0)</f>
        <v>0.43956619856896861</v>
      </c>
      <c r="T348" t="str">
        <f>IF(Table3[[#This Row],[Total Streams (in millions)]]&gt;=50000,"High Performer",IF(Table3[[#This Row],[Total Streams (in millions)]]&gt;=20000,"Medium Performer","Low Performer"))</f>
        <v>Low Performer</v>
      </c>
    </row>
    <row r="349" spans="1:20" x14ac:dyDescent="0.3">
      <c r="A349" s="11" t="s">
        <v>427</v>
      </c>
      <c r="B349" s="11" t="s">
        <v>14</v>
      </c>
      <c r="C349" s="11" t="s">
        <v>21</v>
      </c>
      <c r="D349" s="11" t="s">
        <v>16</v>
      </c>
      <c r="E349" s="11" t="s">
        <v>17</v>
      </c>
      <c r="F349" s="11" t="s">
        <v>18</v>
      </c>
      <c r="G349" s="12">
        <v>2017</v>
      </c>
      <c r="H349" s="12" t="str">
        <f>IF(Table3[[#This Row],[Debut Year]]&lt;=2000,"1999–2000",
IF(Table3[[#This Row],[Debut Year]]&lt;=2005,"2001–2005",
IF(Table3[[#This Row],[Debut Year]]&lt;=2010,"2006–2010",
IF(Table3[[#This Row],[Debut Year]]&lt;=2015,"2011–2015",
IF(Table3[[#This Row],[Debut Year]]&lt;=2020,"2016–2020",
"2021–2025")))))</f>
        <v>2016–2020</v>
      </c>
      <c r="I349" s="12">
        <v>9314.7999999999993</v>
      </c>
      <c r="J349" s="12">
        <v>5409.5</v>
      </c>
      <c r="K349" s="12">
        <v>3905.3</v>
      </c>
      <c r="L349" s="4">
        <v>1907.2</v>
      </c>
      <c r="M349" s="6">
        <f>Table2[[#This Row],[% of Solo Streams]]/100</f>
        <v>0.20474943100000001</v>
      </c>
      <c r="N349" s="3">
        <v>7407.6</v>
      </c>
      <c r="O349" s="6">
        <f>Table2[[#This Row],[% of Collaborative Streams]]/100</f>
        <v>0.79525056899999991</v>
      </c>
      <c r="P349" s="4">
        <f>Table3[[#This Row],[Lead Streams (in millions)]]+Table3[[#This Row],[Feature Streams (in millions)]]</f>
        <v>9314.7999999999993</v>
      </c>
      <c r="Q349" s="4">
        <f>_xlfn.RANK.EQ(Table3[[#This Row],[Total Stream]],Table3[Total Stream],0)</f>
        <v>348</v>
      </c>
      <c r="R349" s="4">
        <f>Table3[[#This Row],[Total Streams (in millions)]]-Table3[[#This Row],[Total Stream]]</f>
        <v>0</v>
      </c>
      <c r="S349" s="8">
        <f>IFERROR(Table3[[#This Row],[Collaborative Streams (in millions)]]/Table3[[#This Row],[Total Stream]],0)</f>
        <v>0.79525056898698854</v>
      </c>
      <c r="T349" t="str">
        <f>IF(Table3[[#This Row],[Total Streams (in millions)]]&gt;=50000,"High Performer",IF(Table3[[#This Row],[Total Streams (in millions)]]&gt;=20000,"Medium Performer","Low Performer"))</f>
        <v>Low Performer</v>
      </c>
    </row>
    <row r="350" spans="1:20" x14ac:dyDescent="0.3">
      <c r="A350" s="9" t="s">
        <v>428</v>
      </c>
      <c r="B350" s="9" t="s">
        <v>14</v>
      </c>
      <c r="C350" s="9" t="s">
        <v>21</v>
      </c>
      <c r="D350" s="9" t="s">
        <v>16</v>
      </c>
      <c r="E350" s="9" t="s">
        <v>27</v>
      </c>
      <c r="F350" s="9" t="s">
        <v>18</v>
      </c>
      <c r="G350" s="10">
        <v>2018</v>
      </c>
      <c r="H350" s="10" t="str">
        <f>IF(Table3[[#This Row],[Debut Year]]&lt;=2000,"1999–2000",
IF(Table3[[#This Row],[Debut Year]]&lt;=2005,"2001–2005",
IF(Table3[[#This Row],[Debut Year]]&lt;=2010,"2006–2010",
IF(Table3[[#This Row],[Debut Year]]&lt;=2015,"2011–2015",
IF(Table3[[#This Row],[Debut Year]]&lt;=2020,"2016–2020",
"2021–2025")))))</f>
        <v>2016–2020</v>
      </c>
      <c r="I350" s="10">
        <v>9302.9</v>
      </c>
      <c r="J350" s="10">
        <v>5809.3</v>
      </c>
      <c r="K350" s="10">
        <v>3497.2</v>
      </c>
      <c r="L350" s="4">
        <v>5699</v>
      </c>
      <c r="M350" s="6">
        <f>Table2[[#This Row],[% of Solo Streams]]/100</f>
        <v>0.61260467169999999</v>
      </c>
      <c r="N350" s="3">
        <v>3603.9</v>
      </c>
      <c r="O350" s="6">
        <f>Table2[[#This Row],[% of Collaborative Streams]]/100</f>
        <v>0.38739532830000001</v>
      </c>
      <c r="P350" s="4">
        <f>Table3[[#This Row],[Lead Streams (in millions)]]+Table3[[#This Row],[Feature Streams (in millions)]]</f>
        <v>9306.5</v>
      </c>
      <c r="Q350" s="4">
        <f>_xlfn.RANK.EQ(Table3[[#This Row],[Total Stream]],Table3[Total Stream],0)</f>
        <v>349</v>
      </c>
      <c r="R350" s="4">
        <f>Table3[[#This Row],[Total Streams (in millions)]]-Table3[[#This Row],[Total Stream]]</f>
        <v>-3.6000000000003638</v>
      </c>
      <c r="S350" s="8">
        <f>IFERROR(Table3[[#This Row],[Collaborative Streams (in millions)]]/Table3[[#This Row],[Total Stream]],0)</f>
        <v>0.3872454735937248</v>
      </c>
      <c r="T350" t="str">
        <f>IF(Table3[[#This Row],[Total Streams (in millions)]]&gt;=50000,"High Performer",IF(Table3[[#This Row],[Total Streams (in millions)]]&gt;=20000,"Medium Performer","Low Performer"))</f>
        <v>Low Performer</v>
      </c>
    </row>
    <row r="351" spans="1:20" x14ac:dyDescent="0.3">
      <c r="A351" s="11" t="s">
        <v>429</v>
      </c>
      <c r="B351" s="11" t="s">
        <v>14</v>
      </c>
      <c r="C351" s="11" t="s">
        <v>21</v>
      </c>
      <c r="D351" s="11" t="s">
        <v>16</v>
      </c>
      <c r="E351" s="11" t="s">
        <v>51</v>
      </c>
      <c r="F351" s="11" t="s">
        <v>18</v>
      </c>
      <c r="G351" s="12">
        <v>1971</v>
      </c>
      <c r="H351" s="12" t="str">
        <f>IF(Table3[[#This Row],[Debut Year]]&lt;=2000,"1999–2000",
IF(Table3[[#This Row],[Debut Year]]&lt;=2005,"2001–2005",
IF(Table3[[#This Row],[Debut Year]]&lt;=2010,"2006–2010",
IF(Table3[[#This Row],[Debut Year]]&lt;=2015,"2011–2015",
IF(Table3[[#This Row],[Debut Year]]&lt;=2020,"2016–2020",
"2021–2025")))))</f>
        <v>1999–2000</v>
      </c>
      <c r="I351" s="12">
        <v>9290.9</v>
      </c>
      <c r="J351" s="12">
        <v>9255.2000000000007</v>
      </c>
      <c r="K351" s="12">
        <v>40.4</v>
      </c>
      <c r="L351" s="4">
        <v>9207.2000000000007</v>
      </c>
      <c r="M351" s="6">
        <f>Table2[[#This Row],[% of Solo Streams]]/100</f>
        <v>0.99099118489999993</v>
      </c>
      <c r="N351" s="3">
        <v>83.7</v>
      </c>
      <c r="O351" s="6">
        <f>Table2[[#This Row],[% of Collaborative Streams]]/100</f>
        <v>9.008815077E-3</v>
      </c>
      <c r="P351" s="4">
        <f>Table3[[#This Row],[Lead Streams (in millions)]]+Table3[[#This Row],[Feature Streams (in millions)]]</f>
        <v>9295.6</v>
      </c>
      <c r="Q351" s="4">
        <f>_xlfn.RANK.EQ(Table3[[#This Row],[Total Stream]],Table3[Total Stream],0)</f>
        <v>350</v>
      </c>
      <c r="R351" s="4">
        <f>Table3[[#This Row],[Total Streams (in millions)]]-Table3[[#This Row],[Total Stream]]</f>
        <v>-4.7000000000007276</v>
      </c>
      <c r="S351" s="8">
        <f>IFERROR(Table3[[#This Row],[Collaborative Streams (in millions)]]/Table3[[#This Row],[Total Stream]],0)</f>
        <v>9.004260080037867E-3</v>
      </c>
      <c r="T351" t="str">
        <f>IF(Table3[[#This Row],[Total Streams (in millions)]]&gt;=50000,"High Performer",IF(Table3[[#This Row],[Total Streams (in millions)]]&gt;=20000,"Medium Performer","Low Performer"))</f>
        <v>Low Performer</v>
      </c>
    </row>
    <row r="352" spans="1:20" x14ac:dyDescent="0.3">
      <c r="A352" s="9" t="s">
        <v>430</v>
      </c>
      <c r="B352" s="9" t="s">
        <v>14</v>
      </c>
      <c r="C352" s="9" t="s">
        <v>21</v>
      </c>
      <c r="D352" s="9" t="s">
        <v>16</v>
      </c>
      <c r="E352" s="9" t="s">
        <v>98</v>
      </c>
      <c r="F352" s="9" t="s">
        <v>18</v>
      </c>
      <c r="G352" s="10">
        <v>2007</v>
      </c>
      <c r="H352" s="10" t="str">
        <f>IF(Table3[[#This Row],[Debut Year]]&lt;=2000,"1999–2000",
IF(Table3[[#This Row],[Debut Year]]&lt;=2005,"2001–2005",
IF(Table3[[#This Row],[Debut Year]]&lt;=2010,"2006–2010",
IF(Table3[[#This Row],[Debut Year]]&lt;=2015,"2011–2015",
IF(Table3[[#This Row],[Debut Year]]&lt;=2020,"2016–2020",
"2021–2025")))))</f>
        <v>2006–2010</v>
      </c>
      <c r="I352" s="10">
        <v>9213.5</v>
      </c>
      <c r="J352" s="10">
        <v>9212.7000000000007</v>
      </c>
      <c r="K352" s="10">
        <v>8.3000000000000007</v>
      </c>
      <c r="L352" s="4">
        <v>7646.2</v>
      </c>
      <c r="M352" s="6">
        <f>Table2[[#This Row],[% of Solo Streams]]/100</f>
        <v>0.82989092090000005</v>
      </c>
      <c r="N352" s="3">
        <v>1567.3</v>
      </c>
      <c r="O352" s="6">
        <f>Table2[[#This Row],[% of Collaborative Streams]]/100</f>
        <v>0.1701090791</v>
      </c>
      <c r="P352" s="4">
        <f>Table3[[#This Row],[Lead Streams (in millions)]]+Table3[[#This Row],[Feature Streams (in millions)]]</f>
        <v>9221</v>
      </c>
      <c r="Q352" s="4">
        <f>_xlfn.RANK.EQ(Table3[[#This Row],[Total Stream]],Table3[Total Stream],0)</f>
        <v>351</v>
      </c>
      <c r="R352" s="4">
        <f>Table3[[#This Row],[Total Streams (in millions)]]-Table3[[#This Row],[Total Stream]]</f>
        <v>-7.5</v>
      </c>
      <c r="S352" s="8">
        <f>IFERROR(Table3[[#This Row],[Collaborative Streams (in millions)]]/Table3[[#This Row],[Total Stream]],0)</f>
        <v>0.16997071901095326</v>
      </c>
      <c r="T352" t="str">
        <f>IF(Table3[[#This Row],[Total Streams (in millions)]]&gt;=50000,"High Performer",IF(Table3[[#This Row],[Total Streams (in millions)]]&gt;=20000,"Medium Performer","Low Performer"))</f>
        <v>Low Performer</v>
      </c>
    </row>
    <row r="353" spans="1:20" x14ac:dyDescent="0.3">
      <c r="A353" s="11" t="s">
        <v>431</v>
      </c>
      <c r="B353" s="11" t="s">
        <v>14</v>
      </c>
      <c r="C353" s="11" t="s">
        <v>33</v>
      </c>
      <c r="D353" s="11" t="s">
        <v>16</v>
      </c>
      <c r="E353" s="11" t="s">
        <v>51</v>
      </c>
      <c r="F353" s="11" t="s">
        <v>48</v>
      </c>
      <c r="G353" s="12">
        <v>1999</v>
      </c>
      <c r="H353" s="12" t="str">
        <f>IF(Table3[[#This Row],[Debut Year]]&lt;=2000,"1999–2000",
IF(Table3[[#This Row],[Debut Year]]&lt;=2005,"2001–2005",
IF(Table3[[#This Row],[Debut Year]]&lt;=2010,"2006–2010",
IF(Table3[[#This Row],[Debut Year]]&lt;=2015,"2011–2015",
IF(Table3[[#This Row],[Debut Year]]&lt;=2020,"2016–2020",
"2021–2025")))))</f>
        <v>1999–2000</v>
      </c>
      <c r="I353" s="12">
        <v>9212.4</v>
      </c>
      <c r="J353" s="12">
        <v>7752.7</v>
      </c>
      <c r="K353" s="12">
        <v>1460.8</v>
      </c>
      <c r="L353" s="4">
        <v>9165</v>
      </c>
      <c r="M353" s="6">
        <f>Table2[[#This Row],[% of Solo Streams]]/100</f>
        <v>0.99485476100000003</v>
      </c>
      <c r="N353" s="3">
        <v>47.4</v>
      </c>
      <c r="O353" s="6">
        <f>Table2[[#This Row],[% of Collaborative Streams]]/100</f>
        <v>5.1452390260000001E-3</v>
      </c>
      <c r="P353" s="4">
        <f>Table3[[#This Row],[Lead Streams (in millions)]]+Table3[[#This Row],[Feature Streams (in millions)]]</f>
        <v>9213.5</v>
      </c>
      <c r="Q353" s="4">
        <f>_xlfn.RANK.EQ(Table3[[#This Row],[Total Stream]],Table3[Total Stream],0)</f>
        <v>352</v>
      </c>
      <c r="R353" s="4">
        <f>Table3[[#This Row],[Total Streams (in millions)]]-Table3[[#This Row],[Total Stream]]</f>
        <v>-1.1000000000003638</v>
      </c>
      <c r="S353" s="8">
        <f>IFERROR(Table3[[#This Row],[Collaborative Streams (in millions)]]/Table3[[#This Row],[Total Stream]],0)</f>
        <v>5.1446247354425571E-3</v>
      </c>
      <c r="T353" t="str">
        <f>IF(Table3[[#This Row],[Total Streams (in millions)]]&gt;=50000,"High Performer",IF(Table3[[#This Row],[Total Streams (in millions)]]&gt;=20000,"Medium Performer","Low Performer"))</f>
        <v>Low Performer</v>
      </c>
    </row>
    <row r="354" spans="1:20" x14ac:dyDescent="0.3">
      <c r="A354" s="9" t="s">
        <v>432</v>
      </c>
      <c r="B354" s="9" t="s">
        <v>14</v>
      </c>
      <c r="C354" s="9" t="s">
        <v>33</v>
      </c>
      <c r="D354" s="9" t="s">
        <v>16</v>
      </c>
      <c r="E354" s="9" t="s">
        <v>60</v>
      </c>
      <c r="F354" s="9" t="s">
        <v>18</v>
      </c>
      <c r="G354" s="10">
        <v>2015</v>
      </c>
      <c r="H354" s="10" t="str">
        <f>IF(Table3[[#This Row],[Debut Year]]&lt;=2000,"1999–2000",
IF(Table3[[#This Row],[Debut Year]]&lt;=2005,"2001–2005",
IF(Table3[[#This Row],[Debut Year]]&lt;=2010,"2006–2010",
IF(Table3[[#This Row],[Debut Year]]&lt;=2015,"2011–2015",
IF(Table3[[#This Row],[Debut Year]]&lt;=2020,"2016–2020",
"2021–2025")))))</f>
        <v>2011–2015</v>
      </c>
      <c r="I354" s="10">
        <v>9206.7000000000007</v>
      </c>
      <c r="J354" s="10">
        <v>7645.1</v>
      </c>
      <c r="K354" s="10">
        <v>1564.1</v>
      </c>
      <c r="L354" s="4">
        <v>36.4</v>
      </c>
      <c r="M354" s="6">
        <f>Table2[[#This Row],[% of Solo Streams]]/100</f>
        <v>3.9536424560000002E-3</v>
      </c>
      <c r="N354" s="3">
        <v>9170.2999999999993</v>
      </c>
      <c r="O354" s="6">
        <f>Table2[[#This Row],[% of Collaborative Streams]]/100</f>
        <v>0.99604635750000003</v>
      </c>
      <c r="P354" s="4">
        <f>Table3[[#This Row],[Lead Streams (in millions)]]+Table3[[#This Row],[Feature Streams (in millions)]]</f>
        <v>9209.2000000000007</v>
      </c>
      <c r="Q354" s="4">
        <f>_xlfn.RANK.EQ(Table3[[#This Row],[Total Stream]],Table3[Total Stream],0)</f>
        <v>353</v>
      </c>
      <c r="R354" s="4">
        <f>Table3[[#This Row],[Total Streams (in millions)]]-Table3[[#This Row],[Total Stream]]</f>
        <v>-2.5</v>
      </c>
      <c r="S354" s="8">
        <f>IFERROR(Table3[[#This Row],[Collaborative Streams (in millions)]]/Table3[[#This Row],[Total Stream]],0)</f>
        <v>0.99577596316726735</v>
      </c>
      <c r="T354" t="str">
        <f>IF(Table3[[#This Row],[Total Streams (in millions)]]&gt;=50000,"High Performer",IF(Table3[[#This Row],[Total Streams (in millions)]]&gt;=20000,"Medium Performer","Low Performer"))</f>
        <v>Low Performer</v>
      </c>
    </row>
    <row r="355" spans="1:20" x14ac:dyDescent="0.3">
      <c r="A355" s="11" t="s">
        <v>433</v>
      </c>
      <c r="B355" s="11" t="s">
        <v>14</v>
      </c>
      <c r="C355" s="11" t="s">
        <v>21</v>
      </c>
      <c r="D355" s="11" t="s">
        <v>16</v>
      </c>
      <c r="E355" s="11" t="s">
        <v>22</v>
      </c>
      <c r="F355" s="11" t="s">
        <v>18</v>
      </c>
      <c r="G355" s="12">
        <v>2019</v>
      </c>
      <c r="H355" s="12" t="str">
        <f>IF(Table3[[#This Row],[Debut Year]]&lt;=2000,"1999–2000",
IF(Table3[[#This Row],[Debut Year]]&lt;=2005,"2001–2005",
IF(Table3[[#This Row],[Debut Year]]&lt;=2010,"2006–2010",
IF(Table3[[#This Row],[Debut Year]]&lt;=2015,"2011–2015",
IF(Table3[[#This Row],[Debut Year]]&lt;=2020,"2016–2020",
"2021–2025")))))</f>
        <v>2016–2020</v>
      </c>
      <c r="I355" s="12">
        <v>9177.5</v>
      </c>
      <c r="J355" s="12">
        <v>7949</v>
      </c>
      <c r="K355" s="12">
        <v>1236.7</v>
      </c>
      <c r="L355" s="4">
        <v>7238.3</v>
      </c>
      <c r="M355" s="6">
        <f>Table2[[#This Row],[% of Solo Streams]]/100</f>
        <v>0.78870062649999995</v>
      </c>
      <c r="N355" s="3">
        <v>1939.2</v>
      </c>
      <c r="O355" s="6">
        <f>Table2[[#This Row],[% of Collaborative Streams]]/100</f>
        <v>0.2112993735</v>
      </c>
      <c r="P355" s="4">
        <f>Table3[[#This Row],[Lead Streams (in millions)]]+Table3[[#This Row],[Feature Streams (in millions)]]</f>
        <v>9185.7000000000007</v>
      </c>
      <c r="Q355" s="4">
        <f>_xlfn.RANK.EQ(Table3[[#This Row],[Total Stream]],Table3[Total Stream],0)</f>
        <v>354</v>
      </c>
      <c r="R355" s="4">
        <f>Table3[[#This Row],[Total Streams (in millions)]]-Table3[[#This Row],[Total Stream]]</f>
        <v>-8.2000000000007276</v>
      </c>
      <c r="S355" s="8">
        <f>IFERROR(Table3[[#This Row],[Collaborative Streams (in millions)]]/Table3[[#This Row],[Total Stream]],0)</f>
        <v>0.21111074822822429</v>
      </c>
      <c r="T355" t="str">
        <f>IF(Table3[[#This Row],[Total Streams (in millions)]]&gt;=50000,"High Performer",IF(Table3[[#This Row],[Total Streams (in millions)]]&gt;=20000,"Medium Performer","Low Performer"))</f>
        <v>Low Performer</v>
      </c>
    </row>
    <row r="356" spans="1:20" x14ac:dyDescent="0.3">
      <c r="A356" s="9" t="s">
        <v>434</v>
      </c>
      <c r="B356" s="9" t="s">
        <v>14</v>
      </c>
      <c r="C356" s="9" t="s">
        <v>42</v>
      </c>
      <c r="D356" s="9" t="s">
        <v>24</v>
      </c>
      <c r="E356" s="9" t="s">
        <v>82</v>
      </c>
      <c r="F356" s="9" t="s">
        <v>18</v>
      </c>
      <c r="G356" s="10">
        <v>1988</v>
      </c>
      <c r="H356" s="10" t="str">
        <f>IF(Table3[[#This Row],[Debut Year]]&lt;=2000,"1999–2000",
IF(Table3[[#This Row],[Debut Year]]&lt;=2005,"2001–2005",
IF(Table3[[#This Row],[Debut Year]]&lt;=2010,"2006–2010",
IF(Table3[[#This Row],[Debut Year]]&lt;=2015,"2011–2015",
IF(Table3[[#This Row],[Debut Year]]&lt;=2020,"2016–2020",
"2021–2025")))))</f>
        <v>1999–2000</v>
      </c>
      <c r="I356" s="10">
        <v>9121.6</v>
      </c>
      <c r="J356" s="10">
        <v>4954.8</v>
      </c>
      <c r="K356" s="10">
        <v>4166.8</v>
      </c>
      <c r="L356" s="4">
        <v>4039.5</v>
      </c>
      <c r="M356" s="6">
        <f>Table2[[#This Row],[% of Solo Streams]]/100</f>
        <v>0.44284993859999999</v>
      </c>
      <c r="N356" s="3">
        <v>5082.1000000000004</v>
      </c>
      <c r="O356" s="6">
        <f>Table2[[#This Row],[% of Collaborative Streams]]/100</f>
        <v>0.55715006140000001</v>
      </c>
      <c r="P356" s="4">
        <f>Table3[[#This Row],[Lead Streams (in millions)]]+Table3[[#This Row],[Feature Streams (in millions)]]</f>
        <v>9121.6</v>
      </c>
      <c r="Q356" s="4">
        <f>_xlfn.RANK.EQ(Table3[[#This Row],[Total Stream]],Table3[Total Stream],0)</f>
        <v>355</v>
      </c>
      <c r="R356" s="4">
        <f>Table3[[#This Row],[Total Streams (in millions)]]-Table3[[#This Row],[Total Stream]]</f>
        <v>0</v>
      </c>
      <c r="S356" s="8">
        <f>IFERROR(Table3[[#This Row],[Collaborative Streams (in millions)]]/Table3[[#This Row],[Total Stream]],0)</f>
        <v>0.55715006139273815</v>
      </c>
      <c r="T356" t="str">
        <f>IF(Table3[[#This Row],[Total Streams (in millions)]]&gt;=50000,"High Performer",IF(Table3[[#This Row],[Total Streams (in millions)]]&gt;=20000,"Medium Performer","Low Performer"))</f>
        <v>Low Performer</v>
      </c>
    </row>
    <row r="357" spans="1:20" x14ac:dyDescent="0.3">
      <c r="A357" s="11" t="s">
        <v>435</v>
      </c>
      <c r="B357" s="11" t="s">
        <v>20</v>
      </c>
      <c r="C357" s="11" t="s">
        <v>21</v>
      </c>
      <c r="D357" s="11" t="s">
        <v>16</v>
      </c>
      <c r="E357" s="11" t="s">
        <v>22</v>
      </c>
      <c r="F357" s="11" t="s">
        <v>18</v>
      </c>
      <c r="G357" s="12">
        <v>1999</v>
      </c>
      <c r="H357" s="12" t="str">
        <f>IF(Table3[[#This Row],[Debut Year]]&lt;=2000,"1999–2000",
IF(Table3[[#This Row],[Debut Year]]&lt;=2005,"2001–2005",
IF(Table3[[#This Row],[Debut Year]]&lt;=2010,"2006–2010",
IF(Table3[[#This Row],[Debut Year]]&lt;=2015,"2011–2015",
IF(Table3[[#This Row],[Debut Year]]&lt;=2020,"2016–2020",
"2021–2025")))))</f>
        <v>1999–2000</v>
      </c>
      <c r="I357" s="12">
        <v>9115.7000000000007</v>
      </c>
      <c r="J357" s="12">
        <v>7543</v>
      </c>
      <c r="K357" s="12">
        <v>1578.6</v>
      </c>
      <c r="L357" s="4">
        <v>2706.2</v>
      </c>
      <c r="M357" s="6">
        <f>Table2[[#This Row],[% of Solo Streams]]/100</f>
        <v>0.29687242889999998</v>
      </c>
      <c r="N357" s="3">
        <v>6409.5</v>
      </c>
      <c r="O357" s="6">
        <f>Table2[[#This Row],[% of Collaborative Streams]]/100</f>
        <v>0.70312757110000002</v>
      </c>
      <c r="P357" s="4">
        <f>Table3[[#This Row],[Lead Streams (in millions)]]+Table3[[#This Row],[Feature Streams (in millions)]]</f>
        <v>9121.6</v>
      </c>
      <c r="Q357" s="4">
        <f>_xlfn.RANK.EQ(Table3[[#This Row],[Total Stream]],Table3[Total Stream],0)</f>
        <v>355</v>
      </c>
      <c r="R357" s="4">
        <f>Table3[[#This Row],[Total Streams (in millions)]]-Table3[[#This Row],[Total Stream]]</f>
        <v>-5.8999999999996362</v>
      </c>
      <c r="S357" s="8">
        <f>IFERROR(Table3[[#This Row],[Collaborative Streams (in millions)]]/Table3[[#This Row],[Total Stream]],0)</f>
        <v>0.70267277670584105</v>
      </c>
      <c r="T357" t="str">
        <f>IF(Table3[[#This Row],[Total Streams (in millions)]]&gt;=50000,"High Performer",IF(Table3[[#This Row],[Total Streams (in millions)]]&gt;=20000,"Medium Performer","Low Performer"))</f>
        <v>Low Performer</v>
      </c>
    </row>
    <row r="358" spans="1:20" x14ac:dyDescent="0.3">
      <c r="A358" s="9" t="s">
        <v>436</v>
      </c>
      <c r="B358" s="9" t="s">
        <v>14</v>
      </c>
      <c r="C358" s="9" t="s">
        <v>89</v>
      </c>
      <c r="D358" s="9" t="s">
        <v>24</v>
      </c>
      <c r="E358" s="9" t="s">
        <v>17</v>
      </c>
      <c r="F358" s="9" t="s">
        <v>48</v>
      </c>
      <c r="G358" s="10">
        <v>2002</v>
      </c>
      <c r="H358" s="10" t="str">
        <f>IF(Table3[[#This Row],[Debut Year]]&lt;=2000,"1999–2000",
IF(Table3[[#This Row],[Debut Year]]&lt;=2005,"2001–2005",
IF(Table3[[#This Row],[Debut Year]]&lt;=2010,"2006–2010",
IF(Table3[[#This Row],[Debut Year]]&lt;=2015,"2011–2015",
IF(Table3[[#This Row],[Debut Year]]&lt;=2020,"2016–2020",
"2021–2025")))))</f>
        <v>2001–2005</v>
      </c>
      <c r="I358" s="10">
        <v>9107.5</v>
      </c>
      <c r="J358" s="10">
        <v>8630.9</v>
      </c>
      <c r="K358" s="10">
        <v>487.3</v>
      </c>
      <c r="L358" s="4">
        <v>5817.4</v>
      </c>
      <c r="M358" s="6">
        <f>Table2[[#This Row],[% of Solo Streams]]/100</f>
        <v>0.63874828439999998</v>
      </c>
      <c r="N358" s="3">
        <v>3290.1</v>
      </c>
      <c r="O358" s="6">
        <f>Table2[[#This Row],[% of Collaborative Streams]]/100</f>
        <v>0.36125171559999997</v>
      </c>
      <c r="P358" s="4">
        <f>Table3[[#This Row],[Lead Streams (in millions)]]+Table3[[#This Row],[Feature Streams (in millions)]]</f>
        <v>9118.1999999999989</v>
      </c>
      <c r="Q358" s="4">
        <f>_xlfn.RANK.EQ(Table3[[#This Row],[Total Stream]],Table3[Total Stream],0)</f>
        <v>357</v>
      </c>
      <c r="R358" s="4">
        <f>Table3[[#This Row],[Total Streams (in millions)]]-Table3[[#This Row],[Total Stream]]</f>
        <v>-10.699999999998909</v>
      </c>
      <c r="S358" s="8">
        <f>IFERROR(Table3[[#This Row],[Collaborative Streams (in millions)]]/Table3[[#This Row],[Total Stream]],0)</f>
        <v>0.36082779495953154</v>
      </c>
      <c r="T358" t="str">
        <f>IF(Table3[[#This Row],[Total Streams (in millions)]]&gt;=50000,"High Performer",IF(Table3[[#This Row],[Total Streams (in millions)]]&gt;=20000,"Medium Performer","Low Performer"))</f>
        <v>Low Performer</v>
      </c>
    </row>
    <row r="359" spans="1:20" x14ac:dyDescent="0.3">
      <c r="A359" s="11" t="s">
        <v>437</v>
      </c>
      <c r="B359" s="11" t="s">
        <v>14</v>
      </c>
      <c r="C359" s="11" t="s">
        <v>21</v>
      </c>
      <c r="D359" s="11" t="s">
        <v>16</v>
      </c>
      <c r="E359" s="11" t="s">
        <v>17</v>
      </c>
      <c r="F359" s="11" t="s">
        <v>18</v>
      </c>
      <c r="G359" s="12">
        <v>2001</v>
      </c>
      <c r="H359" s="12" t="str">
        <f>IF(Table3[[#This Row],[Debut Year]]&lt;=2000,"1999–2000",
IF(Table3[[#This Row],[Debut Year]]&lt;=2005,"2001–2005",
IF(Table3[[#This Row],[Debut Year]]&lt;=2010,"2006–2010",
IF(Table3[[#This Row],[Debut Year]]&lt;=2015,"2011–2015",
IF(Table3[[#This Row],[Debut Year]]&lt;=2020,"2016–2020",
"2021–2025")))))</f>
        <v>2001–2005</v>
      </c>
      <c r="I359" s="12">
        <v>9084.9</v>
      </c>
      <c r="J359" s="12">
        <v>4560.6000000000004</v>
      </c>
      <c r="K359" s="12">
        <v>4524.3</v>
      </c>
      <c r="L359" s="4">
        <v>1805.2</v>
      </c>
      <c r="M359" s="6">
        <f>Table2[[#This Row],[% of Solo Streams]]/100</f>
        <v>0.1987033429</v>
      </c>
      <c r="N359" s="3">
        <v>7279.7</v>
      </c>
      <c r="O359" s="6">
        <f>Table2[[#This Row],[% of Collaborative Streams]]/100</f>
        <v>0.80129665709999998</v>
      </c>
      <c r="P359" s="4">
        <f>Table3[[#This Row],[Lead Streams (in millions)]]+Table3[[#This Row],[Feature Streams (in millions)]]</f>
        <v>9084.9000000000015</v>
      </c>
      <c r="Q359" s="4">
        <f>_xlfn.RANK.EQ(Table3[[#This Row],[Total Stream]],Table3[Total Stream],0)</f>
        <v>358</v>
      </c>
      <c r="R359" s="4">
        <f>Table3[[#This Row],[Total Streams (in millions)]]-Table3[[#This Row],[Total Stream]]</f>
        <v>0</v>
      </c>
      <c r="S359" s="8">
        <f>IFERROR(Table3[[#This Row],[Collaborative Streams (in millions)]]/Table3[[#This Row],[Total Stream]],0)</f>
        <v>0.80129665709033659</v>
      </c>
      <c r="T359" t="str">
        <f>IF(Table3[[#This Row],[Total Streams (in millions)]]&gt;=50000,"High Performer",IF(Table3[[#This Row],[Total Streams (in millions)]]&gt;=20000,"Medium Performer","Low Performer"))</f>
        <v>Low Performer</v>
      </c>
    </row>
    <row r="360" spans="1:20" x14ac:dyDescent="0.3">
      <c r="A360" s="9" t="s">
        <v>438</v>
      </c>
      <c r="B360" s="9" t="s">
        <v>14</v>
      </c>
      <c r="C360" s="9" t="s">
        <v>89</v>
      </c>
      <c r="D360" s="9" t="s">
        <v>24</v>
      </c>
      <c r="E360" s="9" t="s">
        <v>90</v>
      </c>
      <c r="F360" s="9" t="s">
        <v>18</v>
      </c>
      <c r="G360" s="10">
        <v>2015</v>
      </c>
      <c r="H360" s="10" t="str">
        <f>IF(Table3[[#This Row],[Debut Year]]&lt;=2000,"1999–2000",
IF(Table3[[#This Row],[Debut Year]]&lt;=2005,"2001–2005",
IF(Table3[[#This Row],[Debut Year]]&lt;=2010,"2006–2010",
IF(Table3[[#This Row],[Debut Year]]&lt;=2015,"2011–2015",
IF(Table3[[#This Row],[Debut Year]]&lt;=2020,"2016–2020",
"2021–2025")))))</f>
        <v>2011–2015</v>
      </c>
      <c r="I360" s="10">
        <v>9076.4</v>
      </c>
      <c r="J360" s="10">
        <v>3472</v>
      </c>
      <c r="K360" s="10">
        <v>5604.3</v>
      </c>
      <c r="L360" s="4">
        <v>752.1</v>
      </c>
      <c r="M360" s="6">
        <f>Table2[[#This Row],[% of Solo Streams]]/100</f>
        <v>8.2863249749999993E-2</v>
      </c>
      <c r="N360" s="3">
        <v>8324.2999999999993</v>
      </c>
      <c r="O360" s="6">
        <f>Table2[[#This Row],[% of Collaborative Streams]]/100</f>
        <v>0.91713675030000008</v>
      </c>
      <c r="P360" s="4">
        <f>Table3[[#This Row],[Lead Streams (in millions)]]+Table3[[#This Row],[Feature Streams (in millions)]]</f>
        <v>9076.2999999999993</v>
      </c>
      <c r="Q360" s="4">
        <f>_xlfn.RANK.EQ(Table3[[#This Row],[Total Stream]],Table3[Total Stream],0)</f>
        <v>359</v>
      </c>
      <c r="R360" s="4">
        <f>Table3[[#This Row],[Total Streams (in millions)]]-Table3[[#This Row],[Total Stream]]</f>
        <v>0.1000000000003638</v>
      </c>
      <c r="S360" s="8">
        <f>IFERROR(Table3[[#This Row],[Collaborative Streams (in millions)]]/Table3[[#This Row],[Total Stream]],0)</f>
        <v>0.91714685499597848</v>
      </c>
      <c r="T360" t="str">
        <f>IF(Table3[[#This Row],[Total Streams (in millions)]]&gt;=50000,"High Performer",IF(Table3[[#This Row],[Total Streams (in millions)]]&gt;=20000,"Medium Performer","Low Performer"))</f>
        <v>Low Performer</v>
      </c>
    </row>
    <row r="361" spans="1:20" x14ac:dyDescent="0.3">
      <c r="A361" s="11" t="s">
        <v>439</v>
      </c>
      <c r="B361" s="11" t="s">
        <v>14</v>
      </c>
      <c r="C361" s="11" t="s">
        <v>440</v>
      </c>
      <c r="D361" s="11" t="s">
        <v>24</v>
      </c>
      <c r="E361" s="11" t="s">
        <v>82</v>
      </c>
      <c r="F361" s="11" t="s">
        <v>18</v>
      </c>
      <c r="G361" s="12">
        <v>2008</v>
      </c>
      <c r="H361" s="12" t="str">
        <f>IF(Table3[[#This Row],[Debut Year]]&lt;=2000,"1999–2000",
IF(Table3[[#This Row],[Debut Year]]&lt;=2005,"2001–2005",
IF(Table3[[#This Row],[Debut Year]]&lt;=2010,"2006–2010",
IF(Table3[[#This Row],[Debut Year]]&lt;=2015,"2011–2015",
IF(Table3[[#This Row],[Debut Year]]&lt;=2020,"2016–2020",
"2021–2025")))))</f>
        <v>2006–2010</v>
      </c>
      <c r="I361" s="12">
        <v>9056.5</v>
      </c>
      <c r="J361" s="12">
        <v>5112.2</v>
      </c>
      <c r="K361" s="12">
        <v>3944.3</v>
      </c>
      <c r="L361" s="4">
        <v>561.5</v>
      </c>
      <c r="M361" s="6">
        <f>Table2[[#This Row],[% of Solo Streams]]/100</f>
        <v>6.199966875E-2</v>
      </c>
      <c r="N361" s="3">
        <v>8495</v>
      </c>
      <c r="O361" s="6">
        <f>Table2[[#This Row],[% of Collaborative Streams]]/100</f>
        <v>0.93800033130000005</v>
      </c>
      <c r="P361" s="4">
        <f>Table3[[#This Row],[Lead Streams (in millions)]]+Table3[[#This Row],[Feature Streams (in millions)]]</f>
        <v>9056.5</v>
      </c>
      <c r="Q361" s="4">
        <f>_xlfn.RANK.EQ(Table3[[#This Row],[Total Stream]],Table3[Total Stream],0)</f>
        <v>360</v>
      </c>
      <c r="R361" s="4">
        <f>Table3[[#This Row],[Total Streams (in millions)]]-Table3[[#This Row],[Total Stream]]</f>
        <v>0</v>
      </c>
      <c r="S361" s="8">
        <f>IFERROR(Table3[[#This Row],[Collaborative Streams (in millions)]]/Table3[[#This Row],[Total Stream]],0)</f>
        <v>0.93800033125379567</v>
      </c>
      <c r="T361" t="str">
        <f>IF(Table3[[#This Row],[Total Streams (in millions)]]&gt;=50000,"High Performer",IF(Table3[[#This Row],[Total Streams (in millions)]]&gt;=20000,"Medium Performer","Low Performer"))</f>
        <v>Low Performer</v>
      </c>
    </row>
    <row r="362" spans="1:20" x14ac:dyDescent="0.3">
      <c r="A362" s="9" t="s">
        <v>441</v>
      </c>
      <c r="B362" s="9" t="s">
        <v>20</v>
      </c>
      <c r="C362" s="9" t="s">
        <v>71</v>
      </c>
      <c r="D362" s="9" t="s">
        <v>72</v>
      </c>
      <c r="E362" s="9" t="s">
        <v>73</v>
      </c>
      <c r="F362" s="9" t="s">
        <v>18</v>
      </c>
      <c r="G362" s="10">
        <v>1980</v>
      </c>
      <c r="H362" s="10" t="str">
        <f>IF(Table3[[#This Row],[Debut Year]]&lt;=2000,"1999–2000",
IF(Table3[[#This Row],[Debut Year]]&lt;=2005,"2001–2005",
IF(Table3[[#This Row],[Debut Year]]&lt;=2010,"2006–2010",
IF(Table3[[#This Row],[Debut Year]]&lt;=2015,"2011–2015",
IF(Table3[[#This Row],[Debut Year]]&lt;=2020,"2016–2020",
"2021–2025")))))</f>
        <v>1999–2000</v>
      </c>
      <c r="I362" s="10">
        <v>8988.2000000000007</v>
      </c>
      <c r="J362" s="10">
        <v>2897.2</v>
      </c>
      <c r="K362" s="10">
        <v>6102.8</v>
      </c>
      <c r="L362" s="4">
        <v>551.1</v>
      </c>
      <c r="M362" s="6">
        <f>Table2[[#This Row],[% of Solo Streams]]/100</f>
        <v>6.1313722439999996E-2</v>
      </c>
      <c r="N362" s="3">
        <v>8437.1</v>
      </c>
      <c r="O362" s="6">
        <f>Table2[[#This Row],[% of Collaborative Streams]]/100</f>
        <v>0.93868627760000001</v>
      </c>
      <c r="P362" s="4">
        <f>Table3[[#This Row],[Lead Streams (in millions)]]+Table3[[#This Row],[Feature Streams (in millions)]]</f>
        <v>9000</v>
      </c>
      <c r="Q362" s="4">
        <f>_xlfn.RANK.EQ(Table3[[#This Row],[Total Stream]],Table3[Total Stream],0)</f>
        <v>361</v>
      </c>
      <c r="R362" s="4">
        <f>Table3[[#This Row],[Total Streams (in millions)]]-Table3[[#This Row],[Total Stream]]</f>
        <v>-11.799999999999272</v>
      </c>
      <c r="S362" s="8">
        <f>IFERROR(Table3[[#This Row],[Collaborative Streams (in millions)]]/Table3[[#This Row],[Total Stream]],0)</f>
        <v>0.9374555555555556</v>
      </c>
      <c r="T362" t="str">
        <f>IF(Table3[[#This Row],[Total Streams (in millions)]]&gt;=50000,"High Performer",IF(Table3[[#This Row],[Total Streams (in millions)]]&gt;=20000,"Medium Performer","Low Performer"))</f>
        <v>Low Performer</v>
      </c>
    </row>
    <row r="363" spans="1:20" x14ac:dyDescent="0.3">
      <c r="A363" s="11" t="s">
        <v>442</v>
      </c>
      <c r="B363" s="11" t="s">
        <v>14</v>
      </c>
      <c r="C363" s="11" t="s">
        <v>42</v>
      </c>
      <c r="D363" s="11" t="s">
        <v>24</v>
      </c>
      <c r="E363" s="11" t="s">
        <v>25</v>
      </c>
      <c r="F363" s="11" t="s">
        <v>18</v>
      </c>
      <c r="G363" s="12">
        <v>2018</v>
      </c>
      <c r="H363" s="12" t="str">
        <f>IF(Table3[[#This Row],[Debut Year]]&lt;=2000,"1999–2000",
IF(Table3[[#This Row],[Debut Year]]&lt;=2005,"2001–2005",
IF(Table3[[#This Row],[Debut Year]]&lt;=2010,"2006–2010",
IF(Table3[[#This Row],[Debut Year]]&lt;=2015,"2011–2015",
IF(Table3[[#This Row],[Debut Year]]&lt;=2020,"2016–2020",
"2021–2025")))))</f>
        <v>2016–2020</v>
      </c>
      <c r="I363" s="12">
        <v>8965</v>
      </c>
      <c r="J363" s="12">
        <v>6387.9</v>
      </c>
      <c r="K363" s="12">
        <v>2587.4</v>
      </c>
      <c r="L363" s="4">
        <v>1238.0999999999999</v>
      </c>
      <c r="M363" s="6">
        <f>Table2[[#This Row],[% of Solo Streams]]/100</f>
        <v>0.13810373679999999</v>
      </c>
      <c r="N363" s="3">
        <v>7726.9</v>
      </c>
      <c r="O363" s="6">
        <f>Table2[[#This Row],[% of Collaborative Streams]]/100</f>
        <v>0.86189626320000001</v>
      </c>
      <c r="P363" s="4">
        <f>Table3[[#This Row],[Lead Streams (in millions)]]+Table3[[#This Row],[Feature Streams (in millions)]]</f>
        <v>8975.2999999999993</v>
      </c>
      <c r="Q363" s="4">
        <f>_xlfn.RANK.EQ(Table3[[#This Row],[Total Stream]],Table3[Total Stream],0)</f>
        <v>362</v>
      </c>
      <c r="R363" s="4">
        <f>Table3[[#This Row],[Total Streams (in millions)]]-Table3[[#This Row],[Total Stream]]</f>
        <v>-10.299999999999272</v>
      </c>
      <c r="S363" s="8">
        <f>IFERROR(Table3[[#This Row],[Collaborative Streams (in millions)]]/Table3[[#This Row],[Total Stream]],0)</f>
        <v>0.86090715630675296</v>
      </c>
      <c r="T363" t="str">
        <f>IF(Table3[[#This Row],[Total Streams (in millions)]]&gt;=50000,"High Performer",IF(Table3[[#This Row],[Total Streams (in millions)]]&gt;=20000,"Medium Performer","Low Performer"))</f>
        <v>Low Performer</v>
      </c>
    </row>
    <row r="364" spans="1:20" x14ac:dyDescent="0.3">
      <c r="A364" s="9" t="s">
        <v>443</v>
      </c>
      <c r="B364" s="9" t="s">
        <v>20</v>
      </c>
      <c r="C364" s="9" t="s">
        <v>440</v>
      </c>
      <c r="D364" s="9" t="s">
        <v>24</v>
      </c>
      <c r="E364" s="9" t="s">
        <v>25</v>
      </c>
      <c r="F364" s="9" t="s">
        <v>18</v>
      </c>
      <c r="G364" s="10">
        <v>2010</v>
      </c>
      <c r="H364" s="10" t="str">
        <f>IF(Table3[[#This Row],[Debut Year]]&lt;=2000,"1999–2000",
IF(Table3[[#This Row],[Debut Year]]&lt;=2005,"2001–2005",
IF(Table3[[#This Row],[Debut Year]]&lt;=2010,"2006–2010",
IF(Table3[[#This Row],[Debut Year]]&lt;=2015,"2011–2015",
IF(Table3[[#This Row],[Debut Year]]&lt;=2020,"2016–2020",
"2021–2025")))))</f>
        <v>2006–2010</v>
      </c>
      <c r="I364" s="10">
        <v>8960.1</v>
      </c>
      <c r="J364" s="10">
        <v>3564</v>
      </c>
      <c r="K364" s="10">
        <v>5398.2</v>
      </c>
      <c r="L364" s="4">
        <v>687.9</v>
      </c>
      <c r="M364" s="6">
        <f>Table2[[#This Row],[% of Solo Streams]]/100</f>
        <v>7.6773696720000006E-2</v>
      </c>
      <c r="N364" s="3">
        <v>8272.2000000000007</v>
      </c>
      <c r="O364" s="6">
        <f>Table2[[#This Row],[% of Collaborative Streams]]/100</f>
        <v>0.9232263033</v>
      </c>
      <c r="P364" s="4">
        <f>Table3[[#This Row],[Lead Streams (in millions)]]+Table3[[#This Row],[Feature Streams (in millions)]]</f>
        <v>8962.2000000000007</v>
      </c>
      <c r="Q364" s="4">
        <f>_xlfn.RANK.EQ(Table3[[#This Row],[Total Stream]],Table3[Total Stream],0)</f>
        <v>363</v>
      </c>
      <c r="R364" s="4">
        <f>Table3[[#This Row],[Total Streams (in millions)]]-Table3[[#This Row],[Total Stream]]</f>
        <v>-2.1000000000003638</v>
      </c>
      <c r="S364" s="8">
        <f>IFERROR(Table3[[#This Row],[Collaborative Streams (in millions)]]/Table3[[#This Row],[Total Stream]],0)</f>
        <v>0.9230099752292964</v>
      </c>
      <c r="T364" t="str">
        <f>IF(Table3[[#This Row],[Total Streams (in millions)]]&gt;=50000,"High Performer",IF(Table3[[#This Row],[Total Streams (in millions)]]&gt;=20000,"Medium Performer","Low Performer"))</f>
        <v>Low Performer</v>
      </c>
    </row>
    <row r="365" spans="1:20" x14ac:dyDescent="0.3">
      <c r="A365" s="11" t="s">
        <v>444</v>
      </c>
      <c r="B365" s="11" t="s">
        <v>14</v>
      </c>
      <c r="C365" s="11" t="s">
        <v>21</v>
      </c>
      <c r="D365" s="11" t="s">
        <v>16</v>
      </c>
      <c r="E365" s="11" t="s">
        <v>51</v>
      </c>
      <c r="F365" s="11" t="s">
        <v>18</v>
      </c>
      <c r="G365" s="12">
        <v>1973</v>
      </c>
      <c r="H365" s="12" t="str">
        <f>IF(Table3[[#This Row],[Debut Year]]&lt;=2000,"1999–2000",
IF(Table3[[#This Row],[Debut Year]]&lt;=2005,"2001–2005",
IF(Table3[[#This Row],[Debut Year]]&lt;=2010,"2006–2010",
IF(Table3[[#This Row],[Debut Year]]&lt;=2015,"2011–2015",
IF(Table3[[#This Row],[Debut Year]]&lt;=2020,"2016–2020",
"2021–2025")))))</f>
        <v>1999–2000</v>
      </c>
      <c r="I365" s="12">
        <v>8927.6</v>
      </c>
      <c r="J365" s="12">
        <v>8741.2000000000007</v>
      </c>
      <c r="K365" s="12">
        <v>189.7</v>
      </c>
      <c r="L365" s="4">
        <v>8713.2999999999993</v>
      </c>
      <c r="M365" s="6">
        <f>Table2[[#This Row],[% of Solo Streams]]/100</f>
        <v>0.9759957883</v>
      </c>
      <c r="N365" s="3">
        <v>214.3</v>
      </c>
      <c r="O365" s="6">
        <f>Table2[[#This Row],[% of Collaborative Streams]]/100</f>
        <v>2.400421166E-2</v>
      </c>
      <c r="P365" s="4">
        <f>Table3[[#This Row],[Lead Streams (in millions)]]+Table3[[#This Row],[Feature Streams (in millions)]]</f>
        <v>8930.9000000000015</v>
      </c>
      <c r="Q365" s="4">
        <f>_xlfn.RANK.EQ(Table3[[#This Row],[Total Stream]],Table3[Total Stream],0)</f>
        <v>364</v>
      </c>
      <c r="R365" s="4">
        <f>Table3[[#This Row],[Total Streams (in millions)]]-Table3[[#This Row],[Total Stream]]</f>
        <v>-3.3000000000010914</v>
      </c>
      <c r="S365" s="8">
        <f>IFERROR(Table3[[#This Row],[Collaborative Streams (in millions)]]/Table3[[#This Row],[Total Stream]],0)</f>
        <v>2.3995342014802537E-2</v>
      </c>
      <c r="T365" t="str">
        <f>IF(Table3[[#This Row],[Total Streams (in millions)]]&gt;=50000,"High Performer",IF(Table3[[#This Row],[Total Streams (in millions)]]&gt;=20000,"Medium Performer","Low Performer"))</f>
        <v>Low Performer</v>
      </c>
    </row>
    <row r="366" spans="1:20" x14ac:dyDescent="0.3">
      <c r="A366" s="9" t="s">
        <v>445</v>
      </c>
      <c r="B366" s="9" t="s">
        <v>14</v>
      </c>
      <c r="C366" s="9" t="s">
        <v>89</v>
      </c>
      <c r="D366" s="9" t="s">
        <v>24</v>
      </c>
      <c r="E366" s="9" t="s">
        <v>90</v>
      </c>
      <c r="F366" s="9" t="s">
        <v>18</v>
      </c>
      <c r="G366" s="10">
        <v>2011</v>
      </c>
      <c r="H366" s="10" t="str">
        <f>IF(Table3[[#This Row],[Debut Year]]&lt;=2000,"1999–2000",
IF(Table3[[#This Row],[Debut Year]]&lt;=2005,"2001–2005",
IF(Table3[[#This Row],[Debut Year]]&lt;=2010,"2006–2010",
IF(Table3[[#This Row],[Debut Year]]&lt;=2015,"2011–2015",
IF(Table3[[#This Row],[Debut Year]]&lt;=2020,"2016–2020",
"2021–2025")))))</f>
        <v>2011–2015</v>
      </c>
      <c r="I366" s="10">
        <v>8916</v>
      </c>
      <c r="J366" s="10">
        <v>8080</v>
      </c>
      <c r="K366" s="10">
        <v>844.9</v>
      </c>
      <c r="L366" s="4">
        <v>7975.8</v>
      </c>
      <c r="M366" s="6">
        <f>Table2[[#This Row],[% of Solo Streams]]/100</f>
        <v>0.89454912519999996</v>
      </c>
      <c r="N366" s="3">
        <v>940.2</v>
      </c>
      <c r="O366" s="6">
        <f>Table2[[#This Row],[% of Collaborative Streams]]/100</f>
        <v>0.1054508748</v>
      </c>
      <c r="P366" s="4">
        <f>Table3[[#This Row],[Lead Streams (in millions)]]+Table3[[#This Row],[Feature Streams (in millions)]]</f>
        <v>8924.9</v>
      </c>
      <c r="Q366" s="4">
        <f>_xlfn.RANK.EQ(Table3[[#This Row],[Total Stream]],Table3[Total Stream],0)</f>
        <v>365</v>
      </c>
      <c r="R366" s="4">
        <f>Table3[[#This Row],[Total Streams (in millions)]]-Table3[[#This Row],[Total Stream]]</f>
        <v>-8.8999999999996362</v>
      </c>
      <c r="S366" s="8">
        <f>IFERROR(Table3[[#This Row],[Collaborative Streams (in millions)]]/Table3[[#This Row],[Total Stream]],0)</f>
        <v>0.10534571815930711</v>
      </c>
      <c r="T366" t="str">
        <f>IF(Table3[[#This Row],[Total Streams (in millions)]]&gt;=50000,"High Performer",IF(Table3[[#This Row],[Total Streams (in millions)]]&gt;=20000,"Medium Performer","Low Performer"))</f>
        <v>Low Performer</v>
      </c>
    </row>
    <row r="367" spans="1:20" x14ac:dyDescent="0.3">
      <c r="A367" s="11" t="s">
        <v>446</v>
      </c>
      <c r="B367" s="11" t="s">
        <v>14</v>
      </c>
      <c r="C367" s="11" t="s">
        <v>21</v>
      </c>
      <c r="D367" s="11" t="s">
        <v>16</v>
      </c>
      <c r="E367" s="11" t="s">
        <v>22</v>
      </c>
      <c r="F367" s="11" t="s">
        <v>48</v>
      </c>
      <c r="G367" s="12">
        <v>2006</v>
      </c>
      <c r="H367" s="12" t="str">
        <f>IF(Table3[[#This Row],[Debut Year]]&lt;=2000,"1999–2000",
IF(Table3[[#This Row],[Debut Year]]&lt;=2005,"2001–2005",
IF(Table3[[#This Row],[Debut Year]]&lt;=2010,"2006–2010",
IF(Table3[[#This Row],[Debut Year]]&lt;=2015,"2011–2015",
IF(Table3[[#This Row],[Debut Year]]&lt;=2020,"2016–2020",
"2021–2025")))))</f>
        <v>2006–2010</v>
      </c>
      <c r="I367" s="12">
        <v>8909.9</v>
      </c>
      <c r="J367" s="12">
        <v>6844.4</v>
      </c>
      <c r="K367" s="12">
        <v>2067.6999999999998</v>
      </c>
      <c r="L367" s="4">
        <v>6517.9</v>
      </c>
      <c r="M367" s="6">
        <f>Table2[[#This Row],[% of Solo Streams]]/100</f>
        <v>0.73153458509999991</v>
      </c>
      <c r="N367" s="3">
        <v>2392</v>
      </c>
      <c r="O367" s="6">
        <f>Table2[[#This Row],[% of Collaborative Streams]]/100</f>
        <v>0.26846541489999998</v>
      </c>
      <c r="P367" s="4">
        <f>Table3[[#This Row],[Lead Streams (in millions)]]+Table3[[#This Row],[Feature Streams (in millions)]]</f>
        <v>8912.0999999999985</v>
      </c>
      <c r="Q367" s="4">
        <f>_xlfn.RANK.EQ(Table3[[#This Row],[Total Stream]],Table3[Total Stream],0)</f>
        <v>366</v>
      </c>
      <c r="R367" s="4">
        <f>Table3[[#This Row],[Total Streams (in millions)]]-Table3[[#This Row],[Total Stream]]</f>
        <v>-2.1999999999989086</v>
      </c>
      <c r="S367" s="8">
        <f>IFERROR(Table3[[#This Row],[Collaborative Streams (in millions)]]/Table3[[#This Row],[Total Stream]],0)</f>
        <v>0.26839914273852405</v>
      </c>
      <c r="T367" t="str">
        <f>IF(Table3[[#This Row],[Total Streams (in millions)]]&gt;=50000,"High Performer",IF(Table3[[#This Row],[Total Streams (in millions)]]&gt;=20000,"Medium Performer","Low Performer"))</f>
        <v>Low Performer</v>
      </c>
    </row>
    <row r="368" spans="1:20" x14ac:dyDescent="0.3">
      <c r="A368" s="9" t="s">
        <v>447</v>
      </c>
      <c r="B368" s="9" t="s">
        <v>14</v>
      </c>
      <c r="C368" s="9" t="s">
        <v>128</v>
      </c>
      <c r="D368" s="9" t="s">
        <v>129</v>
      </c>
      <c r="E368" s="9" t="s">
        <v>139</v>
      </c>
      <c r="F368" s="9" t="s">
        <v>18</v>
      </c>
      <c r="G368" s="10">
        <v>1977</v>
      </c>
      <c r="H368" s="10" t="str">
        <f>IF(Table3[[#This Row],[Debut Year]]&lt;=2000,"1999–2000",
IF(Table3[[#This Row],[Debut Year]]&lt;=2005,"2001–2005",
IF(Table3[[#This Row],[Debut Year]]&lt;=2010,"2006–2010",
IF(Table3[[#This Row],[Debut Year]]&lt;=2015,"2011–2015",
IF(Table3[[#This Row],[Debut Year]]&lt;=2020,"2016–2020",
"2021–2025")))))</f>
        <v>1999–2000</v>
      </c>
      <c r="I368" s="10">
        <v>8906.9</v>
      </c>
      <c r="J368" s="10">
        <v>8155.5</v>
      </c>
      <c r="K368" s="10">
        <v>751.4</v>
      </c>
      <c r="L368" s="4">
        <v>5041.5</v>
      </c>
      <c r="M368" s="6">
        <f>Table2[[#This Row],[% of Solo Streams]]/100</f>
        <v>0.56602184820000001</v>
      </c>
      <c r="N368" s="3">
        <v>3865.4</v>
      </c>
      <c r="O368" s="6">
        <f>Table2[[#This Row],[% of Collaborative Streams]]/100</f>
        <v>0.43397815180000004</v>
      </c>
      <c r="P368" s="4">
        <f>Table3[[#This Row],[Lead Streams (in millions)]]+Table3[[#This Row],[Feature Streams (in millions)]]</f>
        <v>8906.9</v>
      </c>
      <c r="Q368" s="4">
        <f>_xlfn.RANK.EQ(Table3[[#This Row],[Total Stream]],Table3[Total Stream],0)</f>
        <v>367</v>
      </c>
      <c r="R368" s="4">
        <f>Table3[[#This Row],[Total Streams (in millions)]]-Table3[[#This Row],[Total Stream]]</f>
        <v>0</v>
      </c>
      <c r="S368" s="8">
        <f>IFERROR(Table3[[#This Row],[Collaborative Streams (in millions)]]/Table3[[#This Row],[Total Stream]],0)</f>
        <v>0.43397815176997612</v>
      </c>
      <c r="T368" t="str">
        <f>IF(Table3[[#This Row],[Total Streams (in millions)]]&gt;=50000,"High Performer",IF(Table3[[#This Row],[Total Streams (in millions)]]&gt;=20000,"Medium Performer","Low Performer"))</f>
        <v>Low Performer</v>
      </c>
    </row>
    <row r="369" spans="1:20" x14ac:dyDescent="0.3">
      <c r="A369" s="11" t="s">
        <v>448</v>
      </c>
      <c r="B369" s="11" t="s">
        <v>20</v>
      </c>
      <c r="C369" s="11" t="s">
        <v>21</v>
      </c>
      <c r="D369" s="11" t="s">
        <v>16</v>
      </c>
      <c r="E369" s="11" t="s">
        <v>22</v>
      </c>
      <c r="F369" s="11" t="s">
        <v>18</v>
      </c>
      <c r="G369" s="12">
        <v>2010</v>
      </c>
      <c r="H369" s="12" t="str">
        <f>IF(Table3[[#This Row],[Debut Year]]&lt;=2000,"1999–2000",
IF(Table3[[#This Row],[Debut Year]]&lt;=2005,"2001–2005",
IF(Table3[[#This Row],[Debut Year]]&lt;=2010,"2006–2010",
IF(Table3[[#This Row],[Debut Year]]&lt;=2015,"2011–2015",
IF(Table3[[#This Row],[Debut Year]]&lt;=2020,"2016–2020",
"2021–2025")))))</f>
        <v>2006–2010</v>
      </c>
      <c r="I369" s="12">
        <v>8899.6</v>
      </c>
      <c r="J369" s="12">
        <v>4219.1000000000004</v>
      </c>
      <c r="K369" s="12">
        <v>4681.7</v>
      </c>
      <c r="L369" s="4">
        <v>2876.3</v>
      </c>
      <c r="M369" s="6">
        <f>Table2[[#This Row],[% of Solo Streams]]/100</f>
        <v>0.32319430089999995</v>
      </c>
      <c r="N369" s="3">
        <v>6023.3</v>
      </c>
      <c r="O369" s="6">
        <f>Table2[[#This Row],[% of Collaborative Streams]]/100</f>
        <v>0.67680569909999999</v>
      </c>
      <c r="P369" s="4">
        <f>Table3[[#This Row],[Lead Streams (in millions)]]+Table3[[#This Row],[Feature Streams (in millions)]]</f>
        <v>8900.7999999999993</v>
      </c>
      <c r="Q369" s="4">
        <f>_xlfn.RANK.EQ(Table3[[#This Row],[Total Stream]],Table3[Total Stream],0)</f>
        <v>368</v>
      </c>
      <c r="R369" s="4">
        <f>Table3[[#This Row],[Total Streams (in millions)]]-Table3[[#This Row],[Total Stream]]</f>
        <v>-1.1999999999989086</v>
      </c>
      <c r="S369" s="8">
        <f>IFERROR(Table3[[#This Row],[Collaborative Streams (in millions)]]/Table3[[#This Row],[Total Stream]],0)</f>
        <v>0.67671445263347119</v>
      </c>
      <c r="T369" t="str">
        <f>IF(Table3[[#This Row],[Total Streams (in millions)]]&gt;=50000,"High Performer",IF(Table3[[#This Row],[Total Streams (in millions)]]&gt;=20000,"Medium Performer","Low Performer"))</f>
        <v>Low Performer</v>
      </c>
    </row>
    <row r="370" spans="1:20" x14ac:dyDescent="0.3">
      <c r="A370" s="9" t="s">
        <v>449</v>
      </c>
      <c r="B370" s="9" t="s">
        <v>14</v>
      </c>
      <c r="C370" s="9" t="s">
        <v>21</v>
      </c>
      <c r="D370" s="9" t="s">
        <v>16</v>
      </c>
      <c r="E370" s="9" t="s">
        <v>291</v>
      </c>
      <c r="F370" s="9" t="s">
        <v>48</v>
      </c>
      <c r="G370" s="10">
        <v>1995</v>
      </c>
      <c r="H370" s="10" t="str">
        <f>IF(Table3[[#This Row],[Debut Year]]&lt;=2000,"1999–2000",
IF(Table3[[#This Row],[Debut Year]]&lt;=2005,"2001–2005",
IF(Table3[[#This Row],[Debut Year]]&lt;=2010,"2006–2010",
IF(Table3[[#This Row],[Debut Year]]&lt;=2015,"2011–2015",
IF(Table3[[#This Row],[Debut Year]]&lt;=2020,"2016–2020",
"2021–2025")))))</f>
        <v>1999–2000</v>
      </c>
      <c r="I370" s="10">
        <v>8848.2999999999993</v>
      </c>
      <c r="J370" s="10">
        <v>8855.1</v>
      </c>
      <c r="K370" s="10">
        <v>0</v>
      </c>
      <c r="L370" s="4">
        <v>8823.4</v>
      </c>
      <c r="M370" s="6">
        <f>Table2[[#This Row],[% of Solo Streams]]/100</f>
        <v>0.99718590009999997</v>
      </c>
      <c r="N370" s="3">
        <v>24.9</v>
      </c>
      <c r="O370" s="6">
        <f>Table2[[#This Row],[% of Collaborative Streams]]/100</f>
        <v>2.814099884E-3</v>
      </c>
      <c r="P370" s="4">
        <f>Table3[[#This Row],[Lead Streams (in millions)]]+Table3[[#This Row],[Feature Streams (in millions)]]</f>
        <v>8855.1</v>
      </c>
      <c r="Q370" s="4">
        <f>_xlfn.RANK.EQ(Table3[[#This Row],[Total Stream]],Table3[Total Stream],0)</f>
        <v>369</v>
      </c>
      <c r="R370" s="4">
        <f>Table3[[#This Row],[Total Streams (in millions)]]-Table3[[#This Row],[Total Stream]]</f>
        <v>-6.8000000000010914</v>
      </c>
      <c r="S370" s="8">
        <f>IFERROR(Table3[[#This Row],[Collaborative Streams (in millions)]]/Table3[[#This Row],[Total Stream]],0)</f>
        <v>2.8119388826777785E-3</v>
      </c>
      <c r="T370" t="str">
        <f>IF(Table3[[#This Row],[Total Streams (in millions)]]&gt;=50000,"High Performer",IF(Table3[[#This Row],[Total Streams (in millions)]]&gt;=20000,"Medium Performer","Low Performer"))</f>
        <v>Low Performer</v>
      </c>
    </row>
    <row r="371" spans="1:20" x14ac:dyDescent="0.3">
      <c r="A371" s="11" t="s">
        <v>450</v>
      </c>
      <c r="B371" s="11" t="s">
        <v>20</v>
      </c>
      <c r="C371" s="11" t="s">
        <v>21</v>
      </c>
      <c r="D371" s="11" t="s">
        <v>16</v>
      </c>
      <c r="E371" s="11" t="s">
        <v>22</v>
      </c>
      <c r="F371" s="11" t="s">
        <v>18</v>
      </c>
      <c r="G371" s="12">
        <v>2012</v>
      </c>
      <c r="H371" s="12" t="str">
        <f>IF(Table3[[#This Row],[Debut Year]]&lt;=2000,"1999–2000",
IF(Table3[[#This Row],[Debut Year]]&lt;=2005,"2001–2005",
IF(Table3[[#This Row],[Debut Year]]&lt;=2010,"2006–2010",
IF(Table3[[#This Row],[Debut Year]]&lt;=2015,"2011–2015",
IF(Table3[[#This Row],[Debut Year]]&lt;=2020,"2016–2020",
"2021–2025")))))</f>
        <v>2011–2015</v>
      </c>
      <c r="I371" s="12">
        <v>8831</v>
      </c>
      <c r="J371" s="12">
        <v>6995.1</v>
      </c>
      <c r="K371" s="12">
        <v>1840.3</v>
      </c>
      <c r="L371" s="4">
        <v>6603.2</v>
      </c>
      <c r="M371" s="6">
        <f>Table2[[#This Row],[% of Solo Streams]]/100</f>
        <v>0.74772958889999996</v>
      </c>
      <c r="N371" s="3">
        <v>2227.8000000000002</v>
      </c>
      <c r="O371" s="6">
        <f>Table2[[#This Row],[% of Collaborative Streams]]/100</f>
        <v>0.25227041109999998</v>
      </c>
      <c r="P371" s="4">
        <f>Table3[[#This Row],[Lead Streams (in millions)]]+Table3[[#This Row],[Feature Streams (in millions)]]</f>
        <v>8835.4</v>
      </c>
      <c r="Q371" s="4">
        <f>_xlfn.RANK.EQ(Table3[[#This Row],[Total Stream]],Table3[Total Stream],0)</f>
        <v>370</v>
      </c>
      <c r="R371" s="4">
        <f>Table3[[#This Row],[Total Streams (in millions)]]-Table3[[#This Row],[Total Stream]]</f>
        <v>-4.3999999999996362</v>
      </c>
      <c r="S371" s="8">
        <f>IFERROR(Table3[[#This Row],[Collaborative Streams (in millions)]]/Table3[[#This Row],[Total Stream]],0)</f>
        <v>0.25214478122099737</v>
      </c>
      <c r="T371" t="str">
        <f>IF(Table3[[#This Row],[Total Streams (in millions)]]&gt;=50000,"High Performer",IF(Table3[[#This Row],[Total Streams (in millions)]]&gt;=20000,"Medium Performer","Low Performer"))</f>
        <v>Low Performer</v>
      </c>
    </row>
    <row r="372" spans="1:20" x14ac:dyDescent="0.3">
      <c r="A372" s="9" t="s">
        <v>451</v>
      </c>
      <c r="B372" s="9" t="s">
        <v>20</v>
      </c>
      <c r="C372" s="9" t="s">
        <v>21</v>
      </c>
      <c r="D372" s="9" t="s">
        <v>16</v>
      </c>
      <c r="E372" s="9" t="s">
        <v>27</v>
      </c>
      <c r="F372" s="9" t="s">
        <v>18</v>
      </c>
      <c r="G372" s="10">
        <v>1985</v>
      </c>
      <c r="H372" s="10" t="str">
        <f>IF(Table3[[#This Row],[Debut Year]]&lt;=2000,"1999–2000",
IF(Table3[[#This Row],[Debut Year]]&lt;=2005,"2001–2005",
IF(Table3[[#This Row],[Debut Year]]&lt;=2010,"2006–2010",
IF(Table3[[#This Row],[Debut Year]]&lt;=2015,"2011–2015",
IF(Table3[[#This Row],[Debut Year]]&lt;=2020,"2016–2020",
"2021–2025")))))</f>
        <v>1999–2000</v>
      </c>
      <c r="I372" s="10">
        <v>8828.7999999999993</v>
      </c>
      <c r="J372" s="10">
        <v>7564.4</v>
      </c>
      <c r="K372" s="10">
        <v>1267.8</v>
      </c>
      <c r="L372" s="4">
        <v>6762.6</v>
      </c>
      <c r="M372" s="6">
        <f>Table2[[#This Row],[% of Solo Streams]]/100</f>
        <v>0.76597046030000004</v>
      </c>
      <c r="N372" s="3">
        <v>2066.1999999999998</v>
      </c>
      <c r="O372" s="6">
        <f>Table2[[#This Row],[% of Collaborative Streams]]/100</f>
        <v>0.23402953969999998</v>
      </c>
      <c r="P372" s="4">
        <f>Table3[[#This Row],[Lead Streams (in millions)]]+Table3[[#This Row],[Feature Streams (in millions)]]</f>
        <v>8832.1999999999989</v>
      </c>
      <c r="Q372" s="4">
        <f>_xlfn.RANK.EQ(Table3[[#This Row],[Total Stream]],Table3[Total Stream],0)</f>
        <v>371</v>
      </c>
      <c r="R372" s="4">
        <f>Table3[[#This Row],[Total Streams (in millions)]]-Table3[[#This Row],[Total Stream]]</f>
        <v>-3.3999999999996362</v>
      </c>
      <c r="S372" s="8">
        <f>IFERROR(Table3[[#This Row],[Collaborative Streams (in millions)]]/Table3[[#This Row],[Total Stream]],0)</f>
        <v>0.23393944883494486</v>
      </c>
      <c r="T372" t="str">
        <f>IF(Table3[[#This Row],[Total Streams (in millions)]]&gt;=50000,"High Performer",IF(Table3[[#This Row],[Total Streams (in millions)]]&gt;=20000,"Medium Performer","Low Performer"))</f>
        <v>Low Performer</v>
      </c>
    </row>
    <row r="373" spans="1:20" x14ac:dyDescent="0.3">
      <c r="A373" s="11" t="s">
        <v>452</v>
      </c>
      <c r="B373" s="11" t="s">
        <v>20</v>
      </c>
      <c r="C373" s="11" t="s">
        <v>147</v>
      </c>
      <c r="D373" s="11" t="s">
        <v>16</v>
      </c>
      <c r="E373" s="11" t="s">
        <v>22</v>
      </c>
      <c r="F373" s="11" t="s">
        <v>18</v>
      </c>
      <c r="G373" s="12">
        <v>2006</v>
      </c>
      <c r="H373" s="12" t="str">
        <f>IF(Table3[[#This Row],[Debut Year]]&lt;=2000,"1999–2000",
IF(Table3[[#This Row],[Debut Year]]&lt;=2005,"2001–2005",
IF(Table3[[#This Row],[Debut Year]]&lt;=2010,"2006–2010",
IF(Table3[[#This Row],[Debut Year]]&lt;=2015,"2011–2015",
IF(Table3[[#This Row],[Debut Year]]&lt;=2020,"2016–2020",
"2021–2025")))))</f>
        <v>2006–2010</v>
      </c>
      <c r="I373" s="12">
        <v>8809.4</v>
      </c>
      <c r="J373" s="12">
        <v>5689.4</v>
      </c>
      <c r="K373" s="12">
        <v>3122.8</v>
      </c>
      <c r="L373" s="4">
        <v>4223.1000000000004</v>
      </c>
      <c r="M373" s="6">
        <f>Table2[[#This Row],[% of Solo Streams]]/100</f>
        <v>0.47938565620000001</v>
      </c>
      <c r="N373" s="3">
        <v>4586.3</v>
      </c>
      <c r="O373" s="6">
        <f>Table2[[#This Row],[% of Collaborative Streams]]/100</f>
        <v>0.52061434380000005</v>
      </c>
      <c r="P373" s="4">
        <f>Table3[[#This Row],[Lead Streams (in millions)]]+Table3[[#This Row],[Feature Streams (in millions)]]</f>
        <v>8812.2000000000007</v>
      </c>
      <c r="Q373" s="4">
        <f>_xlfn.RANK.EQ(Table3[[#This Row],[Total Stream]],Table3[Total Stream],0)</f>
        <v>372</v>
      </c>
      <c r="R373" s="4">
        <f>Table3[[#This Row],[Total Streams (in millions)]]-Table3[[#This Row],[Total Stream]]</f>
        <v>-2.8000000000010914</v>
      </c>
      <c r="S373" s="8">
        <f>IFERROR(Table3[[#This Row],[Collaborative Streams (in millions)]]/Table3[[#This Row],[Total Stream]],0)</f>
        <v>0.52044892308390633</v>
      </c>
      <c r="T373" t="str">
        <f>IF(Table3[[#This Row],[Total Streams (in millions)]]&gt;=50000,"High Performer",IF(Table3[[#This Row],[Total Streams (in millions)]]&gt;=20000,"Medium Performer","Low Performer"))</f>
        <v>Low Performer</v>
      </c>
    </row>
    <row r="374" spans="1:20" x14ac:dyDescent="0.3">
      <c r="A374" s="9" t="s">
        <v>453</v>
      </c>
      <c r="B374" s="9" t="s">
        <v>14</v>
      </c>
      <c r="C374" s="9" t="s">
        <v>21</v>
      </c>
      <c r="D374" s="9" t="s">
        <v>24</v>
      </c>
      <c r="E374" s="9" t="s">
        <v>25</v>
      </c>
      <c r="F374" s="9" t="s">
        <v>18</v>
      </c>
      <c r="G374" s="10">
        <v>2010</v>
      </c>
      <c r="H374" s="10" t="str">
        <f>IF(Table3[[#This Row],[Debut Year]]&lt;=2000,"1999–2000",
IF(Table3[[#This Row],[Debut Year]]&lt;=2005,"2001–2005",
IF(Table3[[#This Row],[Debut Year]]&lt;=2010,"2006–2010",
IF(Table3[[#This Row],[Debut Year]]&lt;=2015,"2011–2015",
IF(Table3[[#This Row],[Debut Year]]&lt;=2020,"2016–2020",
"2021–2025")))))</f>
        <v>2006–2010</v>
      </c>
      <c r="I374" s="10">
        <v>8801.6</v>
      </c>
      <c r="J374" s="10">
        <v>1220.5999999999999</v>
      </c>
      <c r="K374" s="10">
        <v>7581</v>
      </c>
      <c r="L374" s="4">
        <v>0</v>
      </c>
      <c r="M374" s="6">
        <f>Table2[[#This Row],[% of Solo Streams]]/100</f>
        <v>0</v>
      </c>
      <c r="N374" s="3">
        <v>8801.6</v>
      </c>
      <c r="O374" s="6">
        <f>Table2[[#This Row],[% of Collaborative Streams]]/100</f>
        <v>1</v>
      </c>
      <c r="P374" s="4">
        <f>Table3[[#This Row],[Lead Streams (in millions)]]+Table3[[#This Row],[Feature Streams (in millions)]]</f>
        <v>8801.6</v>
      </c>
      <c r="Q374" s="4">
        <f>_xlfn.RANK.EQ(Table3[[#This Row],[Total Stream]],Table3[Total Stream],0)</f>
        <v>373</v>
      </c>
      <c r="R374" s="4">
        <f>Table3[[#This Row],[Total Streams (in millions)]]-Table3[[#This Row],[Total Stream]]</f>
        <v>0</v>
      </c>
      <c r="S374" s="8">
        <f>IFERROR(Table3[[#This Row],[Collaborative Streams (in millions)]]/Table3[[#This Row],[Total Stream]],0)</f>
        <v>1</v>
      </c>
      <c r="T374" t="str">
        <f>IF(Table3[[#This Row],[Total Streams (in millions)]]&gt;=50000,"High Performer",IF(Table3[[#This Row],[Total Streams (in millions)]]&gt;=20000,"Medium Performer","Low Performer"))</f>
        <v>Low Performer</v>
      </c>
    </row>
    <row r="375" spans="1:20" x14ac:dyDescent="0.3">
      <c r="A375" s="11" t="s">
        <v>454</v>
      </c>
      <c r="B375" s="11" t="s">
        <v>20</v>
      </c>
      <c r="C375" s="11" t="s">
        <v>33</v>
      </c>
      <c r="D375" s="11" t="s">
        <v>16</v>
      </c>
      <c r="E375" s="11" t="s">
        <v>455</v>
      </c>
      <c r="F375" s="11" t="s">
        <v>18</v>
      </c>
      <c r="G375" s="12">
        <v>2003</v>
      </c>
      <c r="H375" s="12" t="str">
        <f>IF(Table3[[#This Row],[Debut Year]]&lt;=2000,"1999–2000",
IF(Table3[[#This Row],[Debut Year]]&lt;=2005,"2001–2005",
IF(Table3[[#This Row],[Debut Year]]&lt;=2010,"2006–2010",
IF(Table3[[#This Row],[Debut Year]]&lt;=2015,"2011–2015",
IF(Table3[[#This Row],[Debut Year]]&lt;=2020,"2016–2020",
"2021–2025")))))</f>
        <v>2001–2005</v>
      </c>
      <c r="I375" s="12">
        <v>8780.4</v>
      </c>
      <c r="J375" s="12">
        <v>8238.2000000000007</v>
      </c>
      <c r="K375" s="12">
        <v>547.70000000000005</v>
      </c>
      <c r="L375" s="4">
        <v>7557.9</v>
      </c>
      <c r="M375" s="6">
        <f>Table2[[#This Row],[% of Solo Streams]]/100</f>
        <v>0.86076944100000008</v>
      </c>
      <c r="N375" s="3">
        <v>1222.5</v>
      </c>
      <c r="O375" s="6">
        <f>Table2[[#This Row],[% of Collaborative Streams]]/100</f>
        <v>0.139230559</v>
      </c>
      <c r="P375" s="4">
        <f>Table3[[#This Row],[Lead Streams (in millions)]]+Table3[[#This Row],[Feature Streams (in millions)]]</f>
        <v>8785.9000000000015</v>
      </c>
      <c r="Q375" s="4">
        <f>_xlfn.RANK.EQ(Table3[[#This Row],[Total Stream]],Table3[Total Stream],0)</f>
        <v>374</v>
      </c>
      <c r="R375" s="4">
        <f>Table3[[#This Row],[Total Streams (in millions)]]-Table3[[#This Row],[Total Stream]]</f>
        <v>-5.500000000001819</v>
      </c>
      <c r="S375" s="8">
        <f>IFERROR(Table3[[#This Row],[Collaborative Streams (in millions)]]/Table3[[#This Row],[Total Stream]],0)</f>
        <v>0.13914340022080832</v>
      </c>
      <c r="T375" t="str">
        <f>IF(Table3[[#This Row],[Total Streams (in millions)]]&gt;=50000,"High Performer",IF(Table3[[#This Row],[Total Streams (in millions)]]&gt;=20000,"Medium Performer","Low Performer"))</f>
        <v>Low Performer</v>
      </c>
    </row>
    <row r="376" spans="1:20" x14ac:dyDescent="0.3">
      <c r="A376" s="9" t="s">
        <v>456</v>
      </c>
      <c r="B376" s="9" t="s">
        <v>14</v>
      </c>
      <c r="C376" s="9" t="s">
        <v>21</v>
      </c>
      <c r="D376" s="9" t="s">
        <v>16</v>
      </c>
      <c r="E376" s="9" t="s">
        <v>22</v>
      </c>
      <c r="F376" s="9" t="s">
        <v>48</v>
      </c>
      <c r="G376" s="10">
        <v>2010</v>
      </c>
      <c r="H376" s="10" t="str">
        <f>IF(Table3[[#This Row],[Debut Year]]&lt;=2000,"1999–2000",
IF(Table3[[#This Row],[Debut Year]]&lt;=2005,"2001–2005",
IF(Table3[[#This Row],[Debut Year]]&lt;=2010,"2006–2010",
IF(Table3[[#This Row],[Debut Year]]&lt;=2015,"2011–2015",
IF(Table3[[#This Row],[Debut Year]]&lt;=2020,"2016–2020",
"2021–2025")))))</f>
        <v>2006–2010</v>
      </c>
      <c r="I376" s="10">
        <v>8779.9</v>
      </c>
      <c r="J376" s="10">
        <v>7850.9</v>
      </c>
      <c r="K376" s="10">
        <v>932.8</v>
      </c>
      <c r="L376" s="4">
        <v>8155.1</v>
      </c>
      <c r="M376" s="6">
        <f>Table2[[#This Row],[% of Solo Streams]]/100</f>
        <v>0.92883745829999997</v>
      </c>
      <c r="N376" s="3">
        <v>624.79999999999995</v>
      </c>
      <c r="O376" s="6">
        <f>Table2[[#This Row],[% of Collaborative Streams]]/100</f>
        <v>7.1162541709999999E-2</v>
      </c>
      <c r="P376" s="4">
        <f>Table3[[#This Row],[Lead Streams (in millions)]]+Table3[[#This Row],[Feature Streams (in millions)]]</f>
        <v>8783.6999999999989</v>
      </c>
      <c r="Q376" s="4">
        <f>_xlfn.RANK.EQ(Table3[[#This Row],[Total Stream]],Table3[Total Stream],0)</f>
        <v>375</v>
      </c>
      <c r="R376" s="4">
        <f>Table3[[#This Row],[Total Streams (in millions)]]-Table3[[#This Row],[Total Stream]]</f>
        <v>-3.7999999999992724</v>
      </c>
      <c r="S376" s="8">
        <f>IFERROR(Table3[[#This Row],[Collaborative Streams (in millions)]]/Table3[[#This Row],[Total Stream]],0)</f>
        <v>7.1131755410590081E-2</v>
      </c>
      <c r="T376" t="str">
        <f>IF(Table3[[#This Row],[Total Streams (in millions)]]&gt;=50000,"High Performer",IF(Table3[[#This Row],[Total Streams (in millions)]]&gt;=20000,"Medium Performer","Low Performer"))</f>
        <v>Low Performer</v>
      </c>
    </row>
    <row r="377" spans="1:20" x14ac:dyDescent="0.3">
      <c r="A377" s="11" t="s">
        <v>457</v>
      </c>
      <c r="B377" s="11" t="s">
        <v>14</v>
      </c>
      <c r="C377" s="11" t="s">
        <v>71</v>
      </c>
      <c r="D377" s="11" t="s">
        <v>72</v>
      </c>
      <c r="E377" s="11" t="s">
        <v>73</v>
      </c>
      <c r="F377" s="11" t="s">
        <v>18</v>
      </c>
      <c r="G377" s="12">
        <v>2015</v>
      </c>
      <c r="H377" s="12" t="str">
        <f>IF(Table3[[#This Row],[Debut Year]]&lt;=2000,"1999–2000",
IF(Table3[[#This Row],[Debut Year]]&lt;=2005,"2001–2005",
IF(Table3[[#This Row],[Debut Year]]&lt;=2010,"2006–2010",
IF(Table3[[#This Row],[Debut Year]]&lt;=2015,"2011–2015",
IF(Table3[[#This Row],[Debut Year]]&lt;=2020,"2016–2020",
"2021–2025")))))</f>
        <v>2011–2015</v>
      </c>
      <c r="I377" s="12">
        <v>8733</v>
      </c>
      <c r="J377" s="12">
        <v>2987.7</v>
      </c>
      <c r="K377" s="12">
        <v>5745.3</v>
      </c>
      <c r="L377" s="4">
        <v>6.8</v>
      </c>
      <c r="M377" s="6">
        <f>Table2[[#This Row],[% of Solo Streams]]/100</f>
        <v>7.7865567389999999E-4</v>
      </c>
      <c r="N377" s="3">
        <v>8726.2000000000007</v>
      </c>
      <c r="O377" s="6">
        <f>Table2[[#This Row],[% of Collaborative Streams]]/100</f>
        <v>0.99922134429999998</v>
      </c>
      <c r="P377" s="4">
        <f>Table3[[#This Row],[Lead Streams (in millions)]]+Table3[[#This Row],[Feature Streams (in millions)]]</f>
        <v>8733</v>
      </c>
      <c r="Q377" s="4">
        <f>_xlfn.RANK.EQ(Table3[[#This Row],[Total Stream]],Table3[Total Stream],0)</f>
        <v>376</v>
      </c>
      <c r="R377" s="4">
        <f>Table3[[#This Row],[Total Streams (in millions)]]-Table3[[#This Row],[Total Stream]]</f>
        <v>0</v>
      </c>
      <c r="S377" s="8">
        <f>IFERROR(Table3[[#This Row],[Collaborative Streams (in millions)]]/Table3[[#This Row],[Total Stream]],0)</f>
        <v>0.99922134432611942</v>
      </c>
      <c r="T377" t="str">
        <f>IF(Table3[[#This Row],[Total Streams (in millions)]]&gt;=50000,"High Performer",IF(Table3[[#This Row],[Total Streams (in millions)]]&gt;=20000,"Medium Performer","Low Performer"))</f>
        <v>Low Performer</v>
      </c>
    </row>
    <row r="378" spans="1:20" x14ac:dyDescent="0.3">
      <c r="A378" s="9" t="s">
        <v>458</v>
      </c>
      <c r="B378" s="9" t="s">
        <v>14</v>
      </c>
      <c r="C378" s="9" t="s">
        <v>33</v>
      </c>
      <c r="D378" s="9" t="s">
        <v>16</v>
      </c>
      <c r="E378" s="9" t="s">
        <v>17</v>
      </c>
      <c r="F378" s="9" t="s">
        <v>18</v>
      </c>
      <c r="G378" s="10">
        <v>2015</v>
      </c>
      <c r="H378" s="10" t="str">
        <f>IF(Table3[[#This Row],[Debut Year]]&lt;=2000,"1999–2000",
IF(Table3[[#This Row],[Debut Year]]&lt;=2005,"2001–2005",
IF(Table3[[#This Row],[Debut Year]]&lt;=2010,"2006–2010",
IF(Table3[[#This Row],[Debut Year]]&lt;=2015,"2011–2015",
IF(Table3[[#This Row],[Debut Year]]&lt;=2020,"2016–2020",
"2021–2025")))))</f>
        <v>2011–2015</v>
      </c>
      <c r="I378" s="10">
        <v>8715.2000000000007</v>
      </c>
      <c r="J378" s="10">
        <v>7648.8</v>
      </c>
      <c r="K378" s="10">
        <v>1071.5999999999999</v>
      </c>
      <c r="L378" s="4">
        <v>2526.6999999999998</v>
      </c>
      <c r="M378" s="6">
        <f>Table2[[#This Row],[% of Solo Streams]]/100</f>
        <v>0.28991876259999999</v>
      </c>
      <c r="N378" s="3">
        <v>6188.5</v>
      </c>
      <c r="O378" s="6">
        <f>Table2[[#This Row],[% of Collaborative Streams]]/100</f>
        <v>0.71008123740000006</v>
      </c>
      <c r="P378" s="4">
        <f>Table3[[#This Row],[Lead Streams (in millions)]]+Table3[[#This Row],[Feature Streams (in millions)]]</f>
        <v>8720.4</v>
      </c>
      <c r="Q378" s="4">
        <f>_xlfn.RANK.EQ(Table3[[#This Row],[Total Stream]],Table3[Total Stream],0)</f>
        <v>377</v>
      </c>
      <c r="R378" s="4">
        <f>Table3[[#This Row],[Total Streams (in millions)]]-Table3[[#This Row],[Total Stream]]</f>
        <v>-5.1999999999989086</v>
      </c>
      <c r="S378" s="8">
        <f>IFERROR(Table3[[#This Row],[Collaborative Streams (in millions)]]/Table3[[#This Row],[Total Stream]],0)</f>
        <v>0.70965781386174953</v>
      </c>
      <c r="T378" t="str">
        <f>IF(Table3[[#This Row],[Total Streams (in millions)]]&gt;=50000,"High Performer",IF(Table3[[#This Row],[Total Streams (in millions)]]&gt;=20000,"Medium Performer","Low Performer"))</f>
        <v>Low Performer</v>
      </c>
    </row>
    <row r="379" spans="1:20" x14ac:dyDescent="0.3">
      <c r="A379" s="11" t="s">
        <v>459</v>
      </c>
      <c r="B379" s="11" t="s">
        <v>20</v>
      </c>
      <c r="C379" s="11" t="s">
        <v>15</v>
      </c>
      <c r="D379" s="11" t="s">
        <v>16</v>
      </c>
      <c r="E379" s="11" t="s">
        <v>22</v>
      </c>
      <c r="F379" s="11" t="s">
        <v>18</v>
      </c>
      <c r="G379" s="12">
        <v>2002</v>
      </c>
      <c r="H379" s="12" t="str">
        <f>IF(Table3[[#This Row],[Debut Year]]&lt;=2000,"1999–2000",
IF(Table3[[#This Row],[Debut Year]]&lt;=2005,"2001–2005",
IF(Table3[[#This Row],[Debut Year]]&lt;=2010,"2006–2010",
IF(Table3[[#This Row],[Debut Year]]&lt;=2015,"2011–2015",
IF(Table3[[#This Row],[Debut Year]]&lt;=2020,"2016–2020",
"2021–2025")))))</f>
        <v>2001–2005</v>
      </c>
      <c r="I379" s="12">
        <v>8706.4</v>
      </c>
      <c r="J379" s="12">
        <v>8477.2999999999993</v>
      </c>
      <c r="K379" s="12">
        <v>233</v>
      </c>
      <c r="L379" s="4">
        <v>8083.8</v>
      </c>
      <c r="M379" s="6">
        <f>Table2[[#This Row],[% of Solo Streams]]/100</f>
        <v>0.92848938709999995</v>
      </c>
      <c r="N379" s="3">
        <v>622.6</v>
      </c>
      <c r="O379" s="6">
        <f>Table2[[#This Row],[% of Collaborative Streams]]/100</f>
        <v>7.1510612880000005E-2</v>
      </c>
      <c r="P379" s="4">
        <f>Table3[[#This Row],[Lead Streams (in millions)]]+Table3[[#This Row],[Feature Streams (in millions)]]</f>
        <v>8710.2999999999993</v>
      </c>
      <c r="Q379" s="4">
        <f>_xlfn.RANK.EQ(Table3[[#This Row],[Total Stream]],Table3[Total Stream],0)</f>
        <v>378</v>
      </c>
      <c r="R379" s="4">
        <f>Table3[[#This Row],[Total Streams (in millions)]]-Table3[[#This Row],[Total Stream]]</f>
        <v>-3.8999999999996362</v>
      </c>
      <c r="S379" s="8">
        <f>IFERROR(Table3[[#This Row],[Collaborative Streams (in millions)]]/Table3[[#This Row],[Total Stream]],0)</f>
        <v>7.1478594307888374E-2</v>
      </c>
      <c r="T379" t="str">
        <f>IF(Table3[[#This Row],[Total Streams (in millions)]]&gt;=50000,"High Performer",IF(Table3[[#This Row],[Total Streams (in millions)]]&gt;=20000,"Medium Performer","Low Performer"))</f>
        <v>Low Performer</v>
      </c>
    </row>
    <row r="380" spans="1:20" x14ac:dyDescent="0.3">
      <c r="A380" s="9" t="s">
        <v>460</v>
      </c>
      <c r="B380" s="9" t="s">
        <v>14</v>
      </c>
      <c r="C380" s="9" t="s">
        <v>461</v>
      </c>
      <c r="D380" s="9" t="s">
        <v>16</v>
      </c>
      <c r="E380" s="9" t="s">
        <v>60</v>
      </c>
      <c r="F380" s="9" t="s">
        <v>18</v>
      </c>
      <c r="G380" s="10">
        <v>2014</v>
      </c>
      <c r="H380" s="10" t="str">
        <f>IF(Table3[[#This Row],[Debut Year]]&lt;=2000,"1999–2000",
IF(Table3[[#This Row],[Debut Year]]&lt;=2005,"2001–2005",
IF(Table3[[#This Row],[Debut Year]]&lt;=2010,"2006–2010",
IF(Table3[[#This Row],[Debut Year]]&lt;=2015,"2011–2015",
IF(Table3[[#This Row],[Debut Year]]&lt;=2020,"2016–2020",
"2021–2025")))))</f>
        <v>2011–2015</v>
      </c>
      <c r="I380" s="10">
        <v>8699.2000000000007</v>
      </c>
      <c r="J380" s="10">
        <v>8316.2000000000007</v>
      </c>
      <c r="K380" s="10">
        <v>386.2</v>
      </c>
      <c r="L380" s="4">
        <v>1923.6</v>
      </c>
      <c r="M380" s="6">
        <f>Table2[[#This Row],[% of Solo Streams]]/100</f>
        <v>0.22112378150000001</v>
      </c>
      <c r="N380" s="3">
        <v>6775.6</v>
      </c>
      <c r="O380" s="6">
        <f>Table2[[#This Row],[% of Collaborative Streams]]/100</f>
        <v>0.77887621849999999</v>
      </c>
      <c r="P380" s="4">
        <f>Table3[[#This Row],[Lead Streams (in millions)]]+Table3[[#This Row],[Feature Streams (in millions)]]</f>
        <v>8702.4000000000015</v>
      </c>
      <c r="Q380" s="4">
        <f>_xlfn.RANK.EQ(Table3[[#This Row],[Total Stream]],Table3[Total Stream],0)</f>
        <v>379</v>
      </c>
      <c r="R380" s="4">
        <f>Table3[[#This Row],[Total Streams (in millions)]]-Table3[[#This Row],[Total Stream]]</f>
        <v>-3.2000000000007276</v>
      </c>
      <c r="S380" s="8">
        <f>IFERROR(Table3[[#This Row],[Collaborative Streams (in millions)]]/Table3[[#This Row],[Total Stream]],0)</f>
        <v>0.7785898143040999</v>
      </c>
      <c r="T380" t="str">
        <f>IF(Table3[[#This Row],[Total Streams (in millions)]]&gt;=50000,"High Performer",IF(Table3[[#This Row],[Total Streams (in millions)]]&gt;=20000,"Medium Performer","Low Performer"))</f>
        <v>Low Performer</v>
      </c>
    </row>
    <row r="381" spans="1:20" x14ac:dyDescent="0.3">
      <c r="A381" s="11" t="s">
        <v>462</v>
      </c>
      <c r="B381" s="11" t="s">
        <v>14</v>
      </c>
      <c r="C381" s="11" t="s">
        <v>21</v>
      </c>
      <c r="D381" s="11" t="s">
        <v>16</v>
      </c>
      <c r="E381" s="11" t="s">
        <v>51</v>
      </c>
      <c r="F381" s="11" t="s">
        <v>48</v>
      </c>
      <c r="G381" s="12">
        <v>2003</v>
      </c>
      <c r="H381" s="12" t="str">
        <f>IF(Table3[[#This Row],[Debut Year]]&lt;=2000,"1999–2000",
IF(Table3[[#This Row],[Debut Year]]&lt;=2005,"2001–2005",
IF(Table3[[#This Row],[Debut Year]]&lt;=2010,"2006–2010",
IF(Table3[[#This Row],[Debut Year]]&lt;=2015,"2011–2015",
IF(Table3[[#This Row],[Debut Year]]&lt;=2020,"2016–2020",
"2021–2025")))))</f>
        <v>2001–2005</v>
      </c>
      <c r="I381" s="12">
        <v>8647.7999999999993</v>
      </c>
      <c r="J381" s="12">
        <v>8598.1</v>
      </c>
      <c r="K381" s="12">
        <v>54</v>
      </c>
      <c r="L381" s="4">
        <v>8555.2000000000007</v>
      </c>
      <c r="M381" s="6">
        <f>Table2[[#This Row],[% of Solo Streams]]/100</f>
        <v>0.9892920743000001</v>
      </c>
      <c r="N381" s="3">
        <v>92.6</v>
      </c>
      <c r="O381" s="6">
        <f>Table2[[#This Row],[% of Collaborative Streams]]/100</f>
        <v>1.0707925720000001E-2</v>
      </c>
      <c r="P381" s="4">
        <f>Table3[[#This Row],[Lead Streams (in millions)]]+Table3[[#This Row],[Feature Streams (in millions)]]</f>
        <v>8652.1</v>
      </c>
      <c r="Q381" s="4">
        <f>_xlfn.RANK.EQ(Table3[[#This Row],[Total Stream]],Table3[Total Stream],0)</f>
        <v>380</v>
      </c>
      <c r="R381" s="4">
        <f>Table3[[#This Row],[Total Streams (in millions)]]-Table3[[#This Row],[Total Stream]]</f>
        <v>-4.3000000000010914</v>
      </c>
      <c r="S381" s="8">
        <f>IFERROR(Table3[[#This Row],[Collaborative Streams (in millions)]]/Table3[[#This Row],[Total Stream]],0)</f>
        <v>1.0702603992094403E-2</v>
      </c>
      <c r="T381" t="str">
        <f>IF(Table3[[#This Row],[Total Streams (in millions)]]&gt;=50000,"High Performer",IF(Table3[[#This Row],[Total Streams (in millions)]]&gt;=20000,"Medium Performer","Low Performer"))</f>
        <v>Low Performer</v>
      </c>
    </row>
    <row r="382" spans="1:20" x14ac:dyDescent="0.3">
      <c r="A382" s="9" t="s">
        <v>463</v>
      </c>
      <c r="B382" s="9" t="s">
        <v>14</v>
      </c>
      <c r="C382" s="9" t="s">
        <v>89</v>
      </c>
      <c r="D382" s="9" t="s">
        <v>24</v>
      </c>
      <c r="E382" s="9" t="s">
        <v>90</v>
      </c>
      <c r="F382" s="9" t="s">
        <v>18</v>
      </c>
      <c r="G382" s="10">
        <v>1975</v>
      </c>
      <c r="H382" s="10" t="str">
        <f>IF(Table3[[#This Row],[Debut Year]]&lt;=2000,"1999–2000",
IF(Table3[[#This Row],[Debut Year]]&lt;=2005,"2001–2005",
IF(Table3[[#This Row],[Debut Year]]&lt;=2010,"2006–2010",
IF(Table3[[#This Row],[Debut Year]]&lt;=2015,"2011–2015",
IF(Table3[[#This Row],[Debut Year]]&lt;=2020,"2016–2020",
"2021–2025")))))</f>
        <v>1999–2000</v>
      </c>
      <c r="I382" s="10">
        <v>8622.1</v>
      </c>
      <c r="J382" s="10">
        <v>8534</v>
      </c>
      <c r="K382" s="10">
        <v>98.1</v>
      </c>
      <c r="L382" s="4">
        <v>7271</v>
      </c>
      <c r="M382" s="6">
        <f>Table2[[#This Row],[% of Solo Streams]]/100</f>
        <v>0.8432980363999999</v>
      </c>
      <c r="N382" s="3">
        <v>1351.1</v>
      </c>
      <c r="O382" s="6">
        <f>Table2[[#This Row],[% of Collaborative Streams]]/100</f>
        <v>0.15670196359999999</v>
      </c>
      <c r="P382" s="4">
        <f>Table3[[#This Row],[Lead Streams (in millions)]]+Table3[[#This Row],[Feature Streams (in millions)]]</f>
        <v>8632.1</v>
      </c>
      <c r="Q382" s="4">
        <f>_xlfn.RANK.EQ(Table3[[#This Row],[Total Stream]],Table3[Total Stream],0)</f>
        <v>381</v>
      </c>
      <c r="R382" s="4">
        <f>Table3[[#This Row],[Total Streams (in millions)]]-Table3[[#This Row],[Total Stream]]</f>
        <v>-10</v>
      </c>
      <c r="S382" s="8">
        <f>IFERROR(Table3[[#This Row],[Collaborative Streams (in millions)]]/Table3[[#This Row],[Total Stream]],0)</f>
        <v>0.15652042955943513</v>
      </c>
      <c r="T382" t="str">
        <f>IF(Table3[[#This Row],[Total Streams (in millions)]]&gt;=50000,"High Performer",IF(Table3[[#This Row],[Total Streams (in millions)]]&gt;=20000,"Medium Performer","Low Performer"))</f>
        <v>Low Performer</v>
      </c>
    </row>
    <row r="383" spans="1:20" x14ac:dyDescent="0.3">
      <c r="A383" s="11" t="s">
        <v>464</v>
      </c>
      <c r="B383" s="11" t="s">
        <v>14</v>
      </c>
      <c r="C383" s="11" t="s">
        <v>89</v>
      </c>
      <c r="D383" s="11" t="s">
        <v>24</v>
      </c>
      <c r="E383" s="11" t="s">
        <v>82</v>
      </c>
      <c r="F383" s="11" t="s">
        <v>18</v>
      </c>
      <c r="G383" s="12">
        <v>1992</v>
      </c>
      <c r="H383" s="12" t="str">
        <f>IF(Table3[[#This Row],[Debut Year]]&lt;=2000,"1999–2000",
IF(Table3[[#This Row],[Debut Year]]&lt;=2005,"2001–2005",
IF(Table3[[#This Row],[Debut Year]]&lt;=2010,"2006–2010",
IF(Table3[[#This Row],[Debut Year]]&lt;=2015,"2011–2015",
IF(Table3[[#This Row],[Debut Year]]&lt;=2020,"2016–2020",
"2021–2025")))))</f>
        <v>1999–2000</v>
      </c>
      <c r="I383" s="12">
        <v>8617.1</v>
      </c>
      <c r="J383" s="12">
        <v>7717.5</v>
      </c>
      <c r="K383" s="12">
        <v>899.6</v>
      </c>
      <c r="L383" s="4">
        <v>6368.3</v>
      </c>
      <c r="M383" s="6">
        <f>Table2[[#This Row],[% of Solo Streams]]/100</f>
        <v>0.73903053229999993</v>
      </c>
      <c r="N383" s="3">
        <v>2248.8000000000002</v>
      </c>
      <c r="O383" s="6">
        <f>Table2[[#This Row],[% of Collaborative Streams]]/100</f>
        <v>0.26096946770000001</v>
      </c>
      <c r="P383" s="4">
        <f>Table3[[#This Row],[Lead Streams (in millions)]]+Table3[[#This Row],[Feature Streams (in millions)]]</f>
        <v>8617.1</v>
      </c>
      <c r="Q383" s="4">
        <f>_xlfn.RANK.EQ(Table3[[#This Row],[Total Stream]],Table3[Total Stream],0)</f>
        <v>382</v>
      </c>
      <c r="R383" s="4">
        <f>Table3[[#This Row],[Total Streams (in millions)]]-Table3[[#This Row],[Total Stream]]</f>
        <v>0</v>
      </c>
      <c r="S383" s="8">
        <f>IFERROR(Table3[[#This Row],[Collaborative Streams (in millions)]]/Table3[[#This Row],[Total Stream]],0)</f>
        <v>0.2609694676863446</v>
      </c>
      <c r="T383" t="str">
        <f>IF(Table3[[#This Row],[Total Streams (in millions)]]&gt;=50000,"High Performer",IF(Table3[[#This Row],[Total Streams (in millions)]]&gt;=20000,"Medium Performer","Low Performer"))</f>
        <v>Low Performer</v>
      </c>
    </row>
    <row r="384" spans="1:20" x14ac:dyDescent="0.3">
      <c r="A384" s="9" t="s">
        <v>465</v>
      </c>
      <c r="B384" s="9" t="s">
        <v>14</v>
      </c>
      <c r="C384" s="9" t="s">
        <v>33</v>
      </c>
      <c r="D384" s="9" t="s">
        <v>16</v>
      </c>
      <c r="E384" s="9" t="s">
        <v>57</v>
      </c>
      <c r="F384" s="9" t="s">
        <v>48</v>
      </c>
      <c r="G384" s="10">
        <v>2012</v>
      </c>
      <c r="H384" s="10" t="str">
        <f>IF(Table3[[#This Row],[Debut Year]]&lt;=2000,"1999–2000",
IF(Table3[[#This Row],[Debut Year]]&lt;=2005,"2001–2005",
IF(Table3[[#This Row],[Debut Year]]&lt;=2010,"2006–2010",
IF(Table3[[#This Row],[Debut Year]]&lt;=2015,"2011–2015",
IF(Table3[[#This Row],[Debut Year]]&lt;=2020,"2016–2020",
"2021–2025")))))</f>
        <v>2011–2015</v>
      </c>
      <c r="I384" s="10">
        <v>8591.1</v>
      </c>
      <c r="J384" s="10">
        <v>8578.7000000000007</v>
      </c>
      <c r="K384" s="10">
        <v>15.4</v>
      </c>
      <c r="L384" s="4">
        <v>7995.8</v>
      </c>
      <c r="M384" s="6">
        <f>Table2[[#This Row],[% of Solo Streams]]/100</f>
        <v>0.93070735989999998</v>
      </c>
      <c r="N384" s="3">
        <v>595.29999999999995</v>
      </c>
      <c r="O384" s="6">
        <f>Table2[[#This Row],[% of Collaborative Streams]]/100</f>
        <v>6.9292640060000008E-2</v>
      </c>
      <c r="P384" s="4">
        <f>Table3[[#This Row],[Lead Streams (in millions)]]+Table3[[#This Row],[Feature Streams (in millions)]]</f>
        <v>8594.1</v>
      </c>
      <c r="Q384" s="4">
        <f>_xlfn.RANK.EQ(Table3[[#This Row],[Total Stream]],Table3[Total Stream],0)</f>
        <v>383</v>
      </c>
      <c r="R384" s="4">
        <f>Table3[[#This Row],[Total Streams (in millions)]]-Table3[[#This Row],[Total Stream]]</f>
        <v>-3</v>
      </c>
      <c r="S384" s="8">
        <f>IFERROR(Table3[[#This Row],[Collaborative Streams (in millions)]]/Table3[[#This Row],[Total Stream]],0)</f>
        <v>6.9268451612152518E-2</v>
      </c>
      <c r="T384" t="str">
        <f>IF(Table3[[#This Row],[Total Streams (in millions)]]&gt;=50000,"High Performer",IF(Table3[[#This Row],[Total Streams (in millions)]]&gt;=20000,"Medium Performer","Low Performer"))</f>
        <v>Low Performer</v>
      </c>
    </row>
    <row r="385" spans="1:20" x14ac:dyDescent="0.3">
      <c r="A385" s="11" t="s">
        <v>466</v>
      </c>
      <c r="B385" s="11" t="s">
        <v>14</v>
      </c>
      <c r="C385" s="11" t="s">
        <v>71</v>
      </c>
      <c r="D385" s="11" t="s">
        <v>72</v>
      </c>
      <c r="E385" s="11" t="s">
        <v>73</v>
      </c>
      <c r="F385" s="11" t="s">
        <v>48</v>
      </c>
      <c r="G385" s="12">
        <v>2009</v>
      </c>
      <c r="H385" s="12" t="str">
        <f>IF(Table3[[#This Row],[Debut Year]]&lt;=2000,"1999–2000",
IF(Table3[[#This Row],[Debut Year]]&lt;=2005,"2001–2005",
IF(Table3[[#This Row],[Debut Year]]&lt;=2010,"2006–2010",
IF(Table3[[#This Row],[Debut Year]]&lt;=2015,"2011–2015",
IF(Table3[[#This Row],[Debut Year]]&lt;=2020,"2016–2020",
"2021–2025")))))</f>
        <v>2006–2010</v>
      </c>
      <c r="I385" s="12">
        <v>8584.2000000000007</v>
      </c>
      <c r="J385" s="12">
        <v>6741.1</v>
      </c>
      <c r="K385" s="12">
        <v>1843.2</v>
      </c>
      <c r="L385" s="4">
        <v>20</v>
      </c>
      <c r="M385" s="6">
        <f>Table2[[#This Row],[% of Solo Streams]]/100</f>
        <v>2.329861839E-3</v>
      </c>
      <c r="N385" s="3">
        <v>8564.2000000000007</v>
      </c>
      <c r="O385" s="6">
        <f>Table2[[#This Row],[% of Collaborative Streams]]/100</f>
        <v>0.99767013820000006</v>
      </c>
      <c r="P385" s="4">
        <f>Table3[[#This Row],[Lead Streams (in millions)]]+Table3[[#This Row],[Feature Streams (in millions)]]</f>
        <v>8584.3000000000011</v>
      </c>
      <c r="Q385" s="4">
        <f>_xlfn.RANK.EQ(Table3[[#This Row],[Total Stream]],Table3[Total Stream],0)</f>
        <v>384</v>
      </c>
      <c r="R385" s="4">
        <f>Table3[[#This Row],[Total Streams (in millions)]]-Table3[[#This Row],[Total Stream]]</f>
        <v>-0.1000000000003638</v>
      </c>
      <c r="S385" s="8">
        <f>IFERROR(Table3[[#This Row],[Collaborative Streams (in millions)]]/Table3[[#This Row],[Total Stream]],0)</f>
        <v>0.9976585161282806</v>
      </c>
      <c r="T385" t="str">
        <f>IF(Table3[[#This Row],[Total Streams (in millions)]]&gt;=50000,"High Performer",IF(Table3[[#This Row],[Total Streams (in millions)]]&gt;=20000,"Medium Performer","Low Performer"))</f>
        <v>Low Performer</v>
      </c>
    </row>
    <row r="386" spans="1:20" x14ac:dyDescent="0.3">
      <c r="A386" s="9" t="s">
        <v>467</v>
      </c>
      <c r="B386" s="9" t="s">
        <v>14</v>
      </c>
      <c r="C386" s="9" t="s">
        <v>21</v>
      </c>
      <c r="D386" s="9" t="s">
        <v>16</v>
      </c>
      <c r="E386" s="9" t="s">
        <v>17</v>
      </c>
      <c r="F386" s="9" t="s">
        <v>18</v>
      </c>
      <c r="G386" s="10">
        <v>2014</v>
      </c>
      <c r="H386" s="10" t="str">
        <f>IF(Table3[[#This Row],[Debut Year]]&lt;=2000,"1999–2000",
IF(Table3[[#This Row],[Debut Year]]&lt;=2005,"2001–2005",
IF(Table3[[#This Row],[Debut Year]]&lt;=2010,"2006–2010",
IF(Table3[[#This Row],[Debut Year]]&lt;=2015,"2011–2015",
IF(Table3[[#This Row],[Debut Year]]&lt;=2020,"2016–2020",
"2021–2025")))))</f>
        <v>2011–2015</v>
      </c>
      <c r="I386" s="10">
        <v>8564.5</v>
      </c>
      <c r="J386" s="10">
        <v>5566.1</v>
      </c>
      <c r="K386" s="10">
        <v>3001.4</v>
      </c>
      <c r="L386" s="4">
        <v>3239</v>
      </c>
      <c r="M386" s="6">
        <f>Table2[[#This Row],[% of Solo Streams]]/100</f>
        <v>0.37818903609999999</v>
      </c>
      <c r="N386" s="3">
        <v>5325.5</v>
      </c>
      <c r="O386" s="6">
        <f>Table2[[#This Row],[% of Collaborative Streams]]/100</f>
        <v>0.62181096390000001</v>
      </c>
      <c r="P386" s="4">
        <f>Table3[[#This Row],[Lead Streams (in millions)]]+Table3[[#This Row],[Feature Streams (in millions)]]</f>
        <v>8567.5</v>
      </c>
      <c r="Q386" s="4">
        <f>_xlfn.RANK.EQ(Table3[[#This Row],[Total Stream]],Table3[Total Stream],0)</f>
        <v>385</v>
      </c>
      <c r="R386" s="4">
        <f>Table3[[#This Row],[Total Streams (in millions)]]-Table3[[#This Row],[Total Stream]]</f>
        <v>-3</v>
      </c>
      <c r="S386" s="8">
        <f>IFERROR(Table3[[#This Row],[Collaborative Streams (in millions)]]/Table3[[#This Row],[Total Stream]],0)</f>
        <v>0.62159323023052238</v>
      </c>
      <c r="T386" t="str">
        <f>IF(Table3[[#This Row],[Total Streams (in millions)]]&gt;=50000,"High Performer",IF(Table3[[#This Row],[Total Streams (in millions)]]&gt;=20000,"Medium Performer","Low Performer"))</f>
        <v>Low Performer</v>
      </c>
    </row>
    <row r="387" spans="1:20" x14ac:dyDescent="0.3">
      <c r="A387" s="11" t="s">
        <v>468</v>
      </c>
      <c r="B387" s="11" t="s">
        <v>14</v>
      </c>
      <c r="C387" s="11" t="s">
        <v>15</v>
      </c>
      <c r="D387" s="11" t="s">
        <v>16</v>
      </c>
      <c r="E387" s="11" t="s">
        <v>17</v>
      </c>
      <c r="F387" s="11" t="s">
        <v>18</v>
      </c>
      <c r="G387" s="12">
        <v>2017</v>
      </c>
      <c r="H387" s="12" t="str">
        <f>IF(Table3[[#This Row],[Debut Year]]&lt;=2000,"1999–2000",
IF(Table3[[#This Row],[Debut Year]]&lt;=2005,"2001–2005",
IF(Table3[[#This Row],[Debut Year]]&lt;=2010,"2006–2010",
IF(Table3[[#This Row],[Debut Year]]&lt;=2015,"2011–2015",
IF(Table3[[#This Row],[Debut Year]]&lt;=2020,"2016–2020",
"2021–2025")))))</f>
        <v>2016–2020</v>
      </c>
      <c r="I387" s="12">
        <v>8564.4</v>
      </c>
      <c r="J387" s="12">
        <v>5619.6</v>
      </c>
      <c r="K387" s="12">
        <v>2944.9</v>
      </c>
      <c r="L387" s="4">
        <v>1852.6</v>
      </c>
      <c r="M387" s="6">
        <f>Table2[[#This Row],[% of Solo Streams]]/100</f>
        <v>0.2163140442</v>
      </c>
      <c r="N387" s="3">
        <v>6711.8</v>
      </c>
      <c r="O387" s="6">
        <f>Table2[[#This Row],[% of Collaborative Streams]]/100</f>
        <v>0.7836859558</v>
      </c>
      <c r="P387" s="4">
        <f>Table3[[#This Row],[Lead Streams (in millions)]]+Table3[[#This Row],[Feature Streams (in millions)]]</f>
        <v>8564.5</v>
      </c>
      <c r="Q387" s="4">
        <f>_xlfn.RANK.EQ(Table3[[#This Row],[Total Stream]],Table3[Total Stream],0)</f>
        <v>386</v>
      </c>
      <c r="R387" s="4">
        <f>Table3[[#This Row],[Total Streams (in millions)]]-Table3[[#This Row],[Total Stream]]</f>
        <v>-0.1000000000003638</v>
      </c>
      <c r="S387" s="8">
        <f>IFERROR(Table3[[#This Row],[Collaborative Streams (in millions)]]/Table3[[#This Row],[Total Stream]],0)</f>
        <v>0.78367680541771267</v>
      </c>
      <c r="T387" t="str">
        <f>IF(Table3[[#This Row],[Total Streams (in millions)]]&gt;=50000,"High Performer",IF(Table3[[#This Row],[Total Streams (in millions)]]&gt;=20000,"Medium Performer","Low Performer"))</f>
        <v>Low Performer</v>
      </c>
    </row>
    <row r="388" spans="1:20" x14ac:dyDescent="0.3">
      <c r="A388" s="9" t="s">
        <v>469</v>
      </c>
      <c r="B388" s="9" t="s">
        <v>14</v>
      </c>
      <c r="C388" s="9" t="s">
        <v>21</v>
      </c>
      <c r="D388" s="9" t="s">
        <v>16</v>
      </c>
      <c r="E388" s="9" t="s">
        <v>51</v>
      </c>
      <c r="F388" s="9" t="s">
        <v>18</v>
      </c>
      <c r="G388" s="10">
        <v>2001</v>
      </c>
      <c r="H388" s="10" t="str">
        <f>IF(Table3[[#This Row],[Debut Year]]&lt;=2000,"1999–2000",
IF(Table3[[#This Row],[Debut Year]]&lt;=2005,"2001–2005",
IF(Table3[[#This Row],[Debut Year]]&lt;=2010,"2006–2010",
IF(Table3[[#This Row],[Debut Year]]&lt;=2015,"2011–2015",
IF(Table3[[#This Row],[Debut Year]]&lt;=2020,"2016–2020",
"2021–2025")))))</f>
        <v>2001–2005</v>
      </c>
      <c r="I388" s="10">
        <v>8551.4</v>
      </c>
      <c r="J388" s="10">
        <v>8199.2999999999993</v>
      </c>
      <c r="K388" s="10">
        <v>355</v>
      </c>
      <c r="L388" s="4">
        <v>7907.6</v>
      </c>
      <c r="M388" s="6">
        <f>Table2[[#This Row],[% of Solo Streams]]/100</f>
        <v>0.92471408190000004</v>
      </c>
      <c r="N388" s="3">
        <v>643.79999999999995</v>
      </c>
      <c r="O388" s="6">
        <f>Table2[[#This Row],[% of Collaborative Streams]]/100</f>
        <v>7.5285918100000002E-2</v>
      </c>
      <c r="P388" s="4">
        <f>Table3[[#This Row],[Lead Streams (in millions)]]+Table3[[#This Row],[Feature Streams (in millions)]]</f>
        <v>8554.2999999999993</v>
      </c>
      <c r="Q388" s="4">
        <f>_xlfn.RANK.EQ(Table3[[#This Row],[Total Stream]],Table3[Total Stream],0)</f>
        <v>387</v>
      </c>
      <c r="R388" s="4">
        <f>Table3[[#This Row],[Total Streams (in millions)]]-Table3[[#This Row],[Total Stream]]</f>
        <v>-2.8999999999996362</v>
      </c>
      <c r="S388" s="8">
        <f>IFERROR(Table3[[#This Row],[Collaborative Streams (in millions)]]/Table3[[#This Row],[Total Stream]],0)</f>
        <v>7.5260395356721188E-2</v>
      </c>
      <c r="T388" t="str">
        <f>IF(Table3[[#This Row],[Total Streams (in millions)]]&gt;=50000,"High Performer",IF(Table3[[#This Row],[Total Streams (in millions)]]&gt;=20000,"Medium Performer","Low Performer"))</f>
        <v>Low Performer</v>
      </c>
    </row>
    <row r="389" spans="1:20" x14ac:dyDescent="0.3">
      <c r="A389" s="11" t="s">
        <v>470</v>
      </c>
      <c r="B389" s="11" t="s">
        <v>78</v>
      </c>
      <c r="C389" s="11" t="s">
        <v>45</v>
      </c>
      <c r="D389" s="11" t="s">
        <v>46</v>
      </c>
      <c r="E389" s="11" t="s">
        <v>47</v>
      </c>
      <c r="F389" s="11" t="s">
        <v>48</v>
      </c>
      <c r="G389" s="12">
        <v>2015</v>
      </c>
      <c r="H389" s="12" t="str">
        <f>IF(Table3[[#This Row],[Debut Year]]&lt;=2000,"1999–2000",
IF(Table3[[#This Row],[Debut Year]]&lt;=2005,"2001–2005",
IF(Table3[[#This Row],[Debut Year]]&lt;=2010,"2006–2010",
IF(Table3[[#This Row],[Debut Year]]&lt;=2015,"2011–2015",
IF(Table3[[#This Row],[Debut Year]]&lt;=2020,"2016–2020",
"2021–2025")))))</f>
        <v>2011–2015</v>
      </c>
      <c r="I389" s="12">
        <v>8531.2999999999993</v>
      </c>
      <c r="J389" s="12">
        <v>8465.7000000000007</v>
      </c>
      <c r="K389" s="12">
        <v>70</v>
      </c>
      <c r="L389" s="4">
        <v>8284.9</v>
      </c>
      <c r="M389" s="6">
        <f>Table2[[#This Row],[% of Solo Streams]]/100</f>
        <v>0.97111811800000003</v>
      </c>
      <c r="N389" s="3">
        <v>246.4</v>
      </c>
      <c r="O389" s="6">
        <f>Table2[[#This Row],[% of Collaborative Streams]]/100</f>
        <v>2.8881882010000002E-2</v>
      </c>
      <c r="P389" s="4">
        <f>Table3[[#This Row],[Lead Streams (in millions)]]+Table3[[#This Row],[Feature Streams (in millions)]]</f>
        <v>8535.7000000000007</v>
      </c>
      <c r="Q389" s="4">
        <f>_xlfn.RANK.EQ(Table3[[#This Row],[Total Stream]],Table3[Total Stream],0)</f>
        <v>388</v>
      </c>
      <c r="R389" s="4">
        <f>Table3[[#This Row],[Total Streams (in millions)]]-Table3[[#This Row],[Total Stream]]</f>
        <v>-4.4000000000014552</v>
      </c>
      <c r="S389" s="8">
        <f>IFERROR(Table3[[#This Row],[Collaborative Streams (in millions)]]/Table3[[#This Row],[Total Stream]],0)</f>
        <v>2.8866993919655092E-2</v>
      </c>
      <c r="T389" t="str">
        <f>IF(Table3[[#This Row],[Total Streams (in millions)]]&gt;=50000,"High Performer",IF(Table3[[#This Row],[Total Streams (in millions)]]&gt;=20000,"Medium Performer","Low Performer"))</f>
        <v>Low Performer</v>
      </c>
    </row>
    <row r="390" spans="1:20" x14ac:dyDescent="0.3">
      <c r="A390" s="9" t="s">
        <v>471</v>
      </c>
      <c r="B390" s="9" t="s">
        <v>14</v>
      </c>
      <c r="C390" s="9" t="s">
        <v>204</v>
      </c>
      <c r="D390" s="9" t="s">
        <v>16</v>
      </c>
      <c r="E390" s="9" t="s">
        <v>51</v>
      </c>
      <c r="F390" s="9" t="s">
        <v>48</v>
      </c>
      <c r="G390" s="10">
        <v>2008</v>
      </c>
      <c r="H390" s="10" t="str">
        <f>IF(Table3[[#This Row],[Debut Year]]&lt;=2000,"1999–2000",
IF(Table3[[#This Row],[Debut Year]]&lt;=2005,"2001–2005",
IF(Table3[[#This Row],[Debut Year]]&lt;=2010,"2006–2010",
IF(Table3[[#This Row],[Debut Year]]&lt;=2015,"2011–2015",
IF(Table3[[#This Row],[Debut Year]]&lt;=2020,"2016–2020",
"2021–2025")))))</f>
        <v>2006–2010</v>
      </c>
      <c r="I390" s="10">
        <v>8509.5</v>
      </c>
      <c r="J390" s="10">
        <v>8483.9</v>
      </c>
      <c r="K390" s="10">
        <v>29.2</v>
      </c>
      <c r="L390" s="4">
        <v>6435.4</v>
      </c>
      <c r="M390" s="6">
        <f>Table2[[#This Row],[% of Solo Streams]]/100</f>
        <v>0.75626064990000008</v>
      </c>
      <c r="N390" s="3">
        <v>2074.1</v>
      </c>
      <c r="O390" s="6">
        <f>Table2[[#This Row],[% of Collaborative Streams]]/100</f>
        <v>0.2437393501</v>
      </c>
      <c r="P390" s="4">
        <f>Table3[[#This Row],[Lead Streams (in millions)]]+Table3[[#This Row],[Feature Streams (in millions)]]</f>
        <v>8513.1</v>
      </c>
      <c r="Q390" s="4">
        <f>_xlfn.RANK.EQ(Table3[[#This Row],[Total Stream]],Table3[Total Stream],0)</f>
        <v>389</v>
      </c>
      <c r="R390" s="4">
        <f>Table3[[#This Row],[Total Streams (in millions)]]-Table3[[#This Row],[Total Stream]]</f>
        <v>-3.6000000000003638</v>
      </c>
      <c r="S390" s="8">
        <f>IFERROR(Table3[[#This Row],[Collaborative Streams (in millions)]]/Table3[[#This Row],[Total Stream]],0)</f>
        <v>0.24363627820652875</v>
      </c>
      <c r="T390" t="str">
        <f>IF(Table3[[#This Row],[Total Streams (in millions)]]&gt;=50000,"High Performer",IF(Table3[[#This Row],[Total Streams (in millions)]]&gt;=20000,"Medium Performer","Low Performer"))</f>
        <v>Low Performer</v>
      </c>
    </row>
    <row r="391" spans="1:20" x14ac:dyDescent="0.3">
      <c r="A391" s="11" t="s">
        <v>472</v>
      </c>
      <c r="B391" s="11" t="s">
        <v>20</v>
      </c>
      <c r="C391" s="11" t="s">
        <v>222</v>
      </c>
      <c r="D391" s="11" t="s">
        <v>24</v>
      </c>
      <c r="E391" s="11" t="s">
        <v>22</v>
      </c>
      <c r="F391" s="11" t="s">
        <v>18</v>
      </c>
      <c r="G391" s="12">
        <v>2016</v>
      </c>
      <c r="H391" s="12" t="str">
        <f>IF(Table3[[#This Row],[Debut Year]]&lt;=2000,"1999–2000",
IF(Table3[[#This Row],[Debut Year]]&lt;=2005,"2001–2005",
IF(Table3[[#This Row],[Debut Year]]&lt;=2010,"2006–2010",
IF(Table3[[#This Row],[Debut Year]]&lt;=2015,"2011–2015",
IF(Table3[[#This Row],[Debut Year]]&lt;=2020,"2016–2020",
"2021–2025")))))</f>
        <v>2016–2020</v>
      </c>
      <c r="I391" s="12">
        <v>8507.9</v>
      </c>
      <c r="J391" s="12">
        <v>5811.9</v>
      </c>
      <c r="K391" s="12">
        <v>2696</v>
      </c>
      <c r="L391" s="4">
        <v>1929.8</v>
      </c>
      <c r="M391" s="6">
        <f>Table2[[#This Row],[% of Solo Streams]]/100</f>
        <v>0.22682448080000001</v>
      </c>
      <c r="N391" s="3">
        <v>6578.1</v>
      </c>
      <c r="O391" s="6">
        <f>Table2[[#This Row],[% of Collaborative Streams]]/100</f>
        <v>0.77317551920000005</v>
      </c>
      <c r="P391" s="4">
        <f>Table3[[#This Row],[Lead Streams (in millions)]]+Table3[[#This Row],[Feature Streams (in millions)]]</f>
        <v>8507.9</v>
      </c>
      <c r="Q391" s="4">
        <f>_xlfn.RANK.EQ(Table3[[#This Row],[Total Stream]],Table3[Total Stream],0)</f>
        <v>390</v>
      </c>
      <c r="R391" s="4">
        <f>Table3[[#This Row],[Total Streams (in millions)]]-Table3[[#This Row],[Total Stream]]</f>
        <v>0</v>
      </c>
      <c r="S391" s="8">
        <f>IFERROR(Table3[[#This Row],[Collaborative Streams (in millions)]]/Table3[[#This Row],[Total Stream]],0)</f>
        <v>0.77317551922331018</v>
      </c>
      <c r="T391" t="str">
        <f>IF(Table3[[#This Row],[Total Streams (in millions)]]&gt;=50000,"High Performer",IF(Table3[[#This Row],[Total Streams (in millions)]]&gt;=20000,"Medium Performer","Low Performer"))</f>
        <v>Low Performer</v>
      </c>
    </row>
    <row r="392" spans="1:20" x14ac:dyDescent="0.3">
      <c r="A392" s="9" t="s">
        <v>473</v>
      </c>
      <c r="B392" s="9" t="s">
        <v>78</v>
      </c>
      <c r="C392" s="9" t="s">
        <v>21</v>
      </c>
      <c r="D392" s="9" t="s">
        <v>16</v>
      </c>
      <c r="E392" s="9" t="s">
        <v>22</v>
      </c>
      <c r="F392" s="9" t="s">
        <v>48</v>
      </c>
      <c r="G392" s="10">
        <v>1996</v>
      </c>
      <c r="H392" s="10" t="str">
        <f>IF(Table3[[#This Row],[Debut Year]]&lt;=2000,"1999–2000",
IF(Table3[[#This Row],[Debut Year]]&lt;=2005,"2001–2005",
IF(Table3[[#This Row],[Debut Year]]&lt;=2010,"2006–2010",
IF(Table3[[#This Row],[Debut Year]]&lt;=2015,"2011–2015",
IF(Table3[[#This Row],[Debut Year]]&lt;=2020,"2016–2020",
"2021–2025")))))</f>
        <v>1999–2000</v>
      </c>
      <c r="I392" s="10">
        <v>8485.9</v>
      </c>
      <c r="J392" s="10">
        <v>8144</v>
      </c>
      <c r="K392" s="10">
        <v>346</v>
      </c>
      <c r="L392" s="4">
        <v>8125.7</v>
      </c>
      <c r="M392" s="6">
        <f>Table2[[#This Row],[% of Solo Streams]]/100</f>
        <v>0.95755311750000005</v>
      </c>
      <c r="N392" s="3">
        <v>360.2</v>
      </c>
      <c r="O392" s="6">
        <f>Table2[[#This Row],[% of Collaborative Streams]]/100</f>
        <v>4.2446882480000003E-2</v>
      </c>
      <c r="P392" s="4">
        <f>Table3[[#This Row],[Lead Streams (in millions)]]+Table3[[#This Row],[Feature Streams (in millions)]]</f>
        <v>8490</v>
      </c>
      <c r="Q392" s="4">
        <f>_xlfn.RANK.EQ(Table3[[#This Row],[Total Stream]],Table3[Total Stream],0)</f>
        <v>391</v>
      </c>
      <c r="R392" s="4">
        <f>Table3[[#This Row],[Total Streams (in millions)]]-Table3[[#This Row],[Total Stream]]</f>
        <v>-4.1000000000003638</v>
      </c>
      <c r="S392" s="8">
        <f>IFERROR(Table3[[#This Row],[Collaborative Streams (in millions)]]/Table3[[#This Row],[Total Stream]],0)</f>
        <v>4.2426383981154295E-2</v>
      </c>
      <c r="T392" t="str">
        <f>IF(Table3[[#This Row],[Total Streams (in millions)]]&gt;=50000,"High Performer",IF(Table3[[#This Row],[Total Streams (in millions)]]&gt;=20000,"Medium Performer","Low Performer"))</f>
        <v>Low Performer</v>
      </c>
    </row>
    <row r="393" spans="1:20" x14ac:dyDescent="0.3">
      <c r="A393" s="11" t="s">
        <v>474</v>
      </c>
      <c r="B393" s="11" t="s">
        <v>14</v>
      </c>
      <c r="C393" s="11" t="s">
        <v>45</v>
      </c>
      <c r="D393" s="11" t="s">
        <v>46</v>
      </c>
      <c r="E393" s="11" t="s">
        <v>47</v>
      </c>
      <c r="F393" s="11" t="s">
        <v>18</v>
      </c>
      <c r="G393" s="12">
        <v>2013</v>
      </c>
      <c r="H393" s="12" t="str">
        <f>IF(Table3[[#This Row],[Debut Year]]&lt;=2000,"1999–2000",
IF(Table3[[#This Row],[Debut Year]]&lt;=2005,"2001–2005",
IF(Table3[[#This Row],[Debut Year]]&lt;=2010,"2006–2010",
IF(Table3[[#This Row],[Debut Year]]&lt;=2015,"2011–2015",
IF(Table3[[#This Row],[Debut Year]]&lt;=2020,"2016–2020",
"2021–2025")))))</f>
        <v>2011–2015</v>
      </c>
      <c r="I393" s="12">
        <v>8472.9</v>
      </c>
      <c r="J393" s="12">
        <v>7819.3</v>
      </c>
      <c r="K393" s="12">
        <v>656.6</v>
      </c>
      <c r="L393" s="4">
        <v>6967.6</v>
      </c>
      <c r="M393" s="6">
        <f>Table2[[#This Row],[% of Solo Streams]]/100</f>
        <v>0.82233945870000003</v>
      </c>
      <c r="N393" s="3">
        <v>1505.3</v>
      </c>
      <c r="O393" s="6">
        <f>Table2[[#This Row],[% of Collaborative Streams]]/100</f>
        <v>0.1776605413</v>
      </c>
      <c r="P393" s="4">
        <f>Table3[[#This Row],[Lead Streams (in millions)]]+Table3[[#This Row],[Feature Streams (in millions)]]</f>
        <v>8475.9</v>
      </c>
      <c r="Q393" s="4">
        <f>_xlfn.RANK.EQ(Table3[[#This Row],[Total Stream]],Table3[Total Stream],0)</f>
        <v>392</v>
      </c>
      <c r="R393" s="4">
        <f>Table3[[#This Row],[Total Streams (in millions)]]-Table3[[#This Row],[Total Stream]]</f>
        <v>-3</v>
      </c>
      <c r="S393" s="8">
        <f>IFERROR(Table3[[#This Row],[Collaborative Streams (in millions)]]/Table3[[#This Row],[Total Stream]],0)</f>
        <v>0.17759765924562584</v>
      </c>
      <c r="T393" t="str">
        <f>IF(Table3[[#This Row],[Total Streams (in millions)]]&gt;=50000,"High Performer",IF(Table3[[#This Row],[Total Streams (in millions)]]&gt;=20000,"Medium Performer","Low Performer"))</f>
        <v>Low Performer</v>
      </c>
    </row>
    <row r="394" spans="1:20" x14ac:dyDescent="0.3">
      <c r="A394" s="9" t="s">
        <v>475</v>
      </c>
      <c r="B394" s="9" t="s">
        <v>14</v>
      </c>
      <c r="C394" s="9" t="s">
        <v>21</v>
      </c>
      <c r="D394" s="9" t="s">
        <v>24</v>
      </c>
      <c r="E394" s="9" t="s">
        <v>25</v>
      </c>
      <c r="F394" s="9" t="s">
        <v>48</v>
      </c>
      <c r="G394" s="10">
        <v>2004</v>
      </c>
      <c r="H394" s="10" t="str">
        <f>IF(Table3[[#This Row],[Debut Year]]&lt;=2000,"1999–2000",
IF(Table3[[#This Row],[Debut Year]]&lt;=2005,"2001–2005",
IF(Table3[[#This Row],[Debut Year]]&lt;=2010,"2006–2010",
IF(Table3[[#This Row],[Debut Year]]&lt;=2015,"2011–2015",
IF(Table3[[#This Row],[Debut Year]]&lt;=2020,"2016–2020",
"2021–2025")))))</f>
        <v>2001–2005</v>
      </c>
      <c r="I394" s="10">
        <v>8457.4</v>
      </c>
      <c r="J394" s="10">
        <v>369.6</v>
      </c>
      <c r="K394" s="10">
        <v>8087.7</v>
      </c>
      <c r="L394" s="4">
        <v>1.3</v>
      </c>
      <c r="M394" s="6">
        <f>Table2[[#This Row],[% of Solo Streams]]/100</f>
        <v>1.5371154260000001E-4</v>
      </c>
      <c r="N394" s="3">
        <v>8456.1</v>
      </c>
      <c r="O394" s="6">
        <f>Table2[[#This Row],[% of Collaborative Streams]]/100</f>
        <v>0.99984628850000012</v>
      </c>
      <c r="P394" s="4">
        <f>Table3[[#This Row],[Lead Streams (in millions)]]+Table3[[#This Row],[Feature Streams (in millions)]]</f>
        <v>8457.2999999999993</v>
      </c>
      <c r="Q394" s="4">
        <f>_xlfn.RANK.EQ(Table3[[#This Row],[Total Stream]],Table3[Total Stream],0)</f>
        <v>393</v>
      </c>
      <c r="R394" s="4">
        <f>Table3[[#This Row],[Total Streams (in millions)]]-Table3[[#This Row],[Total Stream]]</f>
        <v>0.1000000000003638</v>
      </c>
      <c r="S394" s="8">
        <f>IFERROR(Table3[[#This Row],[Collaborative Streams (in millions)]]/Table3[[#This Row],[Total Stream]],0)</f>
        <v>0.99985811074456399</v>
      </c>
      <c r="T394" t="str">
        <f>IF(Table3[[#This Row],[Total Streams (in millions)]]&gt;=50000,"High Performer",IF(Table3[[#This Row],[Total Streams (in millions)]]&gt;=20000,"Medium Performer","Low Performer"))</f>
        <v>Low Performer</v>
      </c>
    </row>
    <row r="395" spans="1:20" x14ac:dyDescent="0.3">
      <c r="A395" s="11" t="s">
        <v>476</v>
      </c>
      <c r="B395" s="11" t="s">
        <v>14</v>
      </c>
      <c r="C395" s="11" t="s">
        <v>21</v>
      </c>
      <c r="D395" s="11" t="s">
        <v>16</v>
      </c>
      <c r="E395" s="11" t="s">
        <v>17</v>
      </c>
      <c r="F395" s="11" t="s">
        <v>18</v>
      </c>
      <c r="G395" s="12">
        <v>2018</v>
      </c>
      <c r="H395" s="12" t="str">
        <f>IF(Table3[[#This Row],[Debut Year]]&lt;=2000,"1999–2000",
IF(Table3[[#This Row],[Debut Year]]&lt;=2005,"2001–2005",
IF(Table3[[#This Row],[Debut Year]]&lt;=2010,"2006–2010",
IF(Table3[[#This Row],[Debut Year]]&lt;=2015,"2011–2015",
IF(Table3[[#This Row],[Debut Year]]&lt;=2020,"2016–2020",
"2021–2025")))))</f>
        <v>2016–2020</v>
      </c>
      <c r="I395" s="12">
        <v>8453.7000000000007</v>
      </c>
      <c r="J395" s="12">
        <v>6568.5</v>
      </c>
      <c r="K395" s="12">
        <v>1885.2</v>
      </c>
      <c r="L395" s="4">
        <v>4039.2</v>
      </c>
      <c r="M395" s="6">
        <f>Table2[[#This Row],[% of Solo Streams]]/100</f>
        <v>0.47780261899999998</v>
      </c>
      <c r="N395" s="3">
        <v>4414.5</v>
      </c>
      <c r="O395" s="6">
        <f>Table2[[#This Row],[% of Collaborative Streams]]/100</f>
        <v>0.52219738100000002</v>
      </c>
      <c r="P395" s="4">
        <f>Table3[[#This Row],[Lead Streams (in millions)]]+Table3[[#This Row],[Feature Streams (in millions)]]</f>
        <v>8453.7000000000007</v>
      </c>
      <c r="Q395" s="4">
        <f>_xlfn.RANK.EQ(Table3[[#This Row],[Total Stream]],Table3[Total Stream],0)</f>
        <v>394</v>
      </c>
      <c r="R395" s="4">
        <f>Table3[[#This Row],[Total Streams (in millions)]]-Table3[[#This Row],[Total Stream]]</f>
        <v>0</v>
      </c>
      <c r="S395" s="8">
        <f>IFERROR(Table3[[#This Row],[Collaborative Streams (in millions)]]/Table3[[#This Row],[Total Stream]],0)</f>
        <v>0.52219738102842539</v>
      </c>
      <c r="T395" t="str">
        <f>IF(Table3[[#This Row],[Total Streams (in millions)]]&gt;=50000,"High Performer",IF(Table3[[#This Row],[Total Streams (in millions)]]&gt;=20000,"Medium Performer","Low Performer"))</f>
        <v>Low Performer</v>
      </c>
    </row>
    <row r="396" spans="1:20" x14ac:dyDescent="0.3">
      <c r="A396" s="9" t="s">
        <v>477</v>
      </c>
      <c r="B396" s="9" t="s">
        <v>14</v>
      </c>
      <c r="C396" s="9" t="s">
        <v>478</v>
      </c>
      <c r="D396" s="9" t="s">
        <v>257</v>
      </c>
      <c r="E396" s="9" t="s">
        <v>17</v>
      </c>
      <c r="F396" s="9" t="s">
        <v>18</v>
      </c>
      <c r="G396" s="10">
        <v>2013</v>
      </c>
      <c r="H396" s="10" t="str">
        <f>IF(Table3[[#This Row],[Debut Year]]&lt;=2000,"1999–2000",
IF(Table3[[#This Row],[Debut Year]]&lt;=2005,"2001–2005",
IF(Table3[[#This Row],[Debut Year]]&lt;=2010,"2006–2010",
IF(Table3[[#This Row],[Debut Year]]&lt;=2015,"2011–2015",
IF(Table3[[#This Row],[Debut Year]]&lt;=2020,"2016–2020",
"2021–2025")))))</f>
        <v>2011–2015</v>
      </c>
      <c r="I396" s="10">
        <v>8439.5</v>
      </c>
      <c r="J396" s="10">
        <v>6942.6</v>
      </c>
      <c r="K396" s="10">
        <v>1509.4</v>
      </c>
      <c r="L396" s="4">
        <v>3538.8</v>
      </c>
      <c r="M396" s="6">
        <f>Table2[[#This Row],[% of Solo Streams]]/100</f>
        <v>0.41931394040000003</v>
      </c>
      <c r="N396" s="3">
        <v>4900.7</v>
      </c>
      <c r="O396" s="6">
        <f>Table2[[#This Row],[% of Collaborative Streams]]/100</f>
        <v>0.58068605959999997</v>
      </c>
      <c r="P396" s="4">
        <f>Table3[[#This Row],[Lead Streams (in millions)]]+Table3[[#This Row],[Feature Streams (in millions)]]</f>
        <v>8452</v>
      </c>
      <c r="Q396" s="4">
        <f>_xlfn.RANK.EQ(Table3[[#This Row],[Total Stream]],Table3[Total Stream],0)</f>
        <v>395</v>
      </c>
      <c r="R396" s="4">
        <f>Table3[[#This Row],[Total Streams (in millions)]]-Table3[[#This Row],[Total Stream]]</f>
        <v>-12.5</v>
      </c>
      <c r="S396" s="8">
        <f>IFERROR(Table3[[#This Row],[Collaborative Streams (in millions)]]/Table3[[#This Row],[Total Stream]],0)</f>
        <v>0.57982725982016092</v>
      </c>
      <c r="T396" t="str">
        <f>IF(Table3[[#This Row],[Total Streams (in millions)]]&gt;=50000,"High Performer",IF(Table3[[#This Row],[Total Streams (in millions)]]&gt;=20000,"Medium Performer","Low Performer"))</f>
        <v>Low Performer</v>
      </c>
    </row>
    <row r="397" spans="1:20" x14ac:dyDescent="0.3">
      <c r="A397" s="11" t="s">
        <v>479</v>
      </c>
      <c r="B397" s="11" t="s">
        <v>14</v>
      </c>
      <c r="C397" s="11" t="s">
        <v>89</v>
      </c>
      <c r="D397" s="11" t="s">
        <v>24</v>
      </c>
      <c r="E397" s="11" t="s">
        <v>90</v>
      </c>
      <c r="F397" s="11" t="s">
        <v>48</v>
      </c>
      <c r="G397" s="12">
        <v>2010</v>
      </c>
      <c r="H397" s="12" t="str">
        <f>IF(Table3[[#This Row],[Debut Year]]&lt;=2000,"1999–2000",
IF(Table3[[#This Row],[Debut Year]]&lt;=2005,"2001–2005",
IF(Table3[[#This Row],[Debut Year]]&lt;=2010,"2006–2010",
IF(Table3[[#This Row],[Debut Year]]&lt;=2015,"2011–2015",
IF(Table3[[#This Row],[Debut Year]]&lt;=2020,"2016–2020",
"2021–2025")))))</f>
        <v>2006–2010</v>
      </c>
      <c r="I397" s="12">
        <v>8433.7999999999993</v>
      </c>
      <c r="J397" s="12">
        <v>7838.5</v>
      </c>
      <c r="K397" s="12">
        <v>603.29999999999995</v>
      </c>
      <c r="L397" s="4">
        <v>7244.3</v>
      </c>
      <c r="M397" s="6">
        <f>Table2[[#This Row],[% of Solo Streams]]/100</f>
        <v>0.8589603737</v>
      </c>
      <c r="N397" s="3">
        <v>1189.5</v>
      </c>
      <c r="O397" s="6">
        <f>Table2[[#This Row],[% of Collaborative Streams]]/100</f>
        <v>0.1410396263</v>
      </c>
      <c r="P397" s="4">
        <f>Table3[[#This Row],[Lead Streams (in millions)]]+Table3[[#This Row],[Feature Streams (in millions)]]</f>
        <v>8441.7999999999993</v>
      </c>
      <c r="Q397" s="4">
        <f>_xlfn.RANK.EQ(Table3[[#This Row],[Total Stream]],Table3[Total Stream],0)</f>
        <v>396</v>
      </c>
      <c r="R397" s="4">
        <f>Table3[[#This Row],[Total Streams (in millions)]]-Table3[[#This Row],[Total Stream]]</f>
        <v>-8</v>
      </c>
      <c r="S397" s="8">
        <f>IFERROR(Table3[[#This Row],[Collaborative Streams (in millions)]]/Table3[[#This Row],[Total Stream]],0)</f>
        <v>0.14090596792153334</v>
      </c>
      <c r="T397" t="str">
        <f>IF(Table3[[#This Row],[Total Streams (in millions)]]&gt;=50000,"High Performer",IF(Table3[[#This Row],[Total Streams (in millions)]]&gt;=20000,"Medium Performer","Low Performer"))</f>
        <v>Low Performer</v>
      </c>
    </row>
    <row r="398" spans="1:20" x14ac:dyDescent="0.3">
      <c r="A398" s="9" t="s">
        <v>480</v>
      </c>
      <c r="B398" s="9" t="s">
        <v>20</v>
      </c>
      <c r="C398" s="9" t="s">
        <v>21</v>
      </c>
      <c r="D398" s="9" t="s">
        <v>16</v>
      </c>
      <c r="E398" s="9" t="s">
        <v>22</v>
      </c>
      <c r="F398" s="9" t="s">
        <v>18</v>
      </c>
      <c r="G398" s="10">
        <v>2017</v>
      </c>
      <c r="H398" s="10" t="str">
        <f>IF(Table3[[#This Row],[Debut Year]]&lt;=2000,"1999–2000",
IF(Table3[[#This Row],[Debut Year]]&lt;=2005,"2001–2005",
IF(Table3[[#This Row],[Debut Year]]&lt;=2010,"2006–2010",
IF(Table3[[#This Row],[Debut Year]]&lt;=2015,"2011–2015",
IF(Table3[[#This Row],[Debut Year]]&lt;=2020,"2016–2020",
"2021–2025")))))</f>
        <v>2016–2020</v>
      </c>
      <c r="I398" s="10">
        <v>8382.9</v>
      </c>
      <c r="J398" s="10">
        <v>8387.7999999999993</v>
      </c>
      <c r="K398" s="10">
        <v>0</v>
      </c>
      <c r="L398" s="4">
        <v>8380.2999999999993</v>
      </c>
      <c r="M398" s="6">
        <f>Table2[[#This Row],[% of Solo Streams]]/100</f>
        <v>0.9996898448</v>
      </c>
      <c r="N398" s="3">
        <v>2.6</v>
      </c>
      <c r="O398" s="6">
        <f>Table2[[#This Row],[% of Collaborative Streams]]/100</f>
        <v>3.1015519689999999E-4</v>
      </c>
      <c r="P398" s="4">
        <f>Table3[[#This Row],[Lead Streams (in millions)]]+Table3[[#This Row],[Feature Streams (in millions)]]</f>
        <v>8387.7999999999993</v>
      </c>
      <c r="Q398" s="4">
        <f>_xlfn.RANK.EQ(Table3[[#This Row],[Total Stream]],Table3[Total Stream],0)</f>
        <v>397</v>
      </c>
      <c r="R398" s="4">
        <f>Table3[[#This Row],[Total Streams (in millions)]]-Table3[[#This Row],[Total Stream]]</f>
        <v>-4.8999999999996362</v>
      </c>
      <c r="S398" s="8">
        <f>IFERROR(Table3[[#This Row],[Collaborative Streams (in millions)]]/Table3[[#This Row],[Total Stream]],0)</f>
        <v>3.0997400987148007E-4</v>
      </c>
      <c r="T398" t="str">
        <f>IF(Table3[[#This Row],[Total Streams (in millions)]]&gt;=50000,"High Performer",IF(Table3[[#This Row],[Total Streams (in millions)]]&gt;=20000,"Medium Performer","Low Performer"))</f>
        <v>Low Performer</v>
      </c>
    </row>
    <row r="399" spans="1:20" x14ac:dyDescent="0.3">
      <c r="A399" s="11" t="s">
        <v>481</v>
      </c>
      <c r="B399" s="11" t="s">
        <v>14</v>
      </c>
      <c r="C399" s="11" t="s">
        <v>21</v>
      </c>
      <c r="D399" s="11" t="s">
        <v>16</v>
      </c>
      <c r="E399" s="11" t="s">
        <v>455</v>
      </c>
      <c r="F399" s="11" t="s">
        <v>18</v>
      </c>
      <c r="G399" s="12">
        <v>1962</v>
      </c>
      <c r="H399" s="12" t="str">
        <f>IF(Table3[[#This Row],[Debut Year]]&lt;=2000,"1999–2000",
IF(Table3[[#This Row],[Debut Year]]&lt;=2005,"2001–2005",
IF(Table3[[#This Row],[Debut Year]]&lt;=2010,"2006–2010",
IF(Table3[[#This Row],[Debut Year]]&lt;=2015,"2011–2015",
IF(Table3[[#This Row],[Debut Year]]&lt;=2020,"2016–2020",
"2021–2025")))))</f>
        <v>1999–2000</v>
      </c>
      <c r="I399" s="12">
        <v>8371.5</v>
      </c>
      <c r="J399" s="12">
        <v>7723.5</v>
      </c>
      <c r="K399" s="12">
        <v>648</v>
      </c>
      <c r="L399" s="4">
        <v>7485.7</v>
      </c>
      <c r="M399" s="6">
        <f>Table2[[#This Row],[% of Solo Streams]]/100</f>
        <v>0.89418861609999989</v>
      </c>
      <c r="N399" s="3">
        <v>885.8</v>
      </c>
      <c r="O399" s="6">
        <f>Table2[[#This Row],[% of Collaborative Streams]]/100</f>
        <v>0.1058113839</v>
      </c>
      <c r="P399" s="4">
        <f>Table3[[#This Row],[Lead Streams (in millions)]]+Table3[[#This Row],[Feature Streams (in millions)]]</f>
        <v>8371.5</v>
      </c>
      <c r="Q399" s="4">
        <f>_xlfn.RANK.EQ(Table3[[#This Row],[Total Stream]],Table3[Total Stream],0)</f>
        <v>398</v>
      </c>
      <c r="R399" s="4">
        <f>Table3[[#This Row],[Total Streams (in millions)]]-Table3[[#This Row],[Total Stream]]</f>
        <v>0</v>
      </c>
      <c r="S399" s="8">
        <f>IFERROR(Table3[[#This Row],[Collaborative Streams (in millions)]]/Table3[[#This Row],[Total Stream]],0)</f>
        <v>0.10581138386191244</v>
      </c>
      <c r="T399" t="str">
        <f>IF(Table3[[#This Row],[Total Streams (in millions)]]&gt;=50000,"High Performer",IF(Table3[[#This Row],[Total Streams (in millions)]]&gt;=20000,"Medium Performer","Low Performer"))</f>
        <v>Low Performer</v>
      </c>
    </row>
    <row r="400" spans="1:20" x14ac:dyDescent="0.3">
      <c r="A400" s="9" t="s">
        <v>482</v>
      </c>
      <c r="B400" s="9" t="s">
        <v>14</v>
      </c>
      <c r="C400" s="9" t="s">
        <v>21</v>
      </c>
      <c r="D400" s="9" t="s">
        <v>16</v>
      </c>
      <c r="E400" s="9" t="s">
        <v>17</v>
      </c>
      <c r="F400" s="9" t="s">
        <v>18</v>
      </c>
      <c r="G400" s="10">
        <v>1991</v>
      </c>
      <c r="H400" s="10" t="str">
        <f>IF(Table3[[#This Row],[Debut Year]]&lt;=2000,"1999–2000",
IF(Table3[[#This Row],[Debut Year]]&lt;=2005,"2001–2005",
IF(Table3[[#This Row],[Debut Year]]&lt;=2010,"2006–2010",
IF(Table3[[#This Row],[Debut Year]]&lt;=2015,"2011–2015",
IF(Table3[[#This Row],[Debut Year]]&lt;=2020,"2016–2020",
"2021–2025")))))</f>
        <v>1999–2000</v>
      </c>
      <c r="I400" s="10">
        <v>8370.9</v>
      </c>
      <c r="J400" s="10">
        <v>1884.2</v>
      </c>
      <c r="K400" s="10">
        <v>6486.7</v>
      </c>
      <c r="L400" s="4">
        <v>175.8</v>
      </c>
      <c r="M400" s="6">
        <f>Table2[[#This Row],[% of Solo Streams]]/100</f>
        <v>2.1001326019999999E-2</v>
      </c>
      <c r="N400" s="3">
        <v>8195.1</v>
      </c>
      <c r="O400" s="6">
        <f>Table2[[#This Row],[% of Collaborative Streams]]/100</f>
        <v>0.97899867400000007</v>
      </c>
      <c r="P400" s="4">
        <f>Table3[[#This Row],[Lead Streams (in millions)]]+Table3[[#This Row],[Feature Streams (in millions)]]</f>
        <v>8370.9</v>
      </c>
      <c r="Q400" s="4">
        <f>_xlfn.RANK.EQ(Table3[[#This Row],[Total Stream]],Table3[Total Stream],0)</f>
        <v>399</v>
      </c>
      <c r="R400" s="4">
        <f>Table3[[#This Row],[Total Streams (in millions)]]-Table3[[#This Row],[Total Stream]]</f>
        <v>0</v>
      </c>
      <c r="S400" s="8">
        <f>IFERROR(Table3[[#This Row],[Collaborative Streams (in millions)]]/Table3[[#This Row],[Total Stream]],0)</f>
        <v>0.97899867397770857</v>
      </c>
      <c r="T400" t="str">
        <f>IF(Table3[[#This Row],[Total Streams (in millions)]]&gt;=50000,"High Performer",IF(Table3[[#This Row],[Total Streams (in millions)]]&gt;=20000,"Medium Performer","Low Performer"))</f>
        <v>Low Performer</v>
      </c>
    </row>
    <row r="401" spans="1:20" x14ac:dyDescent="0.3">
      <c r="A401" s="11" t="s">
        <v>483</v>
      </c>
      <c r="B401" s="11" t="s">
        <v>14</v>
      </c>
      <c r="C401" s="11" t="s">
        <v>33</v>
      </c>
      <c r="D401" s="11" t="s">
        <v>16</v>
      </c>
      <c r="E401" s="11" t="s">
        <v>22</v>
      </c>
      <c r="F401" s="11" t="s">
        <v>18</v>
      </c>
      <c r="G401" s="12">
        <v>2003</v>
      </c>
      <c r="H401" s="12" t="str">
        <f>IF(Table3[[#This Row],[Debut Year]]&lt;=2000,"1999–2000",
IF(Table3[[#This Row],[Debut Year]]&lt;=2005,"2001–2005",
IF(Table3[[#This Row],[Debut Year]]&lt;=2010,"2006–2010",
IF(Table3[[#This Row],[Debut Year]]&lt;=2015,"2011–2015",
IF(Table3[[#This Row],[Debut Year]]&lt;=2020,"2016–2020",
"2021–2025")))))</f>
        <v>2001–2005</v>
      </c>
      <c r="I401" s="12">
        <v>8366.2999999999993</v>
      </c>
      <c r="J401" s="12">
        <v>6159.1</v>
      </c>
      <c r="K401" s="12">
        <v>2210.1</v>
      </c>
      <c r="L401" s="4">
        <v>10.3</v>
      </c>
      <c r="M401" s="6">
        <f>Table2[[#This Row],[% of Solo Streams]]/100</f>
        <v>1.2311296510000001E-3</v>
      </c>
      <c r="N401" s="3">
        <v>8356</v>
      </c>
      <c r="O401" s="6">
        <f>Table2[[#This Row],[% of Collaborative Streams]]/100</f>
        <v>0.99876887030000006</v>
      </c>
      <c r="P401" s="4">
        <f>Table3[[#This Row],[Lead Streams (in millions)]]+Table3[[#This Row],[Feature Streams (in millions)]]</f>
        <v>8369.2000000000007</v>
      </c>
      <c r="Q401" s="4">
        <f>_xlfn.RANK.EQ(Table3[[#This Row],[Total Stream]],Table3[Total Stream],0)</f>
        <v>400</v>
      </c>
      <c r="R401" s="4">
        <f>Table3[[#This Row],[Total Streams (in millions)]]-Table3[[#This Row],[Total Stream]]</f>
        <v>-2.9000000000014552</v>
      </c>
      <c r="S401" s="8">
        <f>IFERROR(Table3[[#This Row],[Collaborative Streams (in millions)]]/Table3[[#This Row],[Total Stream]],0)</f>
        <v>0.99842278831907461</v>
      </c>
      <c r="T401" t="str">
        <f>IF(Table3[[#This Row],[Total Streams (in millions)]]&gt;=50000,"High Performer",IF(Table3[[#This Row],[Total Streams (in millions)]]&gt;=20000,"Medium Performer","Low Performer"))</f>
        <v>Low Performer</v>
      </c>
    </row>
    <row r="402" spans="1:20" x14ac:dyDescent="0.3">
      <c r="A402" s="9" t="s">
        <v>484</v>
      </c>
      <c r="B402" s="9" t="s">
        <v>20</v>
      </c>
      <c r="C402" s="9" t="s">
        <v>21</v>
      </c>
      <c r="D402" s="9" t="s">
        <v>16</v>
      </c>
      <c r="E402" s="9" t="s">
        <v>22</v>
      </c>
      <c r="F402" s="9" t="s">
        <v>18</v>
      </c>
      <c r="G402" s="10">
        <v>2002</v>
      </c>
      <c r="H402" s="10" t="str">
        <f>IF(Table3[[#This Row],[Debut Year]]&lt;=2000,"1999–2000",
IF(Table3[[#This Row],[Debut Year]]&lt;=2005,"2001–2005",
IF(Table3[[#This Row],[Debut Year]]&lt;=2010,"2006–2010",
IF(Table3[[#This Row],[Debut Year]]&lt;=2015,"2011–2015",
IF(Table3[[#This Row],[Debut Year]]&lt;=2020,"2016–2020",
"2021–2025")))))</f>
        <v>2001–2005</v>
      </c>
      <c r="I402" s="10">
        <v>8339.2999999999993</v>
      </c>
      <c r="J402" s="10">
        <v>7864.3</v>
      </c>
      <c r="K402" s="10">
        <v>477.4</v>
      </c>
      <c r="L402" s="4">
        <v>7297.4</v>
      </c>
      <c r="M402" s="6">
        <f>Table2[[#This Row],[% of Solo Streams]]/100</f>
        <v>0.87506145599999996</v>
      </c>
      <c r="N402" s="3">
        <v>1041.9000000000001</v>
      </c>
      <c r="O402" s="6">
        <f>Table2[[#This Row],[% of Collaborative Streams]]/100</f>
        <v>0.124938544</v>
      </c>
      <c r="P402" s="4">
        <f>Table3[[#This Row],[Lead Streams (in millions)]]+Table3[[#This Row],[Feature Streams (in millions)]]</f>
        <v>8341.7000000000007</v>
      </c>
      <c r="Q402" s="4">
        <f>_xlfn.RANK.EQ(Table3[[#This Row],[Total Stream]],Table3[Total Stream],0)</f>
        <v>401</v>
      </c>
      <c r="R402" s="4">
        <f>Table3[[#This Row],[Total Streams (in millions)]]-Table3[[#This Row],[Total Stream]]</f>
        <v>-2.4000000000014552</v>
      </c>
      <c r="S402" s="8">
        <f>IFERROR(Table3[[#This Row],[Collaborative Streams (in millions)]]/Table3[[#This Row],[Total Stream]],0)</f>
        <v>0.12490259779181702</v>
      </c>
      <c r="T402" t="str">
        <f>IF(Table3[[#This Row],[Total Streams (in millions)]]&gt;=50000,"High Performer",IF(Table3[[#This Row],[Total Streams (in millions)]]&gt;=20000,"Medium Performer","Low Performer"))</f>
        <v>Low Performer</v>
      </c>
    </row>
    <row r="403" spans="1:20" x14ac:dyDescent="0.3">
      <c r="A403" s="11" t="s">
        <v>485</v>
      </c>
      <c r="B403" s="11" t="s">
        <v>14</v>
      </c>
      <c r="C403" s="11" t="s">
        <v>21</v>
      </c>
      <c r="D403" s="11" t="s">
        <v>16</v>
      </c>
      <c r="E403" s="11" t="s">
        <v>51</v>
      </c>
      <c r="F403" s="11" t="s">
        <v>48</v>
      </c>
      <c r="G403" s="12">
        <v>1989</v>
      </c>
      <c r="H403" s="12" t="str">
        <f>IF(Table3[[#This Row],[Debut Year]]&lt;=2000,"1999–2000",
IF(Table3[[#This Row],[Debut Year]]&lt;=2005,"2001–2005",
IF(Table3[[#This Row],[Debut Year]]&lt;=2010,"2006–2010",
IF(Table3[[#This Row],[Debut Year]]&lt;=2015,"2011–2015",
IF(Table3[[#This Row],[Debut Year]]&lt;=2020,"2016–2020",
"2021–2025")))))</f>
        <v>1999–2000</v>
      </c>
      <c r="I403" s="12">
        <v>8330.4</v>
      </c>
      <c r="J403" s="12">
        <v>8328.6</v>
      </c>
      <c r="K403" s="12">
        <v>5.6</v>
      </c>
      <c r="L403" s="4">
        <v>8188.5</v>
      </c>
      <c r="M403" s="6">
        <f>Table2[[#This Row],[% of Solo Streams]]/100</f>
        <v>0.982966004</v>
      </c>
      <c r="N403" s="3">
        <v>141.9</v>
      </c>
      <c r="O403" s="6">
        <f>Table2[[#This Row],[% of Collaborative Streams]]/100</f>
        <v>1.703399597E-2</v>
      </c>
      <c r="P403" s="4">
        <f>Table3[[#This Row],[Lead Streams (in millions)]]+Table3[[#This Row],[Feature Streams (in millions)]]</f>
        <v>8334.2000000000007</v>
      </c>
      <c r="Q403" s="4">
        <f>_xlfn.RANK.EQ(Table3[[#This Row],[Total Stream]],Table3[Total Stream],0)</f>
        <v>402</v>
      </c>
      <c r="R403" s="4">
        <f>Table3[[#This Row],[Total Streams (in millions)]]-Table3[[#This Row],[Total Stream]]</f>
        <v>-3.8000000000010914</v>
      </c>
      <c r="S403" s="8">
        <f>IFERROR(Table3[[#This Row],[Collaborative Streams (in millions)]]/Table3[[#This Row],[Total Stream]],0)</f>
        <v>1.7026229272155694E-2</v>
      </c>
      <c r="T403" t="str">
        <f>IF(Table3[[#This Row],[Total Streams (in millions)]]&gt;=50000,"High Performer",IF(Table3[[#This Row],[Total Streams (in millions)]]&gt;=20000,"Medium Performer","Low Performer"))</f>
        <v>Low Performer</v>
      </c>
    </row>
    <row r="404" spans="1:20" x14ac:dyDescent="0.3">
      <c r="A404" s="9" t="s">
        <v>486</v>
      </c>
      <c r="B404" s="9" t="s">
        <v>14</v>
      </c>
      <c r="C404" s="9" t="s">
        <v>128</v>
      </c>
      <c r="D404" s="9" t="s">
        <v>129</v>
      </c>
      <c r="E404" s="9" t="s">
        <v>17</v>
      </c>
      <c r="F404" s="9" t="s">
        <v>18</v>
      </c>
      <c r="G404" s="10">
        <v>2006</v>
      </c>
      <c r="H404" s="10" t="str">
        <f>IF(Table3[[#This Row],[Debut Year]]&lt;=2000,"1999–2000",
IF(Table3[[#This Row],[Debut Year]]&lt;=2005,"2001–2005",
IF(Table3[[#This Row],[Debut Year]]&lt;=2010,"2006–2010",
IF(Table3[[#This Row],[Debut Year]]&lt;=2015,"2011–2015",
IF(Table3[[#This Row],[Debut Year]]&lt;=2020,"2016–2020",
"2021–2025")))))</f>
        <v>2006–2010</v>
      </c>
      <c r="I404" s="10">
        <v>8326.7000000000007</v>
      </c>
      <c r="J404" s="10">
        <v>4696.3999999999996</v>
      </c>
      <c r="K404" s="10">
        <v>3630.4</v>
      </c>
      <c r="L404" s="4">
        <v>1125.8</v>
      </c>
      <c r="M404" s="6">
        <f>Table2[[#This Row],[% of Solo Streams]]/100</f>
        <v>0.1352036221</v>
      </c>
      <c r="N404" s="3">
        <v>7200.9</v>
      </c>
      <c r="O404" s="6">
        <f>Table2[[#This Row],[% of Collaborative Streams]]/100</f>
        <v>0.86479637789999997</v>
      </c>
      <c r="P404" s="4">
        <f>Table3[[#This Row],[Lead Streams (in millions)]]+Table3[[#This Row],[Feature Streams (in millions)]]</f>
        <v>8326.7999999999993</v>
      </c>
      <c r="Q404" s="4">
        <f>_xlfn.RANK.EQ(Table3[[#This Row],[Total Stream]],Table3[Total Stream],0)</f>
        <v>403</v>
      </c>
      <c r="R404" s="4">
        <f>Table3[[#This Row],[Total Streams (in millions)]]-Table3[[#This Row],[Total Stream]]</f>
        <v>-9.9999999998544808E-2</v>
      </c>
      <c r="S404" s="8">
        <f>IFERROR(Table3[[#This Row],[Collaborative Streams (in millions)]]/Table3[[#This Row],[Total Stream]],0)</f>
        <v>0.86478599221789887</v>
      </c>
      <c r="T404" t="str">
        <f>IF(Table3[[#This Row],[Total Streams (in millions)]]&gt;=50000,"High Performer",IF(Table3[[#This Row],[Total Streams (in millions)]]&gt;=20000,"Medium Performer","Low Performer"))</f>
        <v>Low Performer</v>
      </c>
    </row>
    <row r="405" spans="1:20" x14ac:dyDescent="0.3">
      <c r="A405" s="11" t="s">
        <v>487</v>
      </c>
      <c r="B405" s="11" t="s">
        <v>20</v>
      </c>
      <c r="C405" s="11" t="s">
        <v>128</v>
      </c>
      <c r="D405" s="11" t="s">
        <v>129</v>
      </c>
      <c r="E405" s="11" t="s">
        <v>488</v>
      </c>
      <c r="F405" s="11" t="s">
        <v>18</v>
      </c>
      <c r="G405" s="12">
        <v>1980</v>
      </c>
      <c r="H405" s="12" t="str">
        <f>IF(Table3[[#This Row],[Debut Year]]&lt;=2000,"1999–2000",
IF(Table3[[#This Row],[Debut Year]]&lt;=2005,"2001–2005",
IF(Table3[[#This Row],[Debut Year]]&lt;=2010,"2006–2010",
IF(Table3[[#This Row],[Debut Year]]&lt;=2015,"2011–2015",
IF(Table3[[#This Row],[Debut Year]]&lt;=2020,"2016–2020",
"2021–2025")))))</f>
        <v>1999–2000</v>
      </c>
      <c r="I405" s="12">
        <v>8316.5</v>
      </c>
      <c r="J405" s="12">
        <v>8317.7999999999993</v>
      </c>
      <c r="K405" s="12">
        <v>0</v>
      </c>
      <c r="L405" s="4">
        <v>8289</v>
      </c>
      <c r="M405" s="6">
        <f>Table2[[#This Row],[% of Solo Streams]]/100</f>
        <v>0.99669332049999992</v>
      </c>
      <c r="N405" s="3">
        <v>27.5</v>
      </c>
      <c r="O405" s="6">
        <f>Table2[[#This Row],[% of Collaborative Streams]]/100</f>
        <v>3.3066794930000001E-3</v>
      </c>
      <c r="P405" s="4">
        <f>Table3[[#This Row],[Lead Streams (in millions)]]+Table3[[#This Row],[Feature Streams (in millions)]]</f>
        <v>8317.7999999999993</v>
      </c>
      <c r="Q405" s="4">
        <f>_xlfn.RANK.EQ(Table3[[#This Row],[Total Stream]],Table3[Total Stream],0)</f>
        <v>404</v>
      </c>
      <c r="R405" s="4">
        <f>Table3[[#This Row],[Total Streams (in millions)]]-Table3[[#This Row],[Total Stream]]</f>
        <v>-1.2999999999992724</v>
      </c>
      <c r="S405" s="8">
        <f>IFERROR(Table3[[#This Row],[Collaborative Streams (in millions)]]/Table3[[#This Row],[Total Stream]],0)</f>
        <v>3.3061626872490325E-3</v>
      </c>
      <c r="T405" t="str">
        <f>IF(Table3[[#This Row],[Total Streams (in millions)]]&gt;=50000,"High Performer",IF(Table3[[#This Row],[Total Streams (in millions)]]&gt;=20000,"Medium Performer","Low Performer"))</f>
        <v>Low Performer</v>
      </c>
    </row>
    <row r="406" spans="1:20" x14ac:dyDescent="0.3">
      <c r="A406" s="9" t="s">
        <v>489</v>
      </c>
      <c r="B406" s="9" t="s">
        <v>14</v>
      </c>
      <c r="C406" s="9" t="s">
        <v>222</v>
      </c>
      <c r="D406" s="9" t="s">
        <v>24</v>
      </c>
      <c r="E406" s="9" t="s">
        <v>17</v>
      </c>
      <c r="F406" s="9" t="s">
        <v>18</v>
      </c>
      <c r="G406" s="10">
        <v>2021</v>
      </c>
      <c r="H406" s="10" t="str">
        <f>IF(Table3[[#This Row],[Debut Year]]&lt;=2000,"1999–2000",
IF(Table3[[#This Row],[Debut Year]]&lt;=2005,"2001–2005",
IF(Table3[[#This Row],[Debut Year]]&lt;=2010,"2006–2010",
IF(Table3[[#This Row],[Debut Year]]&lt;=2015,"2011–2015",
IF(Table3[[#This Row],[Debut Year]]&lt;=2020,"2016–2020",
"2021–2025")))))</f>
        <v>2021–2025</v>
      </c>
      <c r="I406" s="10">
        <v>8309.1</v>
      </c>
      <c r="J406" s="10">
        <v>5592</v>
      </c>
      <c r="K406" s="10">
        <v>2724.4</v>
      </c>
      <c r="L406" s="4">
        <v>3545.8</v>
      </c>
      <c r="M406" s="6">
        <f>Table2[[#This Row],[% of Solo Streams]]/100</f>
        <v>0.42673695109999998</v>
      </c>
      <c r="N406" s="3">
        <v>4763.3</v>
      </c>
      <c r="O406" s="6">
        <f>Table2[[#This Row],[% of Collaborative Streams]]/100</f>
        <v>0.57326304890000002</v>
      </c>
      <c r="P406" s="4">
        <f>Table3[[#This Row],[Lead Streams (in millions)]]+Table3[[#This Row],[Feature Streams (in millions)]]</f>
        <v>8316.4</v>
      </c>
      <c r="Q406" s="4">
        <f>_xlfn.RANK.EQ(Table3[[#This Row],[Total Stream]],Table3[Total Stream],0)</f>
        <v>405</v>
      </c>
      <c r="R406" s="4">
        <f>Table3[[#This Row],[Total Streams (in millions)]]-Table3[[#This Row],[Total Stream]]</f>
        <v>-7.2999999999992724</v>
      </c>
      <c r="S406" s="8">
        <f>IFERROR(Table3[[#This Row],[Collaborative Streams (in millions)]]/Table3[[#This Row],[Total Stream]],0)</f>
        <v>0.57275984801115876</v>
      </c>
      <c r="T406" t="str">
        <f>IF(Table3[[#This Row],[Total Streams (in millions)]]&gt;=50000,"High Performer",IF(Table3[[#This Row],[Total Streams (in millions)]]&gt;=20000,"Medium Performer","Low Performer"))</f>
        <v>Low Performer</v>
      </c>
    </row>
    <row r="407" spans="1:20" x14ac:dyDescent="0.3">
      <c r="A407" s="11" t="s">
        <v>490</v>
      </c>
      <c r="B407" s="11" t="s">
        <v>14</v>
      </c>
      <c r="C407" s="11" t="s">
        <v>21</v>
      </c>
      <c r="D407" s="11" t="s">
        <v>24</v>
      </c>
      <c r="E407" s="11" t="s">
        <v>25</v>
      </c>
      <c r="F407" s="11" t="s">
        <v>18</v>
      </c>
      <c r="G407" s="12">
        <v>2019</v>
      </c>
      <c r="H407" s="12" t="str">
        <f>IF(Table3[[#This Row],[Debut Year]]&lt;=2000,"1999–2000",
IF(Table3[[#This Row],[Debut Year]]&lt;=2005,"2001–2005",
IF(Table3[[#This Row],[Debut Year]]&lt;=2010,"2006–2010",
IF(Table3[[#This Row],[Debut Year]]&lt;=2015,"2011–2015",
IF(Table3[[#This Row],[Debut Year]]&lt;=2020,"2016–2020",
"2021–2025")))))</f>
        <v>2016–2020</v>
      </c>
      <c r="I407" s="12">
        <v>8282.2999999999993</v>
      </c>
      <c r="J407" s="12">
        <v>6707</v>
      </c>
      <c r="K407" s="12">
        <v>1607.4</v>
      </c>
      <c r="L407" s="4">
        <v>999.5</v>
      </c>
      <c r="M407" s="6">
        <f>Table2[[#This Row],[% of Solo Streams]]/100</f>
        <v>0.12067903839999999</v>
      </c>
      <c r="N407" s="3">
        <v>7282.8</v>
      </c>
      <c r="O407" s="6">
        <f>Table2[[#This Row],[% of Collaborative Streams]]/100</f>
        <v>0.87932096159999995</v>
      </c>
      <c r="P407" s="4">
        <f>Table3[[#This Row],[Lead Streams (in millions)]]+Table3[[#This Row],[Feature Streams (in millions)]]</f>
        <v>8314.4</v>
      </c>
      <c r="Q407" s="4">
        <f>_xlfn.RANK.EQ(Table3[[#This Row],[Total Stream]],Table3[Total Stream],0)</f>
        <v>406</v>
      </c>
      <c r="R407" s="4">
        <f>Table3[[#This Row],[Total Streams (in millions)]]-Table3[[#This Row],[Total Stream]]</f>
        <v>-32.100000000000364</v>
      </c>
      <c r="S407" s="8">
        <f>IFERROR(Table3[[#This Row],[Collaborative Streams (in millions)]]/Table3[[#This Row],[Total Stream]],0)</f>
        <v>0.87592610410853466</v>
      </c>
      <c r="T407" t="str">
        <f>IF(Table3[[#This Row],[Total Streams (in millions)]]&gt;=50000,"High Performer",IF(Table3[[#This Row],[Total Streams (in millions)]]&gt;=20000,"Medium Performer","Low Performer"))</f>
        <v>Low Performer</v>
      </c>
    </row>
    <row r="408" spans="1:20" x14ac:dyDescent="0.3">
      <c r="A408" s="9" t="s">
        <v>491</v>
      </c>
      <c r="B408" s="9" t="s">
        <v>14</v>
      </c>
      <c r="C408" s="9" t="s">
        <v>128</v>
      </c>
      <c r="D408" s="9" t="s">
        <v>16</v>
      </c>
      <c r="E408" s="9" t="s">
        <v>60</v>
      </c>
      <c r="F408" s="9" t="s">
        <v>18</v>
      </c>
      <c r="G408" s="10">
        <v>2013</v>
      </c>
      <c r="H408" s="10" t="str">
        <f>IF(Table3[[#This Row],[Debut Year]]&lt;=2000,"1999–2000",
IF(Table3[[#This Row],[Debut Year]]&lt;=2005,"2001–2005",
IF(Table3[[#This Row],[Debut Year]]&lt;=2010,"2006–2010",
IF(Table3[[#This Row],[Debut Year]]&lt;=2015,"2011–2015",
IF(Table3[[#This Row],[Debut Year]]&lt;=2020,"2016–2020",
"2021–2025")))))</f>
        <v>2011–2015</v>
      </c>
      <c r="I408" s="10">
        <v>8278.7000000000007</v>
      </c>
      <c r="J408" s="10">
        <v>4898.7</v>
      </c>
      <c r="K408" s="10">
        <v>3389.6</v>
      </c>
      <c r="L408" s="4">
        <v>53.5</v>
      </c>
      <c r="M408" s="6">
        <f>Table2[[#This Row],[% of Solo Streams]]/100</f>
        <v>6.4623672799999999E-3</v>
      </c>
      <c r="N408" s="3">
        <v>8225.2000000000007</v>
      </c>
      <c r="O408" s="6">
        <f>Table2[[#This Row],[% of Collaborative Streams]]/100</f>
        <v>0.99353763270000006</v>
      </c>
      <c r="P408" s="4">
        <f>Table3[[#This Row],[Lead Streams (in millions)]]+Table3[[#This Row],[Feature Streams (in millions)]]</f>
        <v>8288.2999999999993</v>
      </c>
      <c r="Q408" s="4">
        <f>_xlfn.RANK.EQ(Table3[[#This Row],[Total Stream]],Table3[Total Stream],0)</f>
        <v>407</v>
      </c>
      <c r="R408" s="4">
        <f>Table3[[#This Row],[Total Streams (in millions)]]-Table3[[#This Row],[Total Stream]]</f>
        <v>-9.5999999999985448</v>
      </c>
      <c r="S408" s="8">
        <f>IFERROR(Table3[[#This Row],[Collaborative Streams (in millions)]]/Table3[[#This Row],[Total Stream]],0)</f>
        <v>0.99238685858378695</v>
      </c>
      <c r="T408" t="str">
        <f>IF(Table3[[#This Row],[Total Streams (in millions)]]&gt;=50000,"High Performer",IF(Table3[[#This Row],[Total Streams (in millions)]]&gt;=20000,"Medium Performer","Low Performer"))</f>
        <v>Low Performer</v>
      </c>
    </row>
    <row r="409" spans="1:20" x14ac:dyDescent="0.3">
      <c r="A409" s="11" t="s">
        <v>492</v>
      </c>
      <c r="B409" s="11" t="s">
        <v>14</v>
      </c>
      <c r="C409" s="11" t="s">
        <v>204</v>
      </c>
      <c r="D409" s="11" t="s">
        <v>16</v>
      </c>
      <c r="E409" s="11" t="s">
        <v>22</v>
      </c>
      <c r="F409" s="11" t="s">
        <v>18</v>
      </c>
      <c r="G409" s="12">
        <v>2010</v>
      </c>
      <c r="H409" s="12" t="str">
        <f>IF(Table3[[#This Row],[Debut Year]]&lt;=2000,"1999–2000",
IF(Table3[[#This Row],[Debut Year]]&lt;=2005,"2001–2005",
IF(Table3[[#This Row],[Debut Year]]&lt;=2010,"2006–2010",
IF(Table3[[#This Row],[Debut Year]]&lt;=2015,"2011–2015",
IF(Table3[[#This Row],[Debut Year]]&lt;=2020,"2016–2020",
"2021–2025")))))</f>
        <v>2006–2010</v>
      </c>
      <c r="I409" s="12">
        <v>8263</v>
      </c>
      <c r="J409" s="12">
        <v>3585.1</v>
      </c>
      <c r="K409" s="12">
        <v>4693.6000000000004</v>
      </c>
      <c r="L409" s="4">
        <v>6241</v>
      </c>
      <c r="M409" s="6">
        <f>Table2[[#This Row],[% of Solo Streams]]/100</f>
        <v>0.75529468719999993</v>
      </c>
      <c r="N409" s="3">
        <v>2022</v>
      </c>
      <c r="O409" s="6">
        <f>Table2[[#This Row],[% of Collaborative Streams]]/100</f>
        <v>0.24470531279999999</v>
      </c>
      <c r="P409" s="4">
        <f>Table3[[#This Row],[Lead Streams (in millions)]]+Table3[[#This Row],[Feature Streams (in millions)]]</f>
        <v>8278.7000000000007</v>
      </c>
      <c r="Q409" s="4">
        <f>_xlfn.RANK.EQ(Table3[[#This Row],[Total Stream]],Table3[Total Stream],0)</f>
        <v>408</v>
      </c>
      <c r="R409" s="4">
        <f>Table3[[#This Row],[Total Streams (in millions)]]-Table3[[#This Row],[Total Stream]]</f>
        <v>-15.700000000000728</v>
      </c>
      <c r="S409" s="8">
        <f>IFERROR(Table3[[#This Row],[Collaborative Streams (in millions)]]/Table3[[#This Row],[Total Stream]],0)</f>
        <v>0.24424124560619417</v>
      </c>
      <c r="T409" t="str">
        <f>IF(Table3[[#This Row],[Total Streams (in millions)]]&gt;=50000,"High Performer",IF(Table3[[#This Row],[Total Streams (in millions)]]&gt;=20000,"Medium Performer","Low Performer"))</f>
        <v>Low Performer</v>
      </c>
    </row>
    <row r="410" spans="1:20" x14ac:dyDescent="0.3">
      <c r="A410" s="9" t="s">
        <v>493</v>
      </c>
      <c r="B410" s="9" t="s">
        <v>14</v>
      </c>
      <c r="C410" s="9" t="s">
        <v>21</v>
      </c>
      <c r="D410" s="9" t="s">
        <v>16</v>
      </c>
      <c r="E410" s="9" t="s">
        <v>17</v>
      </c>
      <c r="F410" s="9" t="s">
        <v>18</v>
      </c>
      <c r="G410" s="10">
        <v>2017</v>
      </c>
      <c r="H410" s="10" t="str">
        <f>IF(Table3[[#This Row],[Debut Year]]&lt;=2000,"1999–2000",
IF(Table3[[#This Row],[Debut Year]]&lt;=2005,"2001–2005",
IF(Table3[[#This Row],[Debut Year]]&lt;=2010,"2006–2010",
IF(Table3[[#This Row],[Debut Year]]&lt;=2015,"2011–2015",
IF(Table3[[#This Row],[Debut Year]]&lt;=2020,"2016–2020",
"2021–2025")))))</f>
        <v>2016–2020</v>
      </c>
      <c r="I410" s="10">
        <v>8240.2000000000007</v>
      </c>
      <c r="J410" s="10">
        <v>6845.4</v>
      </c>
      <c r="K410" s="10">
        <v>1394.8</v>
      </c>
      <c r="L410" s="4">
        <v>2320.6999999999998</v>
      </c>
      <c r="M410" s="6">
        <f>Table2[[#This Row],[% of Solo Streams]]/100</f>
        <v>0.28163151380000001</v>
      </c>
      <c r="N410" s="3">
        <v>5919.5</v>
      </c>
      <c r="O410" s="6">
        <f>Table2[[#This Row],[% of Collaborative Streams]]/100</f>
        <v>0.71836848619999993</v>
      </c>
      <c r="P410" s="4">
        <f>Table3[[#This Row],[Lead Streams (in millions)]]+Table3[[#This Row],[Feature Streams (in millions)]]</f>
        <v>8240.1999999999989</v>
      </c>
      <c r="Q410" s="4">
        <f>_xlfn.RANK.EQ(Table3[[#This Row],[Total Stream]],Table3[Total Stream],0)</f>
        <v>409</v>
      </c>
      <c r="R410" s="4">
        <f>Table3[[#This Row],[Total Streams (in millions)]]-Table3[[#This Row],[Total Stream]]</f>
        <v>0</v>
      </c>
      <c r="S410" s="8">
        <f>IFERROR(Table3[[#This Row],[Collaborative Streams (in millions)]]/Table3[[#This Row],[Total Stream]],0)</f>
        <v>0.71836848620179128</v>
      </c>
      <c r="T410" t="str">
        <f>IF(Table3[[#This Row],[Total Streams (in millions)]]&gt;=50000,"High Performer",IF(Table3[[#This Row],[Total Streams (in millions)]]&gt;=20000,"Medium Performer","Low Performer"))</f>
        <v>Low Performer</v>
      </c>
    </row>
    <row r="411" spans="1:20" x14ac:dyDescent="0.3">
      <c r="A411" s="11" t="s">
        <v>494</v>
      </c>
      <c r="B411" s="11" t="s">
        <v>14</v>
      </c>
      <c r="C411" s="11" t="s">
        <v>21</v>
      </c>
      <c r="D411" s="11" t="s">
        <v>16</v>
      </c>
      <c r="E411" s="11" t="s">
        <v>17</v>
      </c>
      <c r="F411" s="11" t="s">
        <v>18</v>
      </c>
      <c r="G411" s="12">
        <v>1992</v>
      </c>
      <c r="H411" s="12" t="str">
        <f>IF(Table3[[#This Row],[Debut Year]]&lt;=2000,"1999–2000",
IF(Table3[[#This Row],[Debut Year]]&lt;=2005,"2001–2005",
IF(Table3[[#This Row],[Debut Year]]&lt;=2010,"2006–2010",
IF(Table3[[#This Row],[Debut Year]]&lt;=2015,"2011–2015",
IF(Table3[[#This Row],[Debut Year]]&lt;=2020,"2016–2020",
"2021–2025")))))</f>
        <v>1999–2000</v>
      </c>
      <c r="I411" s="12">
        <v>8235.9</v>
      </c>
      <c r="J411" s="12">
        <v>1236.7</v>
      </c>
      <c r="K411" s="12">
        <v>6999.2</v>
      </c>
      <c r="L411" s="4">
        <v>228.2</v>
      </c>
      <c r="M411" s="6">
        <f>Table2[[#This Row],[% of Solo Streams]]/100</f>
        <v>2.7707961490000002E-2</v>
      </c>
      <c r="N411" s="3">
        <v>8007.7</v>
      </c>
      <c r="O411" s="6">
        <f>Table2[[#This Row],[% of Collaborative Streams]]/100</f>
        <v>0.97229203850000001</v>
      </c>
      <c r="P411" s="4">
        <f>Table3[[#This Row],[Lead Streams (in millions)]]+Table3[[#This Row],[Feature Streams (in millions)]]</f>
        <v>8235.9</v>
      </c>
      <c r="Q411" s="4">
        <f>_xlfn.RANK.EQ(Table3[[#This Row],[Total Stream]],Table3[Total Stream],0)</f>
        <v>410</v>
      </c>
      <c r="R411" s="4">
        <f>Table3[[#This Row],[Total Streams (in millions)]]-Table3[[#This Row],[Total Stream]]</f>
        <v>0</v>
      </c>
      <c r="S411" s="8">
        <f>IFERROR(Table3[[#This Row],[Collaborative Streams (in millions)]]/Table3[[#This Row],[Total Stream]],0)</f>
        <v>0.97229203851430934</v>
      </c>
      <c r="T411" t="str">
        <f>IF(Table3[[#This Row],[Total Streams (in millions)]]&gt;=50000,"High Performer",IF(Table3[[#This Row],[Total Streams (in millions)]]&gt;=20000,"Medium Performer","Low Performer"))</f>
        <v>Low Performer</v>
      </c>
    </row>
    <row r="412" spans="1:20" x14ac:dyDescent="0.3">
      <c r="A412" s="9" t="s">
        <v>495</v>
      </c>
      <c r="B412" s="9" t="s">
        <v>14</v>
      </c>
      <c r="C412" s="9" t="s">
        <v>21</v>
      </c>
      <c r="D412" s="9" t="s">
        <v>24</v>
      </c>
      <c r="E412" s="9" t="s">
        <v>25</v>
      </c>
      <c r="F412" s="9" t="s">
        <v>18</v>
      </c>
      <c r="G412" s="10">
        <v>2014</v>
      </c>
      <c r="H412" s="10" t="str">
        <f>IF(Table3[[#This Row],[Debut Year]]&lt;=2000,"1999–2000",
IF(Table3[[#This Row],[Debut Year]]&lt;=2005,"2001–2005",
IF(Table3[[#This Row],[Debut Year]]&lt;=2010,"2006–2010",
IF(Table3[[#This Row],[Debut Year]]&lt;=2015,"2011–2015",
IF(Table3[[#This Row],[Debut Year]]&lt;=2020,"2016–2020",
"2021–2025")))))</f>
        <v>2011–2015</v>
      </c>
      <c r="I412" s="10">
        <v>8216.5</v>
      </c>
      <c r="J412" s="10">
        <v>760.9</v>
      </c>
      <c r="K412" s="10">
        <v>7455.6</v>
      </c>
      <c r="L412" s="4">
        <v>196.8</v>
      </c>
      <c r="M412" s="6">
        <f>Table2[[#This Row],[% of Solo Streams]]/100</f>
        <v>2.3951804300000001E-2</v>
      </c>
      <c r="N412" s="3">
        <v>8019.7</v>
      </c>
      <c r="O412" s="6">
        <f>Table2[[#This Row],[% of Collaborative Streams]]/100</f>
        <v>0.97604819570000001</v>
      </c>
      <c r="P412" s="4">
        <f>Table3[[#This Row],[Lead Streams (in millions)]]+Table3[[#This Row],[Feature Streams (in millions)]]</f>
        <v>8216.5</v>
      </c>
      <c r="Q412" s="4">
        <f>_xlfn.RANK.EQ(Table3[[#This Row],[Total Stream]],Table3[Total Stream],0)</f>
        <v>411</v>
      </c>
      <c r="R412" s="4">
        <f>Table3[[#This Row],[Total Streams (in millions)]]-Table3[[#This Row],[Total Stream]]</f>
        <v>0</v>
      </c>
      <c r="S412" s="8">
        <f>IFERROR(Table3[[#This Row],[Collaborative Streams (in millions)]]/Table3[[#This Row],[Total Stream]],0)</f>
        <v>0.97604819570376677</v>
      </c>
      <c r="T412" t="str">
        <f>IF(Table3[[#This Row],[Total Streams (in millions)]]&gt;=50000,"High Performer",IF(Table3[[#This Row],[Total Streams (in millions)]]&gt;=20000,"Medium Performer","Low Performer"))</f>
        <v>Low Performer</v>
      </c>
    </row>
    <row r="413" spans="1:20" x14ac:dyDescent="0.3">
      <c r="A413" s="11" t="s">
        <v>496</v>
      </c>
      <c r="B413" s="11" t="s">
        <v>14</v>
      </c>
      <c r="C413" s="11" t="s">
        <v>89</v>
      </c>
      <c r="D413" s="11" t="s">
        <v>24</v>
      </c>
      <c r="E413" s="11" t="s">
        <v>90</v>
      </c>
      <c r="F413" s="11" t="s">
        <v>18</v>
      </c>
      <c r="G413" s="12">
        <v>1966</v>
      </c>
      <c r="H413" s="12" t="str">
        <f>IF(Table3[[#This Row],[Debut Year]]&lt;=2000,"1999–2000",
IF(Table3[[#This Row],[Debut Year]]&lt;=2005,"2001–2005",
IF(Table3[[#This Row],[Debut Year]]&lt;=2010,"2006–2010",
IF(Table3[[#This Row],[Debut Year]]&lt;=2015,"2011–2015",
IF(Table3[[#This Row],[Debut Year]]&lt;=2020,"2016–2020",
"2021–2025")))))</f>
        <v>1999–2000</v>
      </c>
      <c r="I413" s="12">
        <v>8205.4</v>
      </c>
      <c r="J413" s="12">
        <v>8009</v>
      </c>
      <c r="K413" s="12">
        <v>204.5</v>
      </c>
      <c r="L413" s="4">
        <v>7878.1</v>
      </c>
      <c r="M413" s="6">
        <f>Table2[[#This Row],[% of Solo Streams]]/100</f>
        <v>0.96011163379999998</v>
      </c>
      <c r="N413" s="3">
        <v>327.3</v>
      </c>
      <c r="O413" s="6">
        <f>Table2[[#This Row],[% of Collaborative Streams]]/100</f>
        <v>3.9888366199999997E-2</v>
      </c>
      <c r="P413" s="4">
        <f>Table3[[#This Row],[Lead Streams (in millions)]]+Table3[[#This Row],[Feature Streams (in millions)]]</f>
        <v>8213.5</v>
      </c>
      <c r="Q413" s="4">
        <f>_xlfn.RANK.EQ(Table3[[#This Row],[Total Stream]],Table3[Total Stream],0)</f>
        <v>412</v>
      </c>
      <c r="R413" s="4">
        <f>Table3[[#This Row],[Total Streams (in millions)]]-Table3[[#This Row],[Total Stream]]</f>
        <v>-8.1000000000003638</v>
      </c>
      <c r="S413" s="8">
        <f>IFERROR(Table3[[#This Row],[Collaborative Streams (in millions)]]/Table3[[#This Row],[Total Stream]],0)</f>
        <v>3.9849029037560116E-2</v>
      </c>
      <c r="T413" t="str">
        <f>IF(Table3[[#This Row],[Total Streams (in millions)]]&gt;=50000,"High Performer",IF(Table3[[#This Row],[Total Streams (in millions)]]&gt;=20000,"Medium Performer","Low Performer"))</f>
        <v>Low Performer</v>
      </c>
    </row>
    <row r="414" spans="1:20" x14ac:dyDescent="0.3">
      <c r="A414" s="9" t="s">
        <v>497</v>
      </c>
      <c r="B414" s="9" t="s">
        <v>14</v>
      </c>
      <c r="C414" s="9" t="s">
        <v>15</v>
      </c>
      <c r="D414" s="9" t="s">
        <v>16</v>
      </c>
      <c r="E414" s="9" t="s">
        <v>51</v>
      </c>
      <c r="F414" s="9" t="s">
        <v>48</v>
      </c>
      <c r="G414" s="10">
        <v>2003</v>
      </c>
      <c r="H414" s="10" t="str">
        <f>IF(Table3[[#This Row],[Debut Year]]&lt;=2000,"1999–2000",
IF(Table3[[#This Row],[Debut Year]]&lt;=2005,"2001–2005",
IF(Table3[[#This Row],[Debut Year]]&lt;=2010,"2006–2010",
IF(Table3[[#This Row],[Debut Year]]&lt;=2015,"2011–2015",
IF(Table3[[#This Row],[Debut Year]]&lt;=2020,"2016–2020",
"2021–2025")))))</f>
        <v>2001–2005</v>
      </c>
      <c r="I414" s="10">
        <v>8203</v>
      </c>
      <c r="J414" s="10">
        <v>7983.1</v>
      </c>
      <c r="K414" s="10">
        <v>224.9</v>
      </c>
      <c r="L414" s="4">
        <v>7947.8</v>
      </c>
      <c r="M414" s="6">
        <f>Table2[[#This Row],[% of Solo Streams]]/100</f>
        <v>0.9688894307</v>
      </c>
      <c r="N414" s="3">
        <v>255.2</v>
      </c>
      <c r="O414" s="6">
        <f>Table2[[#This Row],[% of Collaborative Streams]]/100</f>
        <v>3.1110569300000002E-2</v>
      </c>
      <c r="P414" s="4">
        <f>Table3[[#This Row],[Lead Streams (in millions)]]+Table3[[#This Row],[Feature Streams (in millions)]]</f>
        <v>8208</v>
      </c>
      <c r="Q414" s="4">
        <f>_xlfn.RANK.EQ(Table3[[#This Row],[Total Stream]],Table3[Total Stream],0)</f>
        <v>413</v>
      </c>
      <c r="R414" s="4">
        <f>Table3[[#This Row],[Total Streams (in millions)]]-Table3[[#This Row],[Total Stream]]</f>
        <v>-5</v>
      </c>
      <c r="S414" s="8">
        <f>IFERROR(Table3[[#This Row],[Collaborative Streams (in millions)]]/Table3[[#This Row],[Total Stream]],0)</f>
        <v>3.1091617933723194E-2</v>
      </c>
      <c r="T414" t="str">
        <f>IF(Table3[[#This Row],[Total Streams (in millions)]]&gt;=50000,"High Performer",IF(Table3[[#This Row],[Total Streams (in millions)]]&gt;=20000,"Medium Performer","Low Performer"))</f>
        <v>Low Performer</v>
      </c>
    </row>
    <row r="415" spans="1:20" x14ac:dyDescent="0.3">
      <c r="A415" s="11" t="s">
        <v>498</v>
      </c>
      <c r="B415" s="11" t="s">
        <v>78</v>
      </c>
      <c r="C415" s="11" t="s">
        <v>21</v>
      </c>
      <c r="D415" s="11" t="s">
        <v>16</v>
      </c>
      <c r="E415" s="11" t="s">
        <v>51</v>
      </c>
      <c r="F415" s="11" t="s">
        <v>48</v>
      </c>
      <c r="G415" s="12">
        <v>1973</v>
      </c>
      <c r="H415" s="12" t="str">
        <f>IF(Table3[[#This Row],[Debut Year]]&lt;=2000,"1999–2000",
IF(Table3[[#This Row],[Debut Year]]&lt;=2005,"2001–2005",
IF(Table3[[#This Row],[Debut Year]]&lt;=2010,"2006–2010",
IF(Table3[[#This Row],[Debut Year]]&lt;=2015,"2011–2015",
IF(Table3[[#This Row],[Debut Year]]&lt;=2020,"2016–2020",
"2021–2025")))))</f>
        <v>1999–2000</v>
      </c>
      <c r="I415" s="12">
        <v>8200.1</v>
      </c>
      <c r="J415" s="12">
        <v>7224.1</v>
      </c>
      <c r="K415" s="12">
        <v>979.3</v>
      </c>
      <c r="L415" s="4">
        <v>7171.3</v>
      </c>
      <c r="M415" s="6">
        <f>Table2[[#This Row],[% of Solo Streams]]/100</f>
        <v>0.87453811540000004</v>
      </c>
      <c r="N415" s="3">
        <v>1028.8</v>
      </c>
      <c r="O415" s="6">
        <f>Table2[[#This Row],[% of Collaborative Streams]]/100</f>
        <v>0.12546188459999999</v>
      </c>
      <c r="P415" s="4">
        <f>Table3[[#This Row],[Lead Streams (in millions)]]+Table3[[#This Row],[Feature Streams (in millions)]]</f>
        <v>8203.4</v>
      </c>
      <c r="Q415" s="4">
        <f>_xlfn.RANK.EQ(Table3[[#This Row],[Total Stream]],Table3[Total Stream],0)</f>
        <v>414</v>
      </c>
      <c r="R415" s="4">
        <f>Table3[[#This Row],[Total Streams (in millions)]]-Table3[[#This Row],[Total Stream]]</f>
        <v>-3.2999999999992724</v>
      </c>
      <c r="S415" s="8">
        <f>IFERROR(Table3[[#This Row],[Collaborative Streams (in millions)]]/Table3[[#This Row],[Total Stream]],0)</f>
        <v>0.12541141477923787</v>
      </c>
      <c r="T415" t="str">
        <f>IF(Table3[[#This Row],[Total Streams (in millions)]]&gt;=50000,"High Performer",IF(Table3[[#This Row],[Total Streams (in millions)]]&gt;=20000,"Medium Performer","Low Performer"))</f>
        <v>Low Performer</v>
      </c>
    </row>
    <row r="416" spans="1:20" x14ac:dyDescent="0.3">
      <c r="A416" s="9" t="s">
        <v>499</v>
      </c>
      <c r="B416" s="9" t="s">
        <v>14</v>
      </c>
      <c r="C416" s="9" t="s">
        <v>33</v>
      </c>
      <c r="D416" s="9" t="s">
        <v>16</v>
      </c>
      <c r="E416" s="9" t="s">
        <v>22</v>
      </c>
      <c r="F416" s="9" t="s">
        <v>48</v>
      </c>
      <c r="G416" s="10">
        <v>1963</v>
      </c>
      <c r="H416" s="10" t="str">
        <f>IF(Table3[[#This Row],[Debut Year]]&lt;=2000,"1999–2000",
IF(Table3[[#This Row],[Debut Year]]&lt;=2005,"2001–2005",
IF(Table3[[#This Row],[Debut Year]]&lt;=2010,"2006–2010",
IF(Table3[[#This Row],[Debut Year]]&lt;=2015,"2011–2015",
IF(Table3[[#This Row],[Debut Year]]&lt;=2020,"2016–2020",
"2021–2025")))))</f>
        <v>1999–2000</v>
      </c>
      <c r="I416" s="10">
        <v>8197.2000000000007</v>
      </c>
      <c r="J416" s="10">
        <v>8080.4</v>
      </c>
      <c r="K416" s="10">
        <v>120.7</v>
      </c>
      <c r="L416" s="4">
        <v>7892.6</v>
      </c>
      <c r="M416" s="6">
        <f>Table2[[#This Row],[% of Solo Streams]]/100</f>
        <v>0.96284097009999992</v>
      </c>
      <c r="N416" s="3">
        <v>304.60000000000002</v>
      </c>
      <c r="O416" s="6">
        <f>Table2[[#This Row],[% of Collaborative Streams]]/100</f>
        <v>3.7159029910000002E-2</v>
      </c>
      <c r="P416" s="4">
        <f>Table3[[#This Row],[Lead Streams (in millions)]]+Table3[[#This Row],[Feature Streams (in millions)]]</f>
        <v>8201.1</v>
      </c>
      <c r="Q416" s="4">
        <f>_xlfn.RANK.EQ(Table3[[#This Row],[Total Stream]],Table3[Total Stream],0)</f>
        <v>415</v>
      </c>
      <c r="R416" s="4">
        <f>Table3[[#This Row],[Total Streams (in millions)]]-Table3[[#This Row],[Total Stream]]</f>
        <v>-3.8999999999996362</v>
      </c>
      <c r="S416" s="8">
        <f>IFERROR(Table3[[#This Row],[Collaborative Streams (in millions)]]/Table3[[#This Row],[Total Stream]],0)</f>
        <v>3.7141359085976274E-2</v>
      </c>
      <c r="T416" t="str">
        <f>IF(Table3[[#This Row],[Total Streams (in millions)]]&gt;=50000,"High Performer",IF(Table3[[#This Row],[Total Streams (in millions)]]&gt;=20000,"Medium Performer","Low Performer"))</f>
        <v>Low Performer</v>
      </c>
    </row>
    <row r="417" spans="1:20" x14ac:dyDescent="0.3">
      <c r="A417" s="11" t="s">
        <v>500</v>
      </c>
      <c r="B417" s="11" t="s">
        <v>14</v>
      </c>
      <c r="C417" s="11" t="s">
        <v>501</v>
      </c>
      <c r="D417" s="11" t="s">
        <v>72</v>
      </c>
      <c r="E417" s="11" t="s">
        <v>73</v>
      </c>
      <c r="F417" s="11" t="s">
        <v>18</v>
      </c>
      <c r="G417" s="12">
        <v>1980</v>
      </c>
      <c r="H417" s="12" t="str">
        <f>IF(Table3[[#This Row],[Debut Year]]&lt;=2000,"1999–2000",
IF(Table3[[#This Row],[Debut Year]]&lt;=2005,"2001–2005",
IF(Table3[[#This Row],[Debut Year]]&lt;=2010,"2006–2010",
IF(Table3[[#This Row],[Debut Year]]&lt;=2015,"2011–2015",
IF(Table3[[#This Row],[Debut Year]]&lt;=2020,"2016–2020",
"2021–2025")))))</f>
        <v>1999–2000</v>
      </c>
      <c r="I417" s="12">
        <v>8186.9</v>
      </c>
      <c r="J417" s="12">
        <v>3408.5</v>
      </c>
      <c r="K417" s="12">
        <v>4789.5</v>
      </c>
      <c r="L417" s="4">
        <v>515.9</v>
      </c>
      <c r="M417" s="6">
        <f>Table2[[#This Row],[% of Solo Streams]]/100</f>
        <v>6.3015304940000003E-2</v>
      </c>
      <c r="N417" s="3">
        <v>7671</v>
      </c>
      <c r="O417" s="6">
        <f>Table2[[#This Row],[% of Collaborative Streams]]/100</f>
        <v>0.93698469509999993</v>
      </c>
      <c r="P417" s="4">
        <f>Table3[[#This Row],[Lead Streams (in millions)]]+Table3[[#This Row],[Feature Streams (in millions)]]</f>
        <v>8198</v>
      </c>
      <c r="Q417" s="4">
        <f>_xlfn.RANK.EQ(Table3[[#This Row],[Total Stream]],Table3[Total Stream],0)</f>
        <v>416</v>
      </c>
      <c r="R417" s="4">
        <f>Table3[[#This Row],[Total Streams (in millions)]]-Table3[[#This Row],[Total Stream]]</f>
        <v>-11.100000000000364</v>
      </c>
      <c r="S417" s="8">
        <f>IFERROR(Table3[[#This Row],[Collaborative Streams (in millions)]]/Table3[[#This Row],[Total Stream]],0)</f>
        <v>0.93571602829958522</v>
      </c>
      <c r="T417" t="str">
        <f>IF(Table3[[#This Row],[Total Streams (in millions)]]&gt;=50000,"High Performer",IF(Table3[[#This Row],[Total Streams (in millions)]]&gt;=20000,"Medium Performer","Low Performer"))</f>
        <v>Low Performer</v>
      </c>
    </row>
    <row r="418" spans="1:20" x14ac:dyDescent="0.3">
      <c r="A418" s="9" t="s">
        <v>502</v>
      </c>
      <c r="B418" s="9" t="s">
        <v>14</v>
      </c>
      <c r="C418" s="9" t="s">
        <v>42</v>
      </c>
      <c r="D418" s="9" t="s">
        <v>24</v>
      </c>
      <c r="E418" s="9" t="s">
        <v>82</v>
      </c>
      <c r="F418" s="9" t="s">
        <v>48</v>
      </c>
      <c r="G418" s="10">
        <v>2012</v>
      </c>
      <c r="H418" s="10" t="str">
        <f>IF(Table3[[#This Row],[Debut Year]]&lt;=2000,"1999–2000",
IF(Table3[[#This Row],[Debut Year]]&lt;=2005,"2001–2005",
IF(Table3[[#This Row],[Debut Year]]&lt;=2010,"2006–2010",
IF(Table3[[#This Row],[Debut Year]]&lt;=2015,"2011–2015",
IF(Table3[[#This Row],[Debut Year]]&lt;=2020,"2016–2020",
"2021–2025")))))</f>
        <v>2011–2015</v>
      </c>
      <c r="I418" s="10">
        <v>8164.9</v>
      </c>
      <c r="J418" s="10">
        <v>7391.5</v>
      </c>
      <c r="K418" s="10">
        <v>775.8</v>
      </c>
      <c r="L418" s="4">
        <v>1621.1</v>
      </c>
      <c r="M418" s="6">
        <f>Table2[[#This Row],[% of Solo Streams]]/100</f>
        <v>0.19854499140000001</v>
      </c>
      <c r="N418" s="3">
        <v>6543.8</v>
      </c>
      <c r="O418" s="6">
        <f>Table2[[#This Row],[% of Collaborative Streams]]/100</f>
        <v>0.80145500859999996</v>
      </c>
      <c r="P418" s="4">
        <f>Table3[[#This Row],[Lead Streams (in millions)]]+Table3[[#This Row],[Feature Streams (in millions)]]</f>
        <v>8167.3</v>
      </c>
      <c r="Q418" s="4">
        <f>_xlfn.RANK.EQ(Table3[[#This Row],[Total Stream]],Table3[Total Stream],0)</f>
        <v>417</v>
      </c>
      <c r="R418" s="4">
        <f>Table3[[#This Row],[Total Streams (in millions)]]-Table3[[#This Row],[Total Stream]]</f>
        <v>-2.4000000000005457</v>
      </c>
      <c r="S418" s="8">
        <f>IFERROR(Table3[[#This Row],[Collaborative Streams (in millions)]]/Table3[[#This Row],[Total Stream]],0)</f>
        <v>0.80121949726347752</v>
      </c>
      <c r="T418" t="str">
        <f>IF(Table3[[#This Row],[Total Streams (in millions)]]&gt;=50000,"High Performer",IF(Table3[[#This Row],[Total Streams (in millions)]]&gt;=20000,"Medium Performer","Low Performer"))</f>
        <v>Low Performer</v>
      </c>
    </row>
    <row r="419" spans="1:20" x14ac:dyDescent="0.3">
      <c r="A419" s="11" t="s">
        <v>503</v>
      </c>
      <c r="B419" s="11" t="s">
        <v>14</v>
      </c>
      <c r="C419" s="11" t="s">
        <v>21</v>
      </c>
      <c r="D419" s="11" t="s">
        <v>16</v>
      </c>
      <c r="E419" s="11" t="s">
        <v>17</v>
      </c>
      <c r="F419" s="11" t="s">
        <v>18</v>
      </c>
      <c r="G419" s="12">
        <v>2015</v>
      </c>
      <c r="H419" s="12" t="str">
        <f>IF(Table3[[#This Row],[Debut Year]]&lt;=2000,"1999–2000",
IF(Table3[[#This Row],[Debut Year]]&lt;=2005,"2001–2005",
IF(Table3[[#This Row],[Debut Year]]&lt;=2010,"2006–2010",
IF(Table3[[#This Row],[Debut Year]]&lt;=2015,"2011–2015",
IF(Table3[[#This Row],[Debut Year]]&lt;=2020,"2016–2020",
"2021–2025")))))</f>
        <v>2011–2015</v>
      </c>
      <c r="I419" s="12">
        <v>8148</v>
      </c>
      <c r="J419" s="12">
        <v>7808</v>
      </c>
      <c r="K419" s="12">
        <v>340</v>
      </c>
      <c r="L419" s="4">
        <v>6616.8</v>
      </c>
      <c r="M419" s="6">
        <f>Table2[[#This Row],[% of Solo Streams]]/100</f>
        <v>0.81207658319999998</v>
      </c>
      <c r="N419" s="3">
        <v>1531.2</v>
      </c>
      <c r="O419" s="6">
        <f>Table2[[#This Row],[% of Collaborative Streams]]/100</f>
        <v>0.18792341679999999</v>
      </c>
      <c r="P419" s="4">
        <f>Table3[[#This Row],[Lead Streams (in millions)]]+Table3[[#This Row],[Feature Streams (in millions)]]</f>
        <v>8148</v>
      </c>
      <c r="Q419" s="4">
        <f>_xlfn.RANK.EQ(Table3[[#This Row],[Total Stream]],Table3[Total Stream],0)</f>
        <v>418</v>
      </c>
      <c r="R419" s="4">
        <f>Table3[[#This Row],[Total Streams (in millions)]]-Table3[[#This Row],[Total Stream]]</f>
        <v>0</v>
      </c>
      <c r="S419" s="8">
        <f>IFERROR(Table3[[#This Row],[Collaborative Streams (in millions)]]/Table3[[#This Row],[Total Stream]],0)</f>
        <v>0.18792341678939617</v>
      </c>
      <c r="T419" t="str">
        <f>IF(Table3[[#This Row],[Total Streams (in millions)]]&gt;=50000,"High Performer",IF(Table3[[#This Row],[Total Streams (in millions)]]&gt;=20000,"Medium Performer","Low Performer"))</f>
        <v>Low Performer</v>
      </c>
    </row>
    <row r="420" spans="1:20" x14ac:dyDescent="0.3">
      <c r="A420" s="9" t="s">
        <v>504</v>
      </c>
      <c r="B420" s="9" t="s">
        <v>14</v>
      </c>
      <c r="C420" s="9" t="s">
        <v>94</v>
      </c>
      <c r="D420" s="9" t="s">
        <v>16</v>
      </c>
      <c r="E420" s="9" t="s">
        <v>272</v>
      </c>
      <c r="F420" s="9" t="s">
        <v>18</v>
      </c>
      <c r="G420" s="10">
        <v>2013</v>
      </c>
      <c r="H420" s="10" t="str">
        <f>IF(Table3[[#This Row],[Debut Year]]&lt;=2000,"1999–2000",
IF(Table3[[#This Row],[Debut Year]]&lt;=2005,"2001–2005",
IF(Table3[[#This Row],[Debut Year]]&lt;=2010,"2006–2010",
IF(Table3[[#This Row],[Debut Year]]&lt;=2015,"2011–2015",
IF(Table3[[#This Row],[Debut Year]]&lt;=2020,"2016–2020",
"2021–2025")))))</f>
        <v>2011–2015</v>
      </c>
      <c r="I420" s="10">
        <v>8092.2</v>
      </c>
      <c r="J420" s="10">
        <v>7918.7</v>
      </c>
      <c r="K420" s="10">
        <v>176.9</v>
      </c>
      <c r="L420" s="4">
        <v>7804.3</v>
      </c>
      <c r="M420" s="6">
        <f>Table2[[#This Row],[% of Solo Streams]]/100</f>
        <v>0.96442253030000002</v>
      </c>
      <c r="N420" s="3">
        <v>287.89999999999998</v>
      </c>
      <c r="O420" s="6">
        <f>Table2[[#This Row],[% of Collaborative Streams]]/100</f>
        <v>3.557746966E-2</v>
      </c>
      <c r="P420" s="4">
        <f>Table3[[#This Row],[Lead Streams (in millions)]]+Table3[[#This Row],[Feature Streams (in millions)]]</f>
        <v>8095.5999999999995</v>
      </c>
      <c r="Q420" s="4">
        <f>_xlfn.RANK.EQ(Table3[[#This Row],[Total Stream]],Table3[Total Stream],0)</f>
        <v>419</v>
      </c>
      <c r="R420" s="4">
        <f>Table3[[#This Row],[Total Streams (in millions)]]-Table3[[#This Row],[Total Stream]]</f>
        <v>-3.3999999999996362</v>
      </c>
      <c r="S420" s="8">
        <f>IFERROR(Table3[[#This Row],[Collaborative Streams (in millions)]]/Table3[[#This Row],[Total Stream]],0)</f>
        <v>3.5562527792875144E-2</v>
      </c>
      <c r="T420" t="str">
        <f>IF(Table3[[#This Row],[Total Streams (in millions)]]&gt;=50000,"High Performer",IF(Table3[[#This Row],[Total Streams (in millions)]]&gt;=20000,"Medium Performer","Low Performer"))</f>
        <v>Low Performer</v>
      </c>
    </row>
    <row r="421" spans="1:20" x14ac:dyDescent="0.3">
      <c r="A421" s="11" t="s">
        <v>505</v>
      </c>
      <c r="B421" s="11" t="s">
        <v>14</v>
      </c>
      <c r="C421" s="11" t="s">
        <v>21</v>
      </c>
      <c r="D421" s="11" t="s">
        <v>16</v>
      </c>
      <c r="E421" s="11" t="s">
        <v>272</v>
      </c>
      <c r="F421" s="11" t="s">
        <v>18</v>
      </c>
      <c r="G421" s="12">
        <v>2007</v>
      </c>
      <c r="H421" s="12" t="str">
        <f>IF(Table3[[#This Row],[Debut Year]]&lt;=2000,"1999–2000",
IF(Table3[[#This Row],[Debut Year]]&lt;=2005,"2001–2005",
IF(Table3[[#This Row],[Debut Year]]&lt;=2010,"2006–2010",
IF(Table3[[#This Row],[Debut Year]]&lt;=2015,"2011–2015",
IF(Table3[[#This Row],[Debut Year]]&lt;=2020,"2016–2020",
"2021–2025")))))</f>
        <v>2006–2010</v>
      </c>
      <c r="I421" s="12">
        <v>8065.4</v>
      </c>
      <c r="J421" s="12">
        <v>7161.8</v>
      </c>
      <c r="K421" s="12">
        <v>905.7</v>
      </c>
      <c r="L421" s="4">
        <v>4817</v>
      </c>
      <c r="M421" s="6">
        <f>Table2[[#This Row],[% of Solo Streams]]/100</f>
        <v>0.59724254219999995</v>
      </c>
      <c r="N421" s="3">
        <v>3248.4</v>
      </c>
      <c r="O421" s="6">
        <f>Table2[[#This Row],[% of Collaborative Streams]]/100</f>
        <v>0.4027574578</v>
      </c>
      <c r="P421" s="4">
        <f>Table3[[#This Row],[Lead Streams (in millions)]]+Table3[[#This Row],[Feature Streams (in millions)]]</f>
        <v>8067.5</v>
      </c>
      <c r="Q421" s="4">
        <f>_xlfn.RANK.EQ(Table3[[#This Row],[Total Stream]],Table3[Total Stream],0)</f>
        <v>420</v>
      </c>
      <c r="R421" s="4">
        <f>Table3[[#This Row],[Total Streams (in millions)]]-Table3[[#This Row],[Total Stream]]</f>
        <v>-2.1000000000003638</v>
      </c>
      <c r="S421" s="8">
        <f>IFERROR(Table3[[#This Row],[Collaborative Streams (in millions)]]/Table3[[#This Row],[Total Stream]],0)</f>
        <v>0.40265261853114348</v>
      </c>
      <c r="T421" t="str">
        <f>IF(Table3[[#This Row],[Total Streams (in millions)]]&gt;=50000,"High Performer",IF(Table3[[#This Row],[Total Streams (in millions)]]&gt;=20000,"Medium Performer","Low Performer"))</f>
        <v>Low Performer</v>
      </c>
    </row>
    <row r="422" spans="1:20" x14ac:dyDescent="0.3">
      <c r="A422" s="9" t="s">
        <v>506</v>
      </c>
      <c r="B422" s="9" t="s">
        <v>14</v>
      </c>
      <c r="C422" s="9" t="s">
        <v>21</v>
      </c>
      <c r="D422" s="9" t="s">
        <v>24</v>
      </c>
      <c r="E422" s="9" t="s">
        <v>90</v>
      </c>
      <c r="F422" s="9" t="s">
        <v>48</v>
      </c>
      <c r="G422" s="10">
        <v>2020</v>
      </c>
      <c r="H422" s="10" t="str">
        <f>IF(Table3[[#This Row],[Debut Year]]&lt;=2000,"1999–2000",
IF(Table3[[#This Row],[Debut Year]]&lt;=2005,"2001–2005",
IF(Table3[[#This Row],[Debut Year]]&lt;=2010,"2006–2010",
IF(Table3[[#This Row],[Debut Year]]&lt;=2015,"2011–2015",
IF(Table3[[#This Row],[Debut Year]]&lt;=2020,"2016–2020",
"2021–2025")))))</f>
        <v>2016–2020</v>
      </c>
      <c r="I422" s="10">
        <v>8063.4</v>
      </c>
      <c r="J422" s="10">
        <v>5540.4</v>
      </c>
      <c r="K422" s="10">
        <v>2525</v>
      </c>
      <c r="L422" s="4">
        <v>3610.3</v>
      </c>
      <c r="M422" s="6">
        <f>Table2[[#This Row],[% of Solo Streams]]/100</f>
        <v>0.4477391671</v>
      </c>
      <c r="N422" s="3">
        <v>4453.1000000000004</v>
      </c>
      <c r="O422" s="6">
        <f>Table2[[#This Row],[% of Collaborative Streams]]/100</f>
        <v>0.55226083289999994</v>
      </c>
      <c r="P422" s="4">
        <f>Table3[[#This Row],[Lead Streams (in millions)]]+Table3[[#This Row],[Feature Streams (in millions)]]</f>
        <v>8065.4</v>
      </c>
      <c r="Q422" s="4">
        <f>_xlfn.RANK.EQ(Table3[[#This Row],[Total Stream]],Table3[Total Stream],0)</f>
        <v>421</v>
      </c>
      <c r="R422" s="4">
        <f>Table3[[#This Row],[Total Streams (in millions)]]-Table3[[#This Row],[Total Stream]]</f>
        <v>-2</v>
      </c>
      <c r="S422" s="8">
        <f>IFERROR(Table3[[#This Row],[Collaborative Streams (in millions)]]/Table3[[#This Row],[Total Stream]],0)</f>
        <v>0.5521238872219606</v>
      </c>
      <c r="T422" t="str">
        <f>IF(Table3[[#This Row],[Total Streams (in millions)]]&gt;=50000,"High Performer",IF(Table3[[#This Row],[Total Streams (in millions)]]&gt;=20000,"Medium Performer","Low Performer"))</f>
        <v>Low Performer</v>
      </c>
    </row>
    <row r="423" spans="1:20" x14ac:dyDescent="0.3">
      <c r="A423" s="11" t="s">
        <v>507</v>
      </c>
      <c r="B423" s="11" t="s">
        <v>20</v>
      </c>
      <c r="C423" s="11" t="s">
        <v>45</v>
      </c>
      <c r="D423" s="11" t="s">
        <v>46</v>
      </c>
      <c r="E423" s="11" t="s">
        <v>47</v>
      </c>
      <c r="F423" s="11" t="s">
        <v>18</v>
      </c>
      <c r="G423" s="12">
        <v>2016</v>
      </c>
      <c r="H423" s="12" t="str">
        <f>IF(Table3[[#This Row],[Debut Year]]&lt;=2000,"1999–2000",
IF(Table3[[#This Row],[Debut Year]]&lt;=2005,"2001–2005",
IF(Table3[[#This Row],[Debut Year]]&lt;=2010,"2006–2010",
IF(Table3[[#This Row],[Debut Year]]&lt;=2015,"2011–2015",
IF(Table3[[#This Row],[Debut Year]]&lt;=2020,"2016–2020",
"2021–2025")))))</f>
        <v>2016–2020</v>
      </c>
      <c r="I423" s="12">
        <v>8056.8</v>
      </c>
      <c r="J423" s="12">
        <v>4415.6000000000004</v>
      </c>
      <c r="K423" s="12">
        <v>3648.3</v>
      </c>
      <c r="L423" s="4">
        <v>3447</v>
      </c>
      <c r="M423" s="6">
        <f>Table2[[#This Row],[% of Solo Streams]]/100</f>
        <v>0.42783735479999996</v>
      </c>
      <c r="N423" s="3">
        <v>4609.8</v>
      </c>
      <c r="O423" s="6">
        <f>Table2[[#This Row],[% of Collaborative Streams]]/100</f>
        <v>0.57216264520000004</v>
      </c>
      <c r="P423" s="4">
        <f>Table3[[#This Row],[Lead Streams (in millions)]]+Table3[[#This Row],[Feature Streams (in millions)]]</f>
        <v>8063.9000000000005</v>
      </c>
      <c r="Q423" s="4">
        <f>_xlfn.RANK.EQ(Table3[[#This Row],[Total Stream]],Table3[Total Stream],0)</f>
        <v>422</v>
      </c>
      <c r="R423" s="4">
        <f>Table3[[#This Row],[Total Streams (in millions)]]-Table3[[#This Row],[Total Stream]]</f>
        <v>-7.1000000000003638</v>
      </c>
      <c r="S423" s="8">
        <f>IFERROR(Table3[[#This Row],[Collaborative Streams (in millions)]]/Table3[[#This Row],[Total Stream]],0)</f>
        <v>0.57165887473803001</v>
      </c>
      <c r="T423" t="str">
        <f>IF(Table3[[#This Row],[Total Streams (in millions)]]&gt;=50000,"High Performer",IF(Table3[[#This Row],[Total Streams (in millions)]]&gt;=20000,"Medium Performer","Low Performer"))</f>
        <v>Low Performer</v>
      </c>
    </row>
    <row r="424" spans="1:20" x14ac:dyDescent="0.3">
      <c r="A424" s="9" t="s">
        <v>508</v>
      </c>
      <c r="B424" s="9" t="s">
        <v>14</v>
      </c>
      <c r="C424" s="9" t="s">
        <v>21</v>
      </c>
      <c r="D424" s="9" t="s">
        <v>16</v>
      </c>
      <c r="E424" s="9" t="s">
        <v>17</v>
      </c>
      <c r="F424" s="9" t="s">
        <v>18</v>
      </c>
      <c r="G424" s="10">
        <v>2011</v>
      </c>
      <c r="H424" s="10" t="str">
        <f>IF(Table3[[#This Row],[Debut Year]]&lt;=2000,"1999–2000",
IF(Table3[[#This Row],[Debut Year]]&lt;=2005,"2001–2005",
IF(Table3[[#This Row],[Debut Year]]&lt;=2010,"2006–2010",
IF(Table3[[#This Row],[Debut Year]]&lt;=2015,"2011–2015",
IF(Table3[[#This Row],[Debut Year]]&lt;=2020,"2016–2020",
"2021–2025")))))</f>
        <v>2011–2015</v>
      </c>
      <c r="I424" s="10">
        <v>8043.6</v>
      </c>
      <c r="J424" s="10">
        <v>7678.7</v>
      </c>
      <c r="K424" s="10">
        <v>364.9</v>
      </c>
      <c r="L424" s="4">
        <v>6527.6</v>
      </c>
      <c r="M424" s="6">
        <f>Table2[[#This Row],[% of Solo Streams]]/100</f>
        <v>0.81152717689999998</v>
      </c>
      <c r="N424" s="3">
        <v>1516</v>
      </c>
      <c r="O424" s="6">
        <f>Table2[[#This Row],[% of Collaborative Streams]]/100</f>
        <v>0.18847282310000002</v>
      </c>
      <c r="P424" s="4">
        <f>Table3[[#This Row],[Lead Streams (in millions)]]+Table3[[#This Row],[Feature Streams (in millions)]]</f>
        <v>8043.5999999999995</v>
      </c>
      <c r="Q424" s="4">
        <f>_xlfn.RANK.EQ(Table3[[#This Row],[Total Stream]],Table3[Total Stream],0)</f>
        <v>423</v>
      </c>
      <c r="R424" s="4">
        <f>Table3[[#This Row],[Total Streams (in millions)]]-Table3[[#This Row],[Total Stream]]</f>
        <v>0</v>
      </c>
      <c r="S424" s="8">
        <f>IFERROR(Table3[[#This Row],[Collaborative Streams (in millions)]]/Table3[[#This Row],[Total Stream]],0)</f>
        <v>0.18847282311402855</v>
      </c>
      <c r="T424" t="str">
        <f>IF(Table3[[#This Row],[Total Streams (in millions)]]&gt;=50000,"High Performer",IF(Table3[[#This Row],[Total Streams (in millions)]]&gt;=20000,"Medium Performer","Low Performer"))</f>
        <v>Low Performer</v>
      </c>
    </row>
    <row r="425" spans="1:20" x14ac:dyDescent="0.3">
      <c r="A425" s="11" t="s">
        <v>509</v>
      </c>
      <c r="B425" s="11" t="s">
        <v>14</v>
      </c>
      <c r="C425" s="11" t="s">
        <v>21</v>
      </c>
      <c r="D425" s="11" t="s">
        <v>16</v>
      </c>
      <c r="E425" s="11" t="s">
        <v>17</v>
      </c>
      <c r="F425" s="11" t="s">
        <v>48</v>
      </c>
      <c r="G425" s="12">
        <v>2013</v>
      </c>
      <c r="H425" s="12" t="str">
        <f>IF(Table3[[#This Row],[Debut Year]]&lt;=2000,"1999–2000",
IF(Table3[[#This Row],[Debut Year]]&lt;=2005,"2001–2005",
IF(Table3[[#This Row],[Debut Year]]&lt;=2010,"2006–2010",
IF(Table3[[#This Row],[Debut Year]]&lt;=2015,"2011–2015",
IF(Table3[[#This Row],[Debut Year]]&lt;=2020,"2016–2020",
"2021–2025")))))</f>
        <v>2011–2015</v>
      </c>
      <c r="I425" s="12">
        <v>8030.3</v>
      </c>
      <c r="J425" s="12">
        <v>7270.4</v>
      </c>
      <c r="K425" s="12">
        <v>754.2</v>
      </c>
      <c r="L425" s="4">
        <v>4098.3999999999996</v>
      </c>
      <c r="M425" s="6">
        <f>Table2[[#This Row],[% of Solo Streams]]/100</f>
        <v>0.510366985</v>
      </c>
      <c r="N425" s="3">
        <v>3931.9</v>
      </c>
      <c r="O425" s="6">
        <f>Table2[[#This Row],[% of Collaborative Streams]]/100</f>
        <v>0.489633015</v>
      </c>
      <c r="P425" s="4">
        <f>Table3[[#This Row],[Lead Streams (in millions)]]+Table3[[#This Row],[Feature Streams (in millions)]]</f>
        <v>8024.5999999999995</v>
      </c>
      <c r="Q425" s="4">
        <f>_xlfn.RANK.EQ(Table3[[#This Row],[Total Stream]],Table3[Total Stream],0)</f>
        <v>424</v>
      </c>
      <c r="R425" s="4">
        <f>Table3[[#This Row],[Total Streams (in millions)]]-Table3[[#This Row],[Total Stream]]</f>
        <v>5.7000000000007276</v>
      </c>
      <c r="S425" s="8">
        <f>IFERROR(Table3[[#This Row],[Collaborative Streams (in millions)]]/Table3[[#This Row],[Total Stream]],0)</f>
        <v>0.48998080901228724</v>
      </c>
      <c r="T425" t="str">
        <f>IF(Table3[[#This Row],[Total Streams (in millions)]]&gt;=50000,"High Performer",IF(Table3[[#This Row],[Total Streams (in millions)]]&gt;=20000,"Medium Performer","Low Performer"))</f>
        <v>Low Performer</v>
      </c>
    </row>
    <row r="426" spans="1:20" x14ac:dyDescent="0.3">
      <c r="A426" s="9" t="s">
        <v>510</v>
      </c>
      <c r="B426" s="9" t="s">
        <v>20</v>
      </c>
      <c r="C426" s="9" t="s">
        <v>33</v>
      </c>
      <c r="D426" s="9" t="s">
        <v>16</v>
      </c>
      <c r="E426" s="9" t="s">
        <v>22</v>
      </c>
      <c r="F426" s="9" t="s">
        <v>18</v>
      </c>
      <c r="G426" s="10">
        <v>2014</v>
      </c>
      <c r="H426" s="10" t="str">
        <f>IF(Table3[[#This Row],[Debut Year]]&lt;=2000,"1999–2000",
IF(Table3[[#This Row],[Debut Year]]&lt;=2005,"2001–2005",
IF(Table3[[#This Row],[Debut Year]]&lt;=2010,"2006–2010",
IF(Table3[[#This Row],[Debut Year]]&lt;=2015,"2011–2015",
IF(Table3[[#This Row],[Debut Year]]&lt;=2020,"2016–2020",
"2021–2025")))))</f>
        <v>2011–2015</v>
      </c>
      <c r="I426" s="10">
        <v>8019.9</v>
      </c>
      <c r="J426" s="10">
        <v>3097.3</v>
      </c>
      <c r="K426" s="10">
        <v>4922.6000000000004</v>
      </c>
      <c r="L426" s="4">
        <v>2755.3</v>
      </c>
      <c r="M426" s="6">
        <f>Table2[[#This Row],[% of Solo Streams]]/100</f>
        <v>0.34355789969999995</v>
      </c>
      <c r="N426" s="3">
        <v>5264.6</v>
      </c>
      <c r="O426" s="6">
        <f>Table2[[#This Row],[% of Collaborative Streams]]/100</f>
        <v>0.65644210029999994</v>
      </c>
      <c r="P426" s="4">
        <f>Table3[[#This Row],[Lead Streams (in millions)]]+Table3[[#This Row],[Feature Streams (in millions)]]</f>
        <v>8019.9000000000005</v>
      </c>
      <c r="Q426" s="4">
        <f>_xlfn.RANK.EQ(Table3[[#This Row],[Total Stream]],Table3[Total Stream],0)</f>
        <v>425</v>
      </c>
      <c r="R426" s="4">
        <f>Table3[[#This Row],[Total Streams (in millions)]]-Table3[[#This Row],[Total Stream]]</f>
        <v>0</v>
      </c>
      <c r="S426" s="8">
        <f>IFERROR(Table3[[#This Row],[Collaborative Streams (in millions)]]/Table3[[#This Row],[Total Stream]],0)</f>
        <v>0.65644210027556449</v>
      </c>
      <c r="T426" t="str">
        <f>IF(Table3[[#This Row],[Total Streams (in millions)]]&gt;=50000,"High Performer",IF(Table3[[#This Row],[Total Streams (in millions)]]&gt;=20000,"Medium Performer","Low Performer"))</f>
        <v>Low Performer</v>
      </c>
    </row>
    <row r="427" spans="1:20" x14ac:dyDescent="0.3">
      <c r="A427" s="11" t="s">
        <v>511</v>
      </c>
      <c r="B427" s="11" t="s">
        <v>14</v>
      </c>
      <c r="C427" s="11" t="s">
        <v>33</v>
      </c>
      <c r="D427" s="11" t="s">
        <v>16</v>
      </c>
      <c r="E427" s="11" t="s">
        <v>51</v>
      </c>
      <c r="F427" s="11" t="s">
        <v>48</v>
      </c>
      <c r="G427" s="12">
        <v>1983</v>
      </c>
      <c r="H427" s="12" t="str">
        <f>IF(Table3[[#This Row],[Debut Year]]&lt;=2000,"1999–2000",
IF(Table3[[#This Row],[Debut Year]]&lt;=2005,"2001–2005",
IF(Table3[[#This Row],[Debut Year]]&lt;=2010,"2006–2010",
IF(Table3[[#This Row],[Debut Year]]&lt;=2015,"2011–2015",
IF(Table3[[#This Row],[Debut Year]]&lt;=2020,"2016–2020",
"2021–2025")))))</f>
        <v>1999–2000</v>
      </c>
      <c r="I427" s="12">
        <v>8014.7</v>
      </c>
      <c r="J427" s="12">
        <v>8019.1</v>
      </c>
      <c r="K427" s="12">
        <v>0</v>
      </c>
      <c r="L427" s="4">
        <v>8014.7</v>
      </c>
      <c r="M427" s="6">
        <f>Table2[[#This Row],[% of Solo Streams]]/100</f>
        <v>1</v>
      </c>
      <c r="N427" s="3">
        <v>0</v>
      </c>
      <c r="O427" s="6">
        <f>Table2[[#This Row],[% of Collaborative Streams]]/100</f>
        <v>0</v>
      </c>
      <c r="P427" s="4">
        <f>Table3[[#This Row],[Lead Streams (in millions)]]+Table3[[#This Row],[Feature Streams (in millions)]]</f>
        <v>8019.1</v>
      </c>
      <c r="Q427" s="4">
        <f>_xlfn.RANK.EQ(Table3[[#This Row],[Total Stream]],Table3[Total Stream],0)</f>
        <v>426</v>
      </c>
      <c r="R427" s="4">
        <f>Table3[[#This Row],[Total Streams (in millions)]]-Table3[[#This Row],[Total Stream]]</f>
        <v>-4.4000000000005457</v>
      </c>
      <c r="S427" s="8">
        <f>IFERROR(Table3[[#This Row],[Collaborative Streams (in millions)]]/Table3[[#This Row],[Total Stream]],0)</f>
        <v>0</v>
      </c>
      <c r="T427" t="str">
        <f>IF(Table3[[#This Row],[Total Streams (in millions)]]&gt;=50000,"High Performer",IF(Table3[[#This Row],[Total Streams (in millions)]]&gt;=20000,"Medium Performer","Low Performer"))</f>
        <v>Low Performer</v>
      </c>
    </row>
    <row r="428" spans="1:20" x14ac:dyDescent="0.3">
      <c r="A428" s="9" t="s">
        <v>512</v>
      </c>
      <c r="B428" s="9" t="s">
        <v>14</v>
      </c>
      <c r="C428" s="9" t="s">
        <v>21</v>
      </c>
      <c r="D428" s="9" t="s">
        <v>16</v>
      </c>
      <c r="E428" s="9" t="s">
        <v>51</v>
      </c>
      <c r="F428" s="9" t="s">
        <v>48</v>
      </c>
      <c r="G428" s="10">
        <v>1972</v>
      </c>
      <c r="H428" s="10" t="str">
        <f>IF(Table3[[#This Row],[Debut Year]]&lt;=2000,"1999–2000",
IF(Table3[[#This Row],[Debut Year]]&lt;=2005,"2001–2005",
IF(Table3[[#This Row],[Debut Year]]&lt;=2010,"2006–2010",
IF(Table3[[#This Row],[Debut Year]]&lt;=2015,"2011–2015",
IF(Table3[[#This Row],[Debut Year]]&lt;=2020,"2016–2020",
"2021–2025")))))</f>
        <v>1999–2000</v>
      </c>
      <c r="I428" s="10">
        <v>7987.3</v>
      </c>
      <c r="J428" s="10">
        <v>7990.9</v>
      </c>
      <c r="K428" s="10">
        <v>0</v>
      </c>
      <c r="L428" s="4">
        <v>7987.3</v>
      </c>
      <c r="M428" s="6">
        <f>Table2[[#This Row],[% of Solo Streams]]/100</f>
        <v>1</v>
      </c>
      <c r="N428" s="3">
        <v>0</v>
      </c>
      <c r="O428" s="6">
        <f>Table2[[#This Row],[% of Collaborative Streams]]/100</f>
        <v>0</v>
      </c>
      <c r="P428" s="4">
        <f>Table3[[#This Row],[Lead Streams (in millions)]]+Table3[[#This Row],[Feature Streams (in millions)]]</f>
        <v>7990.9</v>
      </c>
      <c r="Q428" s="4">
        <f>_xlfn.RANK.EQ(Table3[[#This Row],[Total Stream]],Table3[Total Stream],0)</f>
        <v>427</v>
      </c>
      <c r="R428" s="4">
        <f>Table3[[#This Row],[Total Streams (in millions)]]-Table3[[#This Row],[Total Stream]]</f>
        <v>-3.5999999999994543</v>
      </c>
      <c r="S428" s="8">
        <f>IFERROR(Table3[[#This Row],[Collaborative Streams (in millions)]]/Table3[[#This Row],[Total Stream]],0)</f>
        <v>0</v>
      </c>
      <c r="T428" t="str">
        <f>IF(Table3[[#This Row],[Total Streams (in millions)]]&gt;=50000,"High Performer",IF(Table3[[#This Row],[Total Streams (in millions)]]&gt;=20000,"Medium Performer","Low Performer"))</f>
        <v>Low Performer</v>
      </c>
    </row>
    <row r="429" spans="1:20" x14ac:dyDescent="0.3">
      <c r="A429" s="11" t="s">
        <v>513</v>
      </c>
      <c r="B429" s="11" t="s">
        <v>14</v>
      </c>
      <c r="C429" s="11" t="s">
        <v>33</v>
      </c>
      <c r="D429" s="11" t="s">
        <v>16</v>
      </c>
      <c r="E429" s="11" t="s">
        <v>51</v>
      </c>
      <c r="F429" s="11" t="s">
        <v>48</v>
      </c>
      <c r="G429" s="12">
        <v>1977</v>
      </c>
      <c r="H429" s="12" t="str">
        <f>IF(Table3[[#This Row],[Debut Year]]&lt;=2000,"1999–2000",
IF(Table3[[#This Row],[Debut Year]]&lt;=2005,"2001–2005",
IF(Table3[[#This Row],[Debut Year]]&lt;=2010,"2006–2010",
IF(Table3[[#This Row],[Debut Year]]&lt;=2015,"2011–2015",
IF(Table3[[#This Row],[Debut Year]]&lt;=2020,"2016–2020",
"2021–2025")))))</f>
        <v>1999–2000</v>
      </c>
      <c r="I429" s="12">
        <v>7976.6</v>
      </c>
      <c r="J429" s="12">
        <v>7980.4</v>
      </c>
      <c r="K429" s="12">
        <v>0.6</v>
      </c>
      <c r="L429" s="4">
        <v>7960.2</v>
      </c>
      <c r="M429" s="6">
        <f>Table2[[#This Row],[% of Solo Streams]]/100</f>
        <v>0.99794398619999991</v>
      </c>
      <c r="N429" s="3">
        <v>16.399999999999999</v>
      </c>
      <c r="O429" s="6">
        <f>Table2[[#This Row],[% of Collaborative Streams]]/100</f>
        <v>2.0560138399999999E-3</v>
      </c>
      <c r="P429" s="4">
        <f>Table3[[#This Row],[Lead Streams (in millions)]]+Table3[[#This Row],[Feature Streams (in millions)]]</f>
        <v>7981</v>
      </c>
      <c r="Q429" s="4">
        <f>_xlfn.RANK.EQ(Table3[[#This Row],[Total Stream]],Table3[Total Stream],0)</f>
        <v>428</v>
      </c>
      <c r="R429" s="4">
        <f>Table3[[#This Row],[Total Streams (in millions)]]-Table3[[#This Row],[Total Stream]]</f>
        <v>-4.3999999999996362</v>
      </c>
      <c r="S429" s="8">
        <f>IFERROR(Table3[[#This Row],[Collaborative Streams (in millions)]]/Table3[[#This Row],[Total Stream]],0)</f>
        <v>2.0548803408094222E-3</v>
      </c>
      <c r="T429" t="str">
        <f>IF(Table3[[#This Row],[Total Streams (in millions)]]&gt;=50000,"High Performer",IF(Table3[[#This Row],[Total Streams (in millions)]]&gt;=20000,"Medium Performer","Low Performer"))</f>
        <v>Low Performer</v>
      </c>
    </row>
    <row r="430" spans="1:20" x14ac:dyDescent="0.3">
      <c r="A430" s="9" t="s">
        <v>514</v>
      </c>
      <c r="B430" s="9" t="s">
        <v>14</v>
      </c>
      <c r="C430" s="9" t="s">
        <v>33</v>
      </c>
      <c r="D430" s="9" t="s">
        <v>16</v>
      </c>
      <c r="E430" s="9" t="s">
        <v>22</v>
      </c>
      <c r="F430" s="9" t="s">
        <v>18</v>
      </c>
      <c r="G430" s="10">
        <v>1981</v>
      </c>
      <c r="H430" s="10" t="str">
        <f>IF(Table3[[#This Row],[Debut Year]]&lt;=2000,"1999–2000",
IF(Table3[[#This Row],[Debut Year]]&lt;=2005,"2001–2005",
IF(Table3[[#This Row],[Debut Year]]&lt;=2010,"2006–2010",
IF(Table3[[#This Row],[Debut Year]]&lt;=2015,"2011–2015",
IF(Table3[[#This Row],[Debut Year]]&lt;=2020,"2016–2020",
"2021–2025")))))</f>
        <v>1999–2000</v>
      </c>
      <c r="I430" s="10">
        <v>7940.4</v>
      </c>
      <c r="J430" s="10">
        <v>7942.6</v>
      </c>
      <c r="K430" s="10">
        <v>0</v>
      </c>
      <c r="L430" s="4">
        <v>7116.9</v>
      </c>
      <c r="M430" s="6">
        <f>Table2[[#This Row],[% of Solo Streams]]/100</f>
        <v>0.89628985949999995</v>
      </c>
      <c r="N430" s="3">
        <v>823.5</v>
      </c>
      <c r="O430" s="6">
        <f>Table2[[#This Row],[% of Collaborative Streams]]/100</f>
        <v>0.10371014049999999</v>
      </c>
      <c r="P430" s="4">
        <f>Table3[[#This Row],[Lead Streams (in millions)]]+Table3[[#This Row],[Feature Streams (in millions)]]</f>
        <v>7942.6</v>
      </c>
      <c r="Q430" s="4">
        <f>_xlfn.RANK.EQ(Table3[[#This Row],[Total Stream]],Table3[Total Stream],0)</f>
        <v>429</v>
      </c>
      <c r="R430" s="4">
        <f>Table3[[#This Row],[Total Streams (in millions)]]-Table3[[#This Row],[Total Stream]]</f>
        <v>-2.2000000000007276</v>
      </c>
      <c r="S430" s="8">
        <f>IFERROR(Table3[[#This Row],[Collaborative Streams (in millions)]]/Table3[[#This Row],[Total Stream]],0)</f>
        <v>0.10368141414650114</v>
      </c>
      <c r="T430" t="str">
        <f>IF(Table3[[#This Row],[Total Streams (in millions)]]&gt;=50000,"High Performer",IF(Table3[[#This Row],[Total Streams (in millions)]]&gt;=20000,"Medium Performer","Low Performer"))</f>
        <v>Low Performer</v>
      </c>
    </row>
    <row r="431" spans="1:20" x14ac:dyDescent="0.3">
      <c r="A431" s="11" t="s">
        <v>515</v>
      </c>
      <c r="B431" s="11" t="s">
        <v>14</v>
      </c>
      <c r="C431" s="11" t="s">
        <v>21</v>
      </c>
      <c r="D431" s="11" t="s">
        <v>16</v>
      </c>
      <c r="E431" s="11" t="s">
        <v>51</v>
      </c>
      <c r="F431" s="11" t="s">
        <v>48</v>
      </c>
      <c r="G431" s="12">
        <v>2001</v>
      </c>
      <c r="H431" s="12" t="str">
        <f>IF(Table3[[#This Row],[Debut Year]]&lt;=2000,"1999–2000",
IF(Table3[[#This Row],[Debut Year]]&lt;=2005,"2001–2005",
IF(Table3[[#This Row],[Debut Year]]&lt;=2010,"2006–2010",
IF(Table3[[#This Row],[Debut Year]]&lt;=2015,"2011–2015",
IF(Table3[[#This Row],[Debut Year]]&lt;=2020,"2016–2020",
"2021–2025")))))</f>
        <v>2001–2005</v>
      </c>
      <c r="I431" s="12">
        <v>7934.8</v>
      </c>
      <c r="J431" s="12">
        <v>4641.5</v>
      </c>
      <c r="K431" s="12">
        <v>3299.4</v>
      </c>
      <c r="L431" s="4">
        <v>7901.6</v>
      </c>
      <c r="M431" s="6">
        <f>Table2[[#This Row],[% of Solo Streams]]/100</f>
        <v>0.99581589960000005</v>
      </c>
      <c r="N431" s="3">
        <v>33.200000000000003</v>
      </c>
      <c r="O431" s="6">
        <f>Table2[[#This Row],[% of Collaborative Streams]]/100</f>
        <v>4.1841004180000006E-3</v>
      </c>
      <c r="P431" s="4">
        <f>Table3[[#This Row],[Lead Streams (in millions)]]+Table3[[#This Row],[Feature Streams (in millions)]]</f>
        <v>7940.9</v>
      </c>
      <c r="Q431" s="4">
        <f>_xlfn.RANK.EQ(Table3[[#This Row],[Total Stream]],Table3[Total Stream],0)</f>
        <v>430</v>
      </c>
      <c r="R431" s="4">
        <f>Table3[[#This Row],[Total Streams (in millions)]]-Table3[[#This Row],[Total Stream]]</f>
        <v>-6.0999999999994543</v>
      </c>
      <c r="S431" s="8">
        <f>IFERROR(Table3[[#This Row],[Collaborative Streams (in millions)]]/Table3[[#This Row],[Total Stream]],0)</f>
        <v>4.1808862975229516E-3</v>
      </c>
      <c r="T431" t="str">
        <f>IF(Table3[[#This Row],[Total Streams (in millions)]]&gt;=50000,"High Performer",IF(Table3[[#This Row],[Total Streams (in millions)]]&gt;=20000,"Medium Performer","Low Performer"))</f>
        <v>Low Performer</v>
      </c>
    </row>
    <row r="432" spans="1:20" x14ac:dyDescent="0.3">
      <c r="A432" s="9" t="s">
        <v>516</v>
      </c>
      <c r="B432" s="9" t="s">
        <v>14</v>
      </c>
      <c r="C432" s="9" t="s">
        <v>517</v>
      </c>
      <c r="D432" s="9" t="s">
        <v>518</v>
      </c>
      <c r="E432" s="9" t="s">
        <v>22</v>
      </c>
      <c r="F432" s="9" t="s">
        <v>18</v>
      </c>
      <c r="G432" s="10">
        <v>2002</v>
      </c>
      <c r="H432" s="10" t="str">
        <f>IF(Table3[[#This Row],[Debut Year]]&lt;=2000,"1999–2000",
IF(Table3[[#This Row],[Debut Year]]&lt;=2005,"2001–2005",
IF(Table3[[#This Row],[Debut Year]]&lt;=2010,"2006–2010",
IF(Table3[[#This Row],[Debut Year]]&lt;=2015,"2011–2015",
IF(Table3[[#This Row],[Debut Year]]&lt;=2020,"2016–2020",
"2021–2025")))))</f>
        <v>2001–2005</v>
      </c>
      <c r="I432" s="10">
        <v>7934.5</v>
      </c>
      <c r="J432" s="10">
        <v>2022.8</v>
      </c>
      <c r="K432" s="10">
        <v>5906</v>
      </c>
      <c r="L432" s="4">
        <v>723</v>
      </c>
      <c r="M432" s="6">
        <f>Table2[[#This Row],[% of Solo Streams]]/100</f>
        <v>9.112105362999999E-2</v>
      </c>
      <c r="N432" s="3">
        <v>7211.5</v>
      </c>
      <c r="O432" s="6">
        <f>Table2[[#This Row],[% of Collaborative Streams]]/100</f>
        <v>0.9088789464</v>
      </c>
      <c r="P432" s="4">
        <f>Table3[[#This Row],[Lead Streams (in millions)]]+Table3[[#This Row],[Feature Streams (in millions)]]</f>
        <v>7928.8</v>
      </c>
      <c r="Q432" s="4">
        <f>_xlfn.RANK.EQ(Table3[[#This Row],[Total Stream]],Table3[Total Stream],0)</f>
        <v>431</v>
      </c>
      <c r="R432" s="4">
        <f>Table3[[#This Row],[Total Streams (in millions)]]-Table3[[#This Row],[Total Stream]]</f>
        <v>5.6999999999998181</v>
      </c>
      <c r="S432" s="8">
        <f>IFERROR(Table3[[#This Row],[Collaborative Streams (in millions)]]/Table3[[#This Row],[Total Stream]],0)</f>
        <v>0.90953233780647758</v>
      </c>
      <c r="T432" t="str">
        <f>IF(Table3[[#This Row],[Total Streams (in millions)]]&gt;=50000,"High Performer",IF(Table3[[#This Row],[Total Streams (in millions)]]&gt;=20000,"Medium Performer","Low Performer"))</f>
        <v>Low Performer</v>
      </c>
    </row>
    <row r="433" spans="1:20" x14ac:dyDescent="0.3">
      <c r="A433" s="11" t="s">
        <v>519</v>
      </c>
      <c r="B433" s="11" t="s">
        <v>14</v>
      </c>
      <c r="C433" s="11" t="s">
        <v>42</v>
      </c>
      <c r="D433" s="11" t="s">
        <v>24</v>
      </c>
      <c r="E433" s="11" t="s">
        <v>25</v>
      </c>
      <c r="F433" s="11" t="s">
        <v>18</v>
      </c>
      <c r="G433" s="12">
        <v>2016</v>
      </c>
      <c r="H433" s="12" t="str">
        <f>IF(Table3[[#This Row],[Debut Year]]&lt;=2000,"1999–2000",
IF(Table3[[#This Row],[Debut Year]]&lt;=2005,"2001–2005",
IF(Table3[[#This Row],[Debut Year]]&lt;=2010,"2006–2010",
IF(Table3[[#This Row],[Debut Year]]&lt;=2015,"2011–2015",
IF(Table3[[#This Row],[Debut Year]]&lt;=2020,"2016–2020",
"2021–2025")))))</f>
        <v>2016–2020</v>
      </c>
      <c r="I433" s="12">
        <v>7921.6</v>
      </c>
      <c r="J433" s="12">
        <v>7400.3</v>
      </c>
      <c r="K433" s="12">
        <v>508.4</v>
      </c>
      <c r="L433" s="4">
        <v>7.5</v>
      </c>
      <c r="M433" s="6">
        <f>Table2[[#This Row],[% of Solo Streams]]/100</f>
        <v>9.4677842860000001E-4</v>
      </c>
      <c r="N433" s="3">
        <v>7914.1</v>
      </c>
      <c r="O433" s="6">
        <f>Table2[[#This Row],[% of Collaborative Streams]]/100</f>
        <v>0.99905322159999999</v>
      </c>
      <c r="P433" s="4">
        <f>Table3[[#This Row],[Lead Streams (in millions)]]+Table3[[#This Row],[Feature Streams (in millions)]]</f>
        <v>7908.7</v>
      </c>
      <c r="Q433" s="4">
        <f>_xlfn.RANK.EQ(Table3[[#This Row],[Total Stream]],Table3[Total Stream],0)</f>
        <v>432</v>
      </c>
      <c r="R433" s="4">
        <f>Table3[[#This Row],[Total Streams (in millions)]]-Table3[[#This Row],[Total Stream]]</f>
        <v>12.900000000000546</v>
      </c>
      <c r="S433" s="8">
        <f>IFERROR(Table3[[#This Row],[Collaborative Streams (in millions)]]/Table3[[#This Row],[Total Stream]],0)</f>
        <v>1.0006827923678987</v>
      </c>
      <c r="T433" t="str">
        <f>IF(Table3[[#This Row],[Total Streams (in millions)]]&gt;=50000,"High Performer",IF(Table3[[#This Row],[Total Streams (in millions)]]&gt;=20000,"Medium Performer","Low Performer"))</f>
        <v>Low Performer</v>
      </c>
    </row>
    <row r="434" spans="1:20" x14ac:dyDescent="0.3">
      <c r="A434" s="9" t="s">
        <v>520</v>
      </c>
      <c r="B434" s="9" t="s">
        <v>20</v>
      </c>
      <c r="C434" s="9" t="s">
        <v>33</v>
      </c>
      <c r="D434" s="9" t="s">
        <v>16</v>
      </c>
      <c r="E434" s="9" t="s">
        <v>455</v>
      </c>
      <c r="F434" s="9" t="s">
        <v>18</v>
      </c>
      <c r="G434" s="10">
        <v>2018</v>
      </c>
      <c r="H434" s="10" t="str">
        <f>IF(Table3[[#This Row],[Debut Year]]&lt;=2000,"1999–2000",
IF(Table3[[#This Row],[Debut Year]]&lt;=2005,"2001–2005",
IF(Table3[[#This Row],[Debut Year]]&lt;=2010,"2006–2010",
IF(Table3[[#This Row],[Debut Year]]&lt;=2015,"2011–2015",
IF(Table3[[#This Row],[Debut Year]]&lt;=2020,"2016–2020",
"2021–2025")))))</f>
        <v>2016–2020</v>
      </c>
      <c r="I434" s="10">
        <v>7892.9</v>
      </c>
      <c r="J434" s="10">
        <v>7895.6</v>
      </c>
      <c r="K434" s="10">
        <v>0</v>
      </c>
      <c r="L434" s="4">
        <v>7164.5</v>
      </c>
      <c r="M434" s="6">
        <f>Table2[[#This Row],[% of Solo Streams]]/100</f>
        <v>0.90771452819999998</v>
      </c>
      <c r="N434" s="3">
        <v>728.4</v>
      </c>
      <c r="O434" s="6">
        <f>Table2[[#This Row],[% of Collaborative Streams]]/100</f>
        <v>9.2285471749999987E-2</v>
      </c>
      <c r="P434" s="4">
        <f>Table3[[#This Row],[Lead Streams (in millions)]]+Table3[[#This Row],[Feature Streams (in millions)]]</f>
        <v>7895.6</v>
      </c>
      <c r="Q434" s="4">
        <f>_xlfn.RANK.EQ(Table3[[#This Row],[Total Stream]],Table3[Total Stream],0)</f>
        <v>433</v>
      </c>
      <c r="R434" s="4">
        <f>Table3[[#This Row],[Total Streams (in millions)]]-Table3[[#This Row],[Total Stream]]</f>
        <v>-2.7000000000007276</v>
      </c>
      <c r="S434" s="8">
        <f>IFERROR(Table3[[#This Row],[Collaborative Streams (in millions)]]/Table3[[#This Row],[Total Stream]],0)</f>
        <v>9.2253913572116111E-2</v>
      </c>
      <c r="T434" t="str">
        <f>IF(Table3[[#This Row],[Total Streams (in millions)]]&gt;=50000,"High Performer",IF(Table3[[#This Row],[Total Streams (in millions)]]&gt;=20000,"Medium Performer","Low Performer"))</f>
        <v>Low Performer</v>
      </c>
    </row>
    <row r="435" spans="1:20" x14ac:dyDescent="0.3">
      <c r="A435" s="11" t="s">
        <v>521</v>
      </c>
      <c r="B435" s="11" t="s">
        <v>14</v>
      </c>
      <c r="C435" s="11" t="s">
        <v>33</v>
      </c>
      <c r="D435" s="11" t="s">
        <v>16</v>
      </c>
      <c r="E435" s="11" t="s">
        <v>51</v>
      </c>
      <c r="F435" s="11" t="s">
        <v>48</v>
      </c>
      <c r="G435" s="12">
        <v>1978</v>
      </c>
      <c r="H435" s="12" t="str">
        <f>IF(Table3[[#This Row],[Debut Year]]&lt;=2000,"1999–2000",
IF(Table3[[#This Row],[Debut Year]]&lt;=2005,"2001–2005",
IF(Table3[[#This Row],[Debut Year]]&lt;=2010,"2006–2010",
IF(Table3[[#This Row],[Debut Year]]&lt;=2015,"2011–2015",
IF(Table3[[#This Row],[Debut Year]]&lt;=2020,"2016–2020",
"2021–2025")))))</f>
        <v>1999–2000</v>
      </c>
      <c r="I435" s="12">
        <v>7891.3</v>
      </c>
      <c r="J435" s="12">
        <v>7595.8</v>
      </c>
      <c r="K435" s="12">
        <v>298.7</v>
      </c>
      <c r="L435" s="4">
        <v>7890.8</v>
      </c>
      <c r="M435" s="6">
        <f>Table2[[#This Row],[% of Solo Streams]]/100</f>
        <v>0.99993663909999997</v>
      </c>
      <c r="N435" s="3">
        <v>0.5</v>
      </c>
      <c r="O435" s="6">
        <f>Table2[[#This Row],[% of Collaborative Streams]]/100</f>
        <v>6.3360916449999998E-5</v>
      </c>
      <c r="P435" s="4">
        <f>Table3[[#This Row],[Lead Streams (in millions)]]+Table3[[#This Row],[Feature Streams (in millions)]]</f>
        <v>7894.5</v>
      </c>
      <c r="Q435" s="4">
        <f>_xlfn.RANK.EQ(Table3[[#This Row],[Total Stream]],Table3[Total Stream],0)</f>
        <v>434</v>
      </c>
      <c r="R435" s="4">
        <f>Table3[[#This Row],[Total Streams (in millions)]]-Table3[[#This Row],[Total Stream]]</f>
        <v>-3.1999999999998181</v>
      </c>
      <c r="S435" s="8">
        <f>IFERROR(Table3[[#This Row],[Collaborative Streams (in millions)]]/Table3[[#This Row],[Total Stream]],0)</f>
        <v>6.3335233390335042E-5</v>
      </c>
      <c r="T435" t="str">
        <f>IF(Table3[[#This Row],[Total Streams (in millions)]]&gt;=50000,"High Performer",IF(Table3[[#This Row],[Total Streams (in millions)]]&gt;=20000,"Medium Performer","Low Performer"))</f>
        <v>Low Performer</v>
      </c>
    </row>
    <row r="436" spans="1:20" x14ac:dyDescent="0.3">
      <c r="A436" s="9" t="s">
        <v>522</v>
      </c>
      <c r="B436" s="9" t="s">
        <v>20</v>
      </c>
      <c r="C436" s="9" t="s">
        <v>45</v>
      </c>
      <c r="D436" s="9" t="s">
        <v>46</v>
      </c>
      <c r="E436" s="9" t="s">
        <v>47</v>
      </c>
      <c r="F436" s="9" t="s">
        <v>48</v>
      </c>
      <c r="G436" s="10">
        <v>2022</v>
      </c>
      <c r="H436" s="10" t="str">
        <f>IF(Table3[[#This Row],[Debut Year]]&lt;=2000,"1999–2000",
IF(Table3[[#This Row],[Debut Year]]&lt;=2005,"2001–2005",
IF(Table3[[#This Row],[Debut Year]]&lt;=2010,"2006–2010",
IF(Table3[[#This Row],[Debut Year]]&lt;=2015,"2011–2015",
IF(Table3[[#This Row],[Debut Year]]&lt;=2020,"2016–2020",
"2021–2025")))))</f>
        <v>2021–2025</v>
      </c>
      <c r="I436" s="10">
        <v>7886.9</v>
      </c>
      <c r="J436" s="10">
        <v>7880.6</v>
      </c>
      <c r="K436" s="10">
        <v>5.3</v>
      </c>
      <c r="L436" s="4">
        <v>7566</v>
      </c>
      <c r="M436" s="6">
        <f>Table2[[#This Row],[% of Solo Streams]]/100</f>
        <v>0.95931227730000002</v>
      </c>
      <c r="N436" s="3">
        <v>320.89999999999998</v>
      </c>
      <c r="O436" s="6">
        <f>Table2[[#This Row],[% of Collaborative Streams]]/100</f>
        <v>4.0687722680000003E-2</v>
      </c>
      <c r="P436" s="4">
        <f>Table3[[#This Row],[Lead Streams (in millions)]]+Table3[[#This Row],[Feature Streams (in millions)]]</f>
        <v>7885.9000000000005</v>
      </c>
      <c r="Q436" s="4">
        <f>_xlfn.RANK.EQ(Table3[[#This Row],[Total Stream]],Table3[Total Stream],0)</f>
        <v>435</v>
      </c>
      <c r="R436" s="4">
        <f>Table3[[#This Row],[Total Streams (in millions)]]-Table3[[#This Row],[Total Stream]]</f>
        <v>0.99999999999909051</v>
      </c>
      <c r="S436" s="8">
        <f>IFERROR(Table3[[#This Row],[Collaborative Streams (in millions)]]/Table3[[#This Row],[Total Stream]],0)</f>
        <v>4.0692882232845957E-2</v>
      </c>
      <c r="T436" t="str">
        <f>IF(Table3[[#This Row],[Total Streams (in millions)]]&gt;=50000,"High Performer",IF(Table3[[#This Row],[Total Streams (in millions)]]&gt;=20000,"Medium Performer","Low Performer"))</f>
        <v>Low Performer</v>
      </c>
    </row>
    <row r="437" spans="1:20" x14ac:dyDescent="0.3">
      <c r="A437" s="11" t="s">
        <v>523</v>
      </c>
      <c r="B437" s="11" t="s">
        <v>14</v>
      </c>
      <c r="C437" s="11" t="s">
        <v>21</v>
      </c>
      <c r="D437" s="11" t="s">
        <v>16</v>
      </c>
      <c r="E437" s="11" t="s">
        <v>291</v>
      </c>
      <c r="F437" s="11" t="s">
        <v>48</v>
      </c>
      <c r="G437" s="12">
        <v>2001</v>
      </c>
      <c r="H437" s="12" t="str">
        <f>IF(Table3[[#This Row],[Debut Year]]&lt;=2000,"1999–2000",
IF(Table3[[#This Row],[Debut Year]]&lt;=2005,"2001–2005",
IF(Table3[[#This Row],[Debut Year]]&lt;=2010,"2006–2010",
IF(Table3[[#This Row],[Debut Year]]&lt;=2015,"2011–2015",
IF(Table3[[#This Row],[Debut Year]]&lt;=2020,"2016–2020",
"2021–2025")))))</f>
        <v>2001–2005</v>
      </c>
      <c r="I437" s="12">
        <v>7871.9</v>
      </c>
      <c r="J437" s="12">
        <v>7152</v>
      </c>
      <c r="K437" s="12">
        <v>706.6</v>
      </c>
      <c r="L437" s="4">
        <v>7858.1</v>
      </c>
      <c r="M437" s="6">
        <f>Table2[[#This Row],[% of Solo Streams]]/100</f>
        <v>0.9982469289</v>
      </c>
      <c r="N437" s="3">
        <v>13.8</v>
      </c>
      <c r="O437" s="6">
        <f>Table2[[#This Row],[% of Collaborative Streams]]/100</f>
        <v>1.7530710499999999E-3</v>
      </c>
      <c r="P437" s="4">
        <f>Table3[[#This Row],[Lead Streams (in millions)]]+Table3[[#This Row],[Feature Streams (in millions)]]</f>
        <v>7858.6</v>
      </c>
      <c r="Q437" s="4">
        <f>_xlfn.RANK.EQ(Table3[[#This Row],[Total Stream]],Table3[Total Stream],0)</f>
        <v>436</v>
      </c>
      <c r="R437" s="4">
        <f>Table3[[#This Row],[Total Streams (in millions)]]-Table3[[#This Row],[Total Stream]]</f>
        <v>13.299999999999272</v>
      </c>
      <c r="S437" s="8">
        <f>IFERROR(Table3[[#This Row],[Collaborative Streams (in millions)]]/Table3[[#This Row],[Total Stream]],0)</f>
        <v>1.7560379711398977E-3</v>
      </c>
      <c r="T437" t="str">
        <f>IF(Table3[[#This Row],[Total Streams (in millions)]]&gt;=50000,"High Performer",IF(Table3[[#This Row],[Total Streams (in millions)]]&gt;=20000,"Medium Performer","Low Performer"))</f>
        <v>Low Performer</v>
      </c>
    </row>
    <row r="438" spans="1:20" x14ac:dyDescent="0.3">
      <c r="A438" s="9" t="s">
        <v>524</v>
      </c>
      <c r="B438" s="9" t="s">
        <v>14</v>
      </c>
      <c r="C438" s="9" t="s">
        <v>525</v>
      </c>
      <c r="D438" s="9" t="s">
        <v>24</v>
      </c>
      <c r="E438" s="9" t="s">
        <v>82</v>
      </c>
      <c r="F438" s="9" t="s">
        <v>18</v>
      </c>
      <c r="G438" s="10">
        <v>1985</v>
      </c>
      <c r="H438" s="10" t="str">
        <f>IF(Table3[[#This Row],[Debut Year]]&lt;=2000,"1999–2000",
IF(Table3[[#This Row],[Debut Year]]&lt;=2005,"2001–2005",
IF(Table3[[#This Row],[Debut Year]]&lt;=2010,"2006–2010",
IF(Table3[[#This Row],[Debut Year]]&lt;=2015,"2011–2015",
IF(Table3[[#This Row],[Debut Year]]&lt;=2020,"2016–2020",
"2021–2025")))))</f>
        <v>1999–2000</v>
      </c>
      <c r="I438" s="10">
        <v>7852.2</v>
      </c>
      <c r="J438" s="10">
        <v>7854.4</v>
      </c>
      <c r="K438" s="10">
        <v>4</v>
      </c>
      <c r="L438" s="4">
        <v>7062</v>
      </c>
      <c r="M438" s="6">
        <f>Table2[[#This Row],[% of Solo Streams]]/100</f>
        <v>0.89936578280000001</v>
      </c>
      <c r="N438" s="3">
        <v>790.2</v>
      </c>
      <c r="O438" s="6">
        <f>Table2[[#This Row],[% of Collaborative Streams]]/100</f>
        <v>0.10063421719999999</v>
      </c>
      <c r="P438" s="4">
        <f>Table3[[#This Row],[Lead Streams (in millions)]]+Table3[[#This Row],[Feature Streams (in millions)]]</f>
        <v>7858.4</v>
      </c>
      <c r="Q438" s="4">
        <f>_xlfn.RANK.EQ(Table3[[#This Row],[Total Stream]],Table3[Total Stream],0)</f>
        <v>437</v>
      </c>
      <c r="R438" s="4">
        <f>Table3[[#This Row],[Total Streams (in millions)]]-Table3[[#This Row],[Total Stream]]</f>
        <v>-6.1999999999998181</v>
      </c>
      <c r="S438" s="8">
        <f>IFERROR(Table3[[#This Row],[Collaborative Streams (in millions)]]/Table3[[#This Row],[Total Stream]],0)</f>
        <v>0.10055482031965796</v>
      </c>
      <c r="T438" t="str">
        <f>IF(Table3[[#This Row],[Total Streams (in millions)]]&gt;=50000,"High Performer",IF(Table3[[#This Row],[Total Streams (in millions)]]&gt;=20000,"Medium Performer","Low Performer"))</f>
        <v>Low Performer</v>
      </c>
    </row>
    <row r="439" spans="1:20" x14ac:dyDescent="0.3">
      <c r="A439" s="11" t="s">
        <v>526</v>
      </c>
      <c r="B439" s="11" t="s">
        <v>78</v>
      </c>
      <c r="C439" s="11" t="s">
        <v>89</v>
      </c>
      <c r="D439" s="11" t="s">
        <v>24</v>
      </c>
      <c r="E439" s="11" t="s">
        <v>82</v>
      </c>
      <c r="F439" s="11" t="s">
        <v>48</v>
      </c>
      <c r="G439" s="12">
        <v>1982</v>
      </c>
      <c r="H439" s="12" t="str">
        <f>IF(Table3[[#This Row],[Debut Year]]&lt;=2000,"1999–2000",
IF(Table3[[#This Row],[Debut Year]]&lt;=2005,"2001–2005",
IF(Table3[[#This Row],[Debut Year]]&lt;=2010,"2006–2010",
IF(Table3[[#This Row],[Debut Year]]&lt;=2015,"2011–2015",
IF(Table3[[#This Row],[Debut Year]]&lt;=2020,"2016–2020",
"2021–2025")))))</f>
        <v>1999–2000</v>
      </c>
      <c r="I439" s="12">
        <v>7838.9</v>
      </c>
      <c r="J439" s="12">
        <v>7528</v>
      </c>
      <c r="K439" s="12">
        <v>310.89999999999998</v>
      </c>
      <c r="L439" s="4">
        <v>2829.8</v>
      </c>
      <c r="M439" s="6">
        <f>Table2[[#This Row],[% of Solo Streams]]/100</f>
        <v>0.36099452730000003</v>
      </c>
      <c r="N439" s="3">
        <v>5009.1000000000004</v>
      </c>
      <c r="O439" s="6">
        <f>Table2[[#This Row],[% of Collaborative Streams]]/100</f>
        <v>0.63900547269999997</v>
      </c>
      <c r="P439" s="4">
        <f>Table3[[#This Row],[Lead Streams (in millions)]]+Table3[[#This Row],[Feature Streams (in millions)]]</f>
        <v>7838.9</v>
      </c>
      <c r="Q439" s="4">
        <f>_xlfn.RANK.EQ(Table3[[#This Row],[Total Stream]],Table3[Total Stream],0)</f>
        <v>438</v>
      </c>
      <c r="R439" s="4">
        <f>Table3[[#This Row],[Total Streams (in millions)]]-Table3[[#This Row],[Total Stream]]</f>
        <v>0</v>
      </c>
      <c r="S439" s="8">
        <f>IFERROR(Table3[[#This Row],[Collaborative Streams (in millions)]]/Table3[[#This Row],[Total Stream]],0)</f>
        <v>0.63900547270662988</v>
      </c>
      <c r="T439" t="str">
        <f>IF(Table3[[#This Row],[Total Streams (in millions)]]&gt;=50000,"High Performer",IF(Table3[[#This Row],[Total Streams (in millions)]]&gt;=20000,"Medium Performer","Low Performer"))</f>
        <v>Low Performer</v>
      </c>
    </row>
    <row r="440" spans="1:20" x14ac:dyDescent="0.3">
      <c r="A440" s="9" t="s">
        <v>527</v>
      </c>
      <c r="B440" s="9" t="s">
        <v>14</v>
      </c>
      <c r="C440" s="9" t="s">
        <v>33</v>
      </c>
      <c r="D440" s="9" t="s">
        <v>16</v>
      </c>
      <c r="E440" s="9" t="s">
        <v>22</v>
      </c>
      <c r="F440" s="9" t="s">
        <v>18</v>
      </c>
      <c r="G440" s="10">
        <v>2015</v>
      </c>
      <c r="H440" s="10" t="str">
        <f>IF(Table3[[#This Row],[Debut Year]]&lt;=2000,"1999–2000",
IF(Table3[[#This Row],[Debut Year]]&lt;=2005,"2001–2005",
IF(Table3[[#This Row],[Debut Year]]&lt;=2010,"2006–2010",
IF(Table3[[#This Row],[Debut Year]]&lt;=2015,"2011–2015",
IF(Table3[[#This Row],[Debut Year]]&lt;=2020,"2016–2020",
"2021–2025")))))</f>
        <v>2011–2015</v>
      </c>
      <c r="I440" s="10">
        <v>7824.1</v>
      </c>
      <c r="J440" s="10">
        <v>6895.6</v>
      </c>
      <c r="K440" s="10">
        <v>928.5</v>
      </c>
      <c r="L440" s="4">
        <v>6188.5</v>
      </c>
      <c r="M440" s="6">
        <f>Table2[[#This Row],[% of Solo Streams]]/100</f>
        <v>0.79095359209999994</v>
      </c>
      <c r="N440" s="3">
        <v>1635.6</v>
      </c>
      <c r="O440" s="6">
        <f>Table2[[#This Row],[% of Collaborative Streams]]/100</f>
        <v>0.20904640789999998</v>
      </c>
      <c r="P440" s="4">
        <f>Table3[[#This Row],[Lead Streams (in millions)]]+Table3[[#This Row],[Feature Streams (in millions)]]</f>
        <v>7824.1</v>
      </c>
      <c r="Q440" s="4">
        <f>_xlfn.RANK.EQ(Table3[[#This Row],[Total Stream]],Table3[Total Stream],0)</f>
        <v>439</v>
      </c>
      <c r="R440" s="4">
        <f>Table3[[#This Row],[Total Streams (in millions)]]-Table3[[#This Row],[Total Stream]]</f>
        <v>0</v>
      </c>
      <c r="S440" s="8">
        <f>IFERROR(Table3[[#This Row],[Collaborative Streams (in millions)]]/Table3[[#This Row],[Total Stream]],0)</f>
        <v>0.20904640789355963</v>
      </c>
      <c r="T440" t="str">
        <f>IF(Table3[[#This Row],[Total Streams (in millions)]]&gt;=50000,"High Performer",IF(Table3[[#This Row],[Total Streams (in millions)]]&gt;=20000,"Medium Performer","Low Performer"))</f>
        <v>Low Performer</v>
      </c>
    </row>
    <row r="441" spans="1:20" x14ac:dyDescent="0.3">
      <c r="A441" s="11" t="s">
        <v>528</v>
      </c>
      <c r="B441" s="11" t="s">
        <v>14</v>
      </c>
      <c r="C441" s="11" t="s">
        <v>21</v>
      </c>
      <c r="D441" s="11" t="s">
        <v>16</v>
      </c>
      <c r="E441" s="11" t="s">
        <v>17</v>
      </c>
      <c r="F441" s="11" t="s">
        <v>18</v>
      </c>
      <c r="G441" s="12">
        <v>2008</v>
      </c>
      <c r="H441" s="12" t="str">
        <f>IF(Table3[[#This Row],[Debut Year]]&lt;=2000,"1999–2000",
IF(Table3[[#This Row],[Debut Year]]&lt;=2005,"2001–2005",
IF(Table3[[#This Row],[Debut Year]]&lt;=2010,"2006–2010",
IF(Table3[[#This Row],[Debut Year]]&lt;=2015,"2011–2015",
IF(Table3[[#This Row],[Debut Year]]&lt;=2020,"2016–2020",
"2021–2025")))))</f>
        <v>2006–2010</v>
      </c>
      <c r="I441" s="12">
        <v>7817.3</v>
      </c>
      <c r="J441" s="12">
        <v>4590.3999999999996</v>
      </c>
      <c r="K441" s="12">
        <v>3227</v>
      </c>
      <c r="L441" s="4">
        <v>1655.2</v>
      </c>
      <c r="M441" s="6">
        <f>Table2[[#This Row],[% of Solo Streams]]/100</f>
        <v>0.21173550970000002</v>
      </c>
      <c r="N441" s="3">
        <v>6162.1</v>
      </c>
      <c r="O441" s="6">
        <f>Table2[[#This Row],[% of Collaborative Streams]]/100</f>
        <v>0.78826449030000001</v>
      </c>
      <c r="P441" s="4">
        <f>Table3[[#This Row],[Lead Streams (in millions)]]+Table3[[#This Row],[Feature Streams (in millions)]]</f>
        <v>7817.4</v>
      </c>
      <c r="Q441" s="4">
        <f>_xlfn.RANK.EQ(Table3[[#This Row],[Total Stream]],Table3[Total Stream],0)</f>
        <v>440</v>
      </c>
      <c r="R441" s="4">
        <f>Table3[[#This Row],[Total Streams (in millions)]]-Table3[[#This Row],[Total Stream]]</f>
        <v>-9.9999999999454303E-2</v>
      </c>
      <c r="S441" s="8">
        <f>IFERROR(Table3[[#This Row],[Collaborative Streams (in millions)]]/Table3[[#This Row],[Total Stream]],0)</f>
        <v>0.78825440683603254</v>
      </c>
      <c r="T441" t="str">
        <f>IF(Table3[[#This Row],[Total Streams (in millions)]]&gt;=50000,"High Performer",IF(Table3[[#This Row],[Total Streams (in millions)]]&gt;=20000,"Medium Performer","Low Performer"))</f>
        <v>Low Performer</v>
      </c>
    </row>
    <row r="442" spans="1:20" x14ac:dyDescent="0.3">
      <c r="A442" s="9" t="s">
        <v>529</v>
      </c>
      <c r="B442" s="9" t="s">
        <v>14</v>
      </c>
      <c r="C442" s="9" t="s">
        <v>21</v>
      </c>
      <c r="D442" s="9" t="s">
        <v>16</v>
      </c>
      <c r="E442" s="9" t="s">
        <v>27</v>
      </c>
      <c r="F442" s="9" t="s">
        <v>18</v>
      </c>
      <c r="G442" s="10">
        <v>2016</v>
      </c>
      <c r="H442" s="10" t="str">
        <f>IF(Table3[[#This Row],[Debut Year]]&lt;=2000,"1999–2000",
IF(Table3[[#This Row],[Debut Year]]&lt;=2005,"2001–2005",
IF(Table3[[#This Row],[Debut Year]]&lt;=2010,"2006–2010",
IF(Table3[[#This Row],[Debut Year]]&lt;=2015,"2011–2015",
IF(Table3[[#This Row],[Debut Year]]&lt;=2020,"2016–2020",
"2021–2025")))))</f>
        <v>2016–2020</v>
      </c>
      <c r="I442" s="10">
        <v>7810.5</v>
      </c>
      <c r="J442" s="10">
        <v>3575.2</v>
      </c>
      <c r="K442" s="10">
        <v>4235.2</v>
      </c>
      <c r="L442" s="4">
        <v>2342.1</v>
      </c>
      <c r="M442" s="6">
        <f>Table2[[#This Row],[% of Solo Streams]]/100</f>
        <v>0.29986556559999999</v>
      </c>
      <c r="N442" s="3">
        <v>5468.4</v>
      </c>
      <c r="O442" s="6">
        <f>Table2[[#This Row],[% of Collaborative Streams]]/100</f>
        <v>0.70013443440000001</v>
      </c>
      <c r="P442" s="4">
        <f>Table3[[#This Row],[Lead Streams (in millions)]]+Table3[[#This Row],[Feature Streams (in millions)]]</f>
        <v>7810.4</v>
      </c>
      <c r="Q442" s="4">
        <f>_xlfn.RANK.EQ(Table3[[#This Row],[Total Stream]],Table3[Total Stream],0)</f>
        <v>441</v>
      </c>
      <c r="R442" s="4">
        <f>Table3[[#This Row],[Total Streams (in millions)]]-Table3[[#This Row],[Total Stream]]</f>
        <v>0.1000000000003638</v>
      </c>
      <c r="S442" s="8">
        <f>IFERROR(Table3[[#This Row],[Collaborative Streams (in millions)]]/Table3[[#This Row],[Total Stream]],0)</f>
        <v>0.70014339854552898</v>
      </c>
      <c r="T442" t="str">
        <f>IF(Table3[[#This Row],[Total Streams (in millions)]]&gt;=50000,"High Performer",IF(Table3[[#This Row],[Total Streams (in millions)]]&gt;=20000,"Medium Performer","Low Performer"))</f>
        <v>Low Performer</v>
      </c>
    </row>
    <row r="443" spans="1:20" x14ac:dyDescent="0.3">
      <c r="A443" s="11" t="s">
        <v>530</v>
      </c>
      <c r="B443" s="11" t="s">
        <v>14</v>
      </c>
      <c r="C443" s="11" t="s">
        <v>33</v>
      </c>
      <c r="D443" s="11" t="s">
        <v>16</v>
      </c>
      <c r="E443" s="11" t="s">
        <v>60</v>
      </c>
      <c r="F443" s="11" t="s">
        <v>48</v>
      </c>
      <c r="G443" s="12">
        <v>2010</v>
      </c>
      <c r="H443" s="12" t="str">
        <f>IF(Table3[[#This Row],[Debut Year]]&lt;=2000,"1999–2000",
IF(Table3[[#This Row],[Debut Year]]&lt;=2005,"2001–2005",
IF(Table3[[#This Row],[Debut Year]]&lt;=2010,"2006–2010",
IF(Table3[[#This Row],[Debut Year]]&lt;=2015,"2011–2015",
IF(Table3[[#This Row],[Debut Year]]&lt;=2020,"2016–2020",
"2021–2025")))))</f>
        <v>2006–2010</v>
      </c>
      <c r="I443" s="12">
        <v>7787.8</v>
      </c>
      <c r="J443" s="12">
        <v>5988.8</v>
      </c>
      <c r="K443" s="12">
        <v>1801.6</v>
      </c>
      <c r="L443" s="4">
        <v>801</v>
      </c>
      <c r="M443" s="6">
        <f>Table2[[#This Row],[% of Solo Streams]]/100</f>
        <v>0.1028531806</v>
      </c>
      <c r="N443" s="3">
        <v>6986.8</v>
      </c>
      <c r="O443" s="6">
        <f>Table2[[#This Row],[% of Collaborative Streams]]/100</f>
        <v>0.89714681940000007</v>
      </c>
      <c r="P443" s="4">
        <f>Table3[[#This Row],[Lead Streams (in millions)]]+Table3[[#This Row],[Feature Streams (in millions)]]</f>
        <v>7790.4</v>
      </c>
      <c r="Q443" s="4">
        <f>_xlfn.RANK.EQ(Table3[[#This Row],[Total Stream]],Table3[Total Stream],0)</f>
        <v>442</v>
      </c>
      <c r="R443" s="4">
        <f>Table3[[#This Row],[Total Streams (in millions)]]-Table3[[#This Row],[Total Stream]]</f>
        <v>-2.5999999999994543</v>
      </c>
      <c r="S443" s="8">
        <f>IFERROR(Table3[[#This Row],[Collaborative Streams (in millions)]]/Table3[[#This Row],[Total Stream]],0)</f>
        <v>0.89684740193058132</v>
      </c>
      <c r="T443" t="str">
        <f>IF(Table3[[#This Row],[Total Streams (in millions)]]&gt;=50000,"High Performer",IF(Table3[[#This Row],[Total Streams (in millions)]]&gt;=20000,"Medium Performer","Low Performer"))</f>
        <v>Low Performer</v>
      </c>
    </row>
    <row r="444" spans="1:20" x14ac:dyDescent="0.3">
      <c r="A444" s="9" t="s">
        <v>531</v>
      </c>
      <c r="B444" s="9" t="s">
        <v>14</v>
      </c>
      <c r="C444" s="9" t="s">
        <v>21</v>
      </c>
      <c r="D444" s="9" t="s">
        <v>24</v>
      </c>
      <c r="E444" s="9" t="s">
        <v>25</v>
      </c>
      <c r="F444" s="9" t="s">
        <v>18</v>
      </c>
      <c r="G444" s="10">
        <v>2014</v>
      </c>
      <c r="H444" s="10" t="str">
        <f>IF(Table3[[#This Row],[Debut Year]]&lt;=2000,"1999–2000",
IF(Table3[[#This Row],[Debut Year]]&lt;=2005,"2001–2005",
IF(Table3[[#This Row],[Debut Year]]&lt;=2010,"2006–2010",
IF(Table3[[#This Row],[Debut Year]]&lt;=2015,"2011–2015",
IF(Table3[[#This Row],[Debut Year]]&lt;=2020,"2016–2020",
"2021–2025")))))</f>
        <v>2011–2015</v>
      </c>
      <c r="I444" s="10">
        <v>7785.3</v>
      </c>
      <c r="J444" s="10">
        <v>2720.2</v>
      </c>
      <c r="K444" s="10">
        <v>5065.1000000000004</v>
      </c>
      <c r="L444" s="4">
        <v>69.3</v>
      </c>
      <c r="M444" s="6">
        <f>Table2[[#This Row],[% of Solo Streams]]/100</f>
        <v>8.9013910829999991E-3</v>
      </c>
      <c r="N444" s="3">
        <v>7716</v>
      </c>
      <c r="O444" s="6">
        <f>Table2[[#This Row],[% of Collaborative Streams]]/100</f>
        <v>0.9910986088999999</v>
      </c>
      <c r="P444" s="4">
        <f>Table3[[#This Row],[Lead Streams (in millions)]]+Table3[[#This Row],[Feature Streams (in millions)]]</f>
        <v>7785.3</v>
      </c>
      <c r="Q444" s="4">
        <f>_xlfn.RANK.EQ(Table3[[#This Row],[Total Stream]],Table3[Total Stream],0)</f>
        <v>443</v>
      </c>
      <c r="R444" s="4">
        <f>Table3[[#This Row],[Total Streams (in millions)]]-Table3[[#This Row],[Total Stream]]</f>
        <v>0</v>
      </c>
      <c r="S444" s="8">
        <f>IFERROR(Table3[[#This Row],[Collaborative Streams (in millions)]]/Table3[[#This Row],[Total Stream]],0)</f>
        <v>0.99109860891680468</v>
      </c>
      <c r="T444" t="str">
        <f>IF(Table3[[#This Row],[Total Streams (in millions)]]&gt;=50000,"High Performer",IF(Table3[[#This Row],[Total Streams (in millions)]]&gt;=20000,"Medium Performer","Low Performer"))</f>
        <v>Low Performer</v>
      </c>
    </row>
    <row r="445" spans="1:20" x14ac:dyDescent="0.3">
      <c r="A445" s="11" t="s">
        <v>532</v>
      </c>
      <c r="B445" s="11" t="s">
        <v>14</v>
      </c>
      <c r="C445" s="11" t="s">
        <v>147</v>
      </c>
      <c r="D445" s="11" t="s">
        <v>16</v>
      </c>
      <c r="E445" s="11" t="s">
        <v>60</v>
      </c>
      <c r="F445" s="11" t="s">
        <v>18</v>
      </c>
      <c r="G445" s="12">
        <v>2010</v>
      </c>
      <c r="H445" s="12" t="str">
        <f>IF(Table3[[#This Row],[Debut Year]]&lt;=2000,"1999–2000",
IF(Table3[[#This Row],[Debut Year]]&lt;=2005,"2001–2005",
IF(Table3[[#This Row],[Debut Year]]&lt;=2010,"2006–2010",
IF(Table3[[#This Row],[Debut Year]]&lt;=2015,"2011–2015",
IF(Table3[[#This Row],[Debut Year]]&lt;=2020,"2016–2020",
"2021–2025")))))</f>
        <v>2006–2010</v>
      </c>
      <c r="I445" s="12">
        <v>7765.7</v>
      </c>
      <c r="J445" s="12">
        <v>4434.2</v>
      </c>
      <c r="K445" s="12">
        <v>3331.5</v>
      </c>
      <c r="L445" s="4">
        <v>781.1</v>
      </c>
      <c r="M445" s="6">
        <f>Table2[[#This Row],[% of Solo Streams]]/100</f>
        <v>0.1005833344</v>
      </c>
      <c r="N445" s="3">
        <v>6984.6</v>
      </c>
      <c r="O445" s="6">
        <f>Table2[[#This Row],[% of Collaborative Streams]]/100</f>
        <v>0.8994166656</v>
      </c>
      <c r="P445" s="4">
        <f>Table3[[#This Row],[Lead Streams (in millions)]]+Table3[[#This Row],[Feature Streams (in millions)]]</f>
        <v>7765.7</v>
      </c>
      <c r="Q445" s="4">
        <f>_xlfn.RANK.EQ(Table3[[#This Row],[Total Stream]],Table3[Total Stream],0)</f>
        <v>444</v>
      </c>
      <c r="R445" s="4">
        <f>Table3[[#This Row],[Total Streams (in millions)]]-Table3[[#This Row],[Total Stream]]</f>
        <v>0</v>
      </c>
      <c r="S445" s="8">
        <f>IFERROR(Table3[[#This Row],[Collaborative Streams (in millions)]]/Table3[[#This Row],[Total Stream]],0)</f>
        <v>0.89941666559357181</v>
      </c>
      <c r="T445" t="str">
        <f>IF(Table3[[#This Row],[Total Streams (in millions)]]&gt;=50000,"High Performer",IF(Table3[[#This Row],[Total Streams (in millions)]]&gt;=20000,"Medium Performer","Low Performer"))</f>
        <v>Low Performer</v>
      </c>
    </row>
    <row r="446" spans="1:20" x14ac:dyDescent="0.3">
      <c r="A446" s="9" t="s">
        <v>533</v>
      </c>
      <c r="B446" s="9" t="s">
        <v>14</v>
      </c>
      <c r="C446" s="9" t="s">
        <v>534</v>
      </c>
      <c r="D446" s="9" t="s">
        <v>129</v>
      </c>
      <c r="E446" s="9" t="s">
        <v>17</v>
      </c>
      <c r="F446" s="9" t="s">
        <v>18</v>
      </c>
      <c r="G446" s="10">
        <v>2006</v>
      </c>
      <c r="H446" s="10" t="str">
        <f>IF(Table3[[#This Row],[Debut Year]]&lt;=2000,"1999–2000",
IF(Table3[[#This Row],[Debut Year]]&lt;=2005,"2001–2005",
IF(Table3[[#This Row],[Debut Year]]&lt;=2010,"2006–2010",
IF(Table3[[#This Row],[Debut Year]]&lt;=2015,"2011–2015",
IF(Table3[[#This Row],[Debut Year]]&lt;=2020,"2016–2020",
"2021–2025")))))</f>
        <v>2006–2010</v>
      </c>
      <c r="I446" s="10">
        <v>7738.2</v>
      </c>
      <c r="J446" s="10">
        <v>3470.6</v>
      </c>
      <c r="K446" s="10">
        <v>4267.7</v>
      </c>
      <c r="L446" s="4">
        <v>1580.4</v>
      </c>
      <c r="M446" s="6">
        <f>Table2[[#This Row],[% of Solo Streams]]/100</f>
        <v>0.20423354270000002</v>
      </c>
      <c r="N446" s="3">
        <v>6157.8</v>
      </c>
      <c r="O446" s="6">
        <f>Table2[[#This Row],[% of Collaborative Streams]]/100</f>
        <v>0.79576645729999995</v>
      </c>
      <c r="P446" s="4">
        <f>Table3[[#This Row],[Lead Streams (in millions)]]+Table3[[#This Row],[Feature Streams (in millions)]]</f>
        <v>7738.2999999999993</v>
      </c>
      <c r="Q446" s="4">
        <f>_xlfn.RANK.EQ(Table3[[#This Row],[Total Stream]],Table3[Total Stream],0)</f>
        <v>445</v>
      </c>
      <c r="R446" s="4">
        <f>Table3[[#This Row],[Total Streams (in millions)]]-Table3[[#This Row],[Total Stream]]</f>
        <v>-9.9999999999454303E-2</v>
      </c>
      <c r="S446" s="8">
        <f>IFERROR(Table3[[#This Row],[Collaborative Streams (in millions)]]/Table3[[#This Row],[Total Stream]],0)</f>
        <v>0.79575617383663089</v>
      </c>
      <c r="T446" t="str">
        <f>IF(Table3[[#This Row],[Total Streams (in millions)]]&gt;=50000,"High Performer",IF(Table3[[#This Row],[Total Streams (in millions)]]&gt;=20000,"Medium Performer","Low Performer"))</f>
        <v>Low Performer</v>
      </c>
    </row>
    <row r="447" spans="1:20" x14ac:dyDescent="0.3">
      <c r="A447" s="11" t="s">
        <v>535</v>
      </c>
      <c r="B447" s="11" t="s">
        <v>14</v>
      </c>
      <c r="C447" s="11" t="s">
        <v>21</v>
      </c>
      <c r="D447" s="11" t="s">
        <v>16</v>
      </c>
      <c r="E447" s="11" t="s">
        <v>17</v>
      </c>
      <c r="F447" s="11" t="s">
        <v>18</v>
      </c>
      <c r="G447" s="12">
        <v>2000</v>
      </c>
      <c r="H447" s="12" t="str">
        <f>IF(Table3[[#This Row],[Debut Year]]&lt;=2000,"1999–2000",
IF(Table3[[#This Row],[Debut Year]]&lt;=2005,"2001–2005",
IF(Table3[[#This Row],[Debut Year]]&lt;=2010,"2006–2010",
IF(Table3[[#This Row],[Debut Year]]&lt;=2015,"2011–2015",
IF(Table3[[#This Row],[Debut Year]]&lt;=2020,"2016–2020",
"2021–2025")))))</f>
        <v>1999–2000</v>
      </c>
      <c r="I447" s="12">
        <v>7729.6</v>
      </c>
      <c r="J447" s="12">
        <v>6445.6</v>
      </c>
      <c r="K447" s="12">
        <v>1287.7</v>
      </c>
      <c r="L447" s="4">
        <v>2355.3000000000002</v>
      </c>
      <c r="M447" s="6">
        <f>Table2[[#This Row],[% of Solo Streams]]/100</f>
        <v>0.30471175740000001</v>
      </c>
      <c r="N447" s="3">
        <v>5374.3</v>
      </c>
      <c r="O447" s="6">
        <f>Table2[[#This Row],[% of Collaborative Streams]]/100</f>
        <v>0.69528824259999988</v>
      </c>
      <c r="P447" s="4">
        <f>Table3[[#This Row],[Lead Streams (in millions)]]+Table3[[#This Row],[Feature Streams (in millions)]]</f>
        <v>7733.3</v>
      </c>
      <c r="Q447" s="4">
        <f>_xlfn.RANK.EQ(Table3[[#This Row],[Total Stream]],Table3[Total Stream],0)</f>
        <v>446</v>
      </c>
      <c r="R447" s="4">
        <f>Table3[[#This Row],[Total Streams (in millions)]]-Table3[[#This Row],[Total Stream]]</f>
        <v>-3.6999999999998181</v>
      </c>
      <c r="S447" s="8">
        <f>IFERROR(Table3[[#This Row],[Collaborative Streams (in millions)]]/Table3[[#This Row],[Total Stream]],0)</f>
        <v>0.69495558170509353</v>
      </c>
      <c r="T447" t="str">
        <f>IF(Table3[[#This Row],[Total Streams (in millions)]]&gt;=50000,"High Performer",IF(Table3[[#This Row],[Total Streams (in millions)]]&gt;=20000,"Medium Performer","Low Performer"))</f>
        <v>Low Performer</v>
      </c>
    </row>
    <row r="448" spans="1:20" x14ac:dyDescent="0.3">
      <c r="A448" s="9" t="s">
        <v>536</v>
      </c>
      <c r="B448" s="9" t="s">
        <v>14</v>
      </c>
      <c r="C448" s="9" t="s">
        <v>33</v>
      </c>
      <c r="D448" s="9" t="s">
        <v>16</v>
      </c>
      <c r="E448" s="9" t="s">
        <v>51</v>
      </c>
      <c r="F448" s="9" t="s">
        <v>48</v>
      </c>
      <c r="G448" s="10">
        <v>2009</v>
      </c>
      <c r="H448" s="10" t="str">
        <f>IF(Table3[[#This Row],[Debut Year]]&lt;=2000,"1999–2000",
IF(Table3[[#This Row],[Debut Year]]&lt;=2005,"2001–2005",
IF(Table3[[#This Row],[Debut Year]]&lt;=2010,"2006–2010",
IF(Table3[[#This Row],[Debut Year]]&lt;=2015,"2011–2015",
IF(Table3[[#This Row],[Debut Year]]&lt;=2020,"2016–2020",
"2021–2025")))))</f>
        <v>2006–2010</v>
      </c>
      <c r="I448" s="10">
        <v>7713.9</v>
      </c>
      <c r="J448" s="10">
        <v>7713.9</v>
      </c>
      <c r="K448" s="10">
        <v>0</v>
      </c>
      <c r="L448" s="4">
        <v>7200.6</v>
      </c>
      <c r="M448" s="6">
        <f>Table2[[#This Row],[% of Solo Streams]]/100</f>
        <v>0.93345778400000001</v>
      </c>
      <c r="N448" s="3">
        <v>513.29999999999995</v>
      </c>
      <c r="O448" s="6">
        <f>Table2[[#This Row],[% of Collaborative Streams]]/100</f>
        <v>6.6542216000000001E-2</v>
      </c>
      <c r="P448" s="4">
        <f>Table3[[#This Row],[Lead Streams (in millions)]]+Table3[[#This Row],[Feature Streams (in millions)]]</f>
        <v>7713.9</v>
      </c>
      <c r="Q448" s="4">
        <f>_xlfn.RANK.EQ(Table3[[#This Row],[Total Stream]],Table3[Total Stream],0)</f>
        <v>447</v>
      </c>
      <c r="R448" s="4">
        <f>Table3[[#This Row],[Total Streams (in millions)]]-Table3[[#This Row],[Total Stream]]</f>
        <v>0</v>
      </c>
      <c r="S448" s="8">
        <f>IFERROR(Table3[[#This Row],[Collaborative Streams (in millions)]]/Table3[[#This Row],[Total Stream]],0)</f>
        <v>6.6542215999688875E-2</v>
      </c>
      <c r="T448" t="str">
        <f>IF(Table3[[#This Row],[Total Streams (in millions)]]&gt;=50000,"High Performer",IF(Table3[[#This Row],[Total Streams (in millions)]]&gt;=20000,"Medium Performer","Low Performer"))</f>
        <v>Low Performer</v>
      </c>
    </row>
    <row r="449" spans="1:20" x14ac:dyDescent="0.3">
      <c r="A449" s="11" t="s">
        <v>537</v>
      </c>
      <c r="B449" s="11" t="s">
        <v>14</v>
      </c>
      <c r="C449" s="11" t="s">
        <v>71</v>
      </c>
      <c r="D449" s="11" t="s">
        <v>72</v>
      </c>
      <c r="E449" s="11" t="s">
        <v>22</v>
      </c>
      <c r="F449" s="11" t="s">
        <v>18</v>
      </c>
      <c r="G449" s="12">
        <v>1999</v>
      </c>
      <c r="H449" s="12" t="str">
        <f>IF(Table3[[#This Row],[Debut Year]]&lt;=2000,"1999–2000",
IF(Table3[[#This Row],[Debut Year]]&lt;=2005,"2001–2005",
IF(Table3[[#This Row],[Debut Year]]&lt;=2010,"2006–2010",
IF(Table3[[#This Row],[Debut Year]]&lt;=2015,"2011–2015",
IF(Table3[[#This Row],[Debut Year]]&lt;=2020,"2016–2020",
"2021–2025")))))</f>
        <v>1999–2000</v>
      </c>
      <c r="I449" s="12">
        <v>7689.5</v>
      </c>
      <c r="J449" s="12">
        <v>107.1</v>
      </c>
      <c r="K449" s="12">
        <v>7598.6</v>
      </c>
      <c r="L449" s="4">
        <v>0</v>
      </c>
      <c r="M449" s="6">
        <f>Table2[[#This Row],[% of Solo Streams]]/100</f>
        <v>0</v>
      </c>
      <c r="N449" s="3">
        <v>7689.5</v>
      </c>
      <c r="O449" s="6">
        <f>Table2[[#This Row],[% of Collaborative Streams]]/100</f>
        <v>1</v>
      </c>
      <c r="P449" s="4">
        <f>Table3[[#This Row],[Lead Streams (in millions)]]+Table3[[#This Row],[Feature Streams (in millions)]]</f>
        <v>7705.7000000000007</v>
      </c>
      <c r="Q449" s="4">
        <f>_xlfn.RANK.EQ(Table3[[#This Row],[Total Stream]],Table3[Total Stream],0)</f>
        <v>448</v>
      </c>
      <c r="R449" s="4">
        <f>Table3[[#This Row],[Total Streams (in millions)]]-Table3[[#This Row],[Total Stream]]</f>
        <v>-16.200000000000728</v>
      </c>
      <c r="S449" s="8">
        <f>IFERROR(Table3[[#This Row],[Collaborative Streams (in millions)]]/Table3[[#This Row],[Total Stream]],0)</f>
        <v>0.99789766017363757</v>
      </c>
      <c r="T449" t="str">
        <f>IF(Table3[[#This Row],[Total Streams (in millions)]]&gt;=50000,"High Performer",IF(Table3[[#This Row],[Total Streams (in millions)]]&gt;=20000,"Medium Performer","Low Performer"))</f>
        <v>Low Performer</v>
      </c>
    </row>
    <row r="450" spans="1:20" x14ac:dyDescent="0.3">
      <c r="A450" s="9" t="s">
        <v>538</v>
      </c>
      <c r="B450" s="9" t="s">
        <v>14</v>
      </c>
      <c r="C450" s="9" t="s">
        <v>21</v>
      </c>
      <c r="D450" s="9" t="s">
        <v>16</v>
      </c>
      <c r="E450" s="9" t="s">
        <v>51</v>
      </c>
      <c r="F450" s="9" t="s">
        <v>48</v>
      </c>
      <c r="G450" s="10">
        <v>1991</v>
      </c>
      <c r="H450" s="10" t="str">
        <f>IF(Table3[[#This Row],[Debut Year]]&lt;=2000,"1999–2000",
IF(Table3[[#This Row],[Debut Year]]&lt;=2005,"2001–2005",
IF(Table3[[#This Row],[Debut Year]]&lt;=2010,"2006–2010",
IF(Table3[[#This Row],[Debut Year]]&lt;=2015,"2011–2015",
IF(Table3[[#This Row],[Debut Year]]&lt;=2020,"2016–2020",
"2021–2025")))))</f>
        <v>1999–2000</v>
      </c>
      <c r="I450" s="10">
        <v>7673.1</v>
      </c>
      <c r="J450" s="10">
        <v>7673.1</v>
      </c>
      <c r="K450" s="10">
        <v>0</v>
      </c>
      <c r="L450" s="4">
        <v>7659.2</v>
      </c>
      <c r="M450" s="6">
        <f>Table2[[#This Row],[% of Solo Streams]]/100</f>
        <v>0.99818847659999999</v>
      </c>
      <c r="N450" s="3">
        <v>13.9</v>
      </c>
      <c r="O450" s="6">
        <f>Table2[[#This Row],[% of Collaborative Streams]]/100</f>
        <v>1.811523374E-3</v>
      </c>
      <c r="P450" s="4">
        <f>Table3[[#This Row],[Lead Streams (in millions)]]+Table3[[#This Row],[Feature Streams (in millions)]]</f>
        <v>7673.1</v>
      </c>
      <c r="Q450" s="4">
        <f>_xlfn.RANK.EQ(Table3[[#This Row],[Total Stream]],Table3[Total Stream],0)</f>
        <v>449</v>
      </c>
      <c r="R450" s="4">
        <f>Table3[[#This Row],[Total Streams (in millions)]]-Table3[[#This Row],[Total Stream]]</f>
        <v>0</v>
      </c>
      <c r="S450" s="8">
        <f>IFERROR(Table3[[#This Row],[Collaborative Streams (in millions)]]/Table3[[#This Row],[Total Stream]],0)</f>
        <v>1.8115233738645398E-3</v>
      </c>
      <c r="T450" t="str">
        <f>IF(Table3[[#This Row],[Total Streams (in millions)]]&gt;=50000,"High Performer",IF(Table3[[#This Row],[Total Streams (in millions)]]&gt;=20000,"Medium Performer","Low Performer"))</f>
        <v>Low Performer</v>
      </c>
    </row>
    <row r="451" spans="1:20" x14ac:dyDescent="0.3">
      <c r="A451" s="11" t="s">
        <v>539</v>
      </c>
      <c r="B451" s="11" t="s">
        <v>14</v>
      </c>
      <c r="C451" s="11" t="s">
        <v>21</v>
      </c>
      <c r="D451" s="11" t="s">
        <v>24</v>
      </c>
      <c r="E451" s="11" t="s">
        <v>25</v>
      </c>
      <c r="F451" s="11" t="s">
        <v>18</v>
      </c>
      <c r="G451" s="12">
        <v>2004</v>
      </c>
      <c r="H451" s="12" t="str">
        <f>IF(Table3[[#This Row],[Debut Year]]&lt;=2000,"1999–2000",
IF(Table3[[#This Row],[Debut Year]]&lt;=2005,"2001–2005",
IF(Table3[[#This Row],[Debut Year]]&lt;=2010,"2006–2010",
IF(Table3[[#This Row],[Debut Year]]&lt;=2015,"2011–2015",
IF(Table3[[#This Row],[Debut Year]]&lt;=2020,"2016–2020",
"2021–2025")))))</f>
        <v>2001–2005</v>
      </c>
      <c r="I451" s="12">
        <v>7661.6</v>
      </c>
      <c r="J451" s="12">
        <v>1713.9</v>
      </c>
      <c r="K451" s="12">
        <v>5947.7</v>
      </c>
      <c r="L451" s="4">
        <v>560.9</v>
      </c>
      <c r="M451" s="6">
        <f>Table2[[#This Row],[% of Solo Streams]]/100</f>
        <v>7.3209251330000003E-2</v>
      </c>
      <c r="N451" s="3">
        <v>7100.7</v>
      </c>
      <c r="O451" s="6">
        <f>Table2[[#This Row],[% of Collaborative Streams]]/100</f>
        <v>0.92679074869999989</v>
      </c>
      <c r="P451" s="4">
        <f>Table3[[#This Row],[Lead Streams (in millions)]]+Table3[[#This Row],[Feature Streams (in millions)]]</f>
        <v>7661.6</v>
      </c>
      <c r="Q451" s="4">
        <f>_xlfn.RANK.EQ(Table3[[#This Row],[Total Stream]],Table3[Total Stream],0)</f>
        <v>450</v>
      </c>
      <c r="R451" s="4">
        <f>Table3[[#This Row],[Total Streams (in millions)]]-Table3[[#This Row],[Total Stream]]</f>
        <v>0</v>
      </c>
      <c r="S451" s="8">
        <f>IFERROR(Table3[[#This Row],[Collaborative Streams (in millions)]]/Table3[[#This Row],[Total Stream]],0)</f>
        <v>0.92679074866868527</v>
      </c>
      <c r="T451" t="str">
        <f>IF(Table3[[#This Row],[Total Streams (in millions)]]&gt;=50000,"High Performer",IF(Table3[[#This Row],[Total Streams (in millions)]]&gt;=20000,"Medium Performer","Low Performer"))</f>
        <v>Low Performer</v>
      </c>
    </row>
    <row r="452" spans="1:20" x14ac:dyDescent="0.3">
      <c r="A452" s="9" t="s">
        <v>540</v>
      </c>
      <c r="B452" s="9" t="s">
        <v>14</v>
      </c>
      <c r="C452" s="9" t="s">
        <v>42</v>
      </c>
      <c r="D452" s="9" t="s">
        <v>24</v>
      </c>
      <c r="E452" s="9" t="s">
        <v>25</v>
      </c>
      <c r="F452" s="9" t="s">
        <v>18</v>
      </c>
      <c r="G452" s="10">
        <v>2017</v>
      </c>
      <c r="H452" s="10" t="str">
        <f>IF(Table3[[#This Row],[Debut Year]]&lt;=2000,"1999–2000",
IF(Table3[[#This Row],[Debut Year]]&lt;=2005,"2001–2005",
IF(Table3[[#This Row],[Debut Year]]&lt;=2010,"2006–2010",
IF(Table3[[#This Row],[Debut Year]]&lt;=2015,"2011–2015",
IF(Table3[[#This Row],[Debut Year]]&lt;=2020,"2016–2020",
"2021–2025")))))</f>
        <v>2016–2020</v>
      </c>
      <c r="I452" s="10">
        <v>7645.2</v>
      </c>
      <c r="J452" s="10">
        <v>4203.6000000000004</v>
      </c>
      <c r="K452" s="10">
        <v>3448.5</v>
      </c>
      <c r="L452" s="4">
        <v>1809.6</v>
      </c>
      <c r="M452" s="6">
        <f>Table2[[#This Row],[% of Solo Streams]]/100</f>
        <v>0.23669753570000002</v>
      </c>
      <c r="N452" s="3">
        <v>5835.6</v>
      </c>
      <c r="O452" s="6">
        <f>Table2[[#This Row],[% of Collaborative Streams]]/100</f>
        <v>0.76330246430000004</v>
      </c>
      <c r="P452" s="4">
        <f>Table3[[#This Row],[Lead Streams (in millions)]]+Table3[[#This Row],[Feature Streams (in millions)]]</f>
        <v>7652.1</v>
      </c>
      <c r="Q452" s="4">
        <f>_xlfn.RANK.EQ(Table3[[#This Row],[Total Stream]],Table3[Total Stream],0)</f>
        <v>451</v>
      </c>
      <c r="R452" s="4">
        <f>Table3[[#This Row],[Total Streams (in millions)]]-Table3[[#This Row],[Total Stream]]</f>
        <v>-6.9000000000005457</v>
      </c>
      <c r="S452" s="8">
        <f>IFERROR(Table3[[#This Row],[Collaborative Streams (in millions)]]/Table3[[#This Row],[Total Stream]],0)</f>
        <v>0.76261418434155326</v>
      </c>
      <c r="T452" t="str">
        <f>IF(Table3[[#This Row],[Total Streams (in millions)]]&gt;=50000,"High Performer",IF(Table3[[#This Row],[Total Streams (in millions)]]&gt;=20000,"Medium Performer","Low Performer"))</f>
        <v>Low Performer</v>
      </c>
    </row>
    <row r="453" spans="1:20" x14ac:dyDescent="0.3">
      <c r="A453" s="11" t="s">
        <v>541</v>
      </c>
      <c r="B453" s="11" t="s">
        <v>20</v>
      </c>
      <c r="C453" s="11" t="s">
        <v>15</v>
      </c>
      <c r="D453" s="11" t="s">
        <v>16</v>
      </c>
      <c r="E453" s="11" t="s">
        <v>22</v>
      </c>
      <c r="F453" s="11" t="s">
        <v>18</v>
      </c>
      <c r="G453" s="12">
        <v>2000</v>
      </c>
      <c r="H453" s="12" t="str">
        <f>IF(Table3[[#This Row],[Debut Year]]&lt;=2000,"1999–2000",
IF(Table3[[#This Row],[Debut Year]]&lt;=2005,"2001–2005",
IF(Table3[[#This Row],[Debut Year]]&lt;=2010,"2006–2010",
IF(Table3[[#This Row],[Debut Year]]&lt;=2015,"2011–2015",
IF(Table3[[#This Row],[Debut Year]]&lt;=2020,"2016–2020",
"2021–2025")))))</f>
        <v>1999–2000</v>
      </c>
      <c r="I453" s="12">
        <v>7628.1</v>
      </c>
      <c r="J453" s="12">
        <v>6657.6</v>
      </c>
      <c r="K453" s="12">
        <v>974.8</v>
      </c>
      <c r="L453" s="4">
        <v>3569</v>
      </c>
      <c r="M453" s="6">
        <f>Table2[[#This Row],[% of Solo Streams]]/100</f>
        <v>0.46787535560000004</v>
      </c>
      <c r="N453" s="3">
        <v>4059.1</v>
      </c>
      <c r="O453" s="6">
        <f>Table2[[#This Row],[% of Collaborative Streams]]/100</f>
        <v>0.53212464439999996</v>
      </c>
      <c r="P453" s="4">
        <f>Table3[[#This Row],[Lead Streams (in millions)]]+Table3[[#This Row],[Feature Streams (in millions)]]</f>
        <v>7632.4000000000005</v>
      </c>
      <c r="Q453" s="4">
        <f>_xlfn.RANK.EQ(Table3[[#This Row],[Total Stream]],Table3[Total Stream],0)</f>
        <v>452</v>
      </c>
      <c r="R453" s="4">
        <f>Table3[[#This Row],[Total Streams (in millions)]]-Table3[[#This Row],[Total Stream]]</f>
        <v>-4.3000000000001819</v>
      </c>
      <c r="S453" s="8">
        <f>IFERROR(Table3[[#This Row],[Collaborative Streams (in millions)]]/Table3[[#This Row],[Total Stream]],0)</f>
        <v>0.53182485194696294</v>
      </c>
      <c r="T453" t="str">
        <f>IF(Table3[[#This Row],[Total Streams (in millions)]]&gt;=50000,"High Performer",IF(Table3[[#This Row],[Total Streams (in millions)]]&gt;=20000,"Medium Performer","Low Performer"))</f>
        <v>Low Performer</v>
      </c>
    </row>
    <row r="454" spans="1:20" x14ac:dyDescent="0.3">
      <c r="A454" s="9" t="s">
        <v>542</v>
      </c>
      <c r="B454" s="9" t="s">
        <v>14</v>
      </c>
      <c r="C454" s="9" t="s">
        <v>166</v>
      </c>
      <c r="D454" s="9" t="s">
        <v>167</v>
      </c>
      <c r="E454" s="9" t="s">
        <v>82</v>
      </c>
      <c r="F454" s="9" t="s">
        <v>18</v>
      </c>
      <c r="G454" s="10">
        <v>2003</v>
      </c>
      <c r="H454" s="10" t="str">
        <f>IF(Table3[[#This Row],[Debut Year]]&lt;=2000,"1999–2000",
IF(Table3[[#This Row],[Debut Year]]&lt;=2005,"2001–2005",
IF(Table3[[#This Row],[Debut Year]]&lt;=2010,"2006–2010",
IF(Table3[[#This Row],[Debut Year]]&lt;=2015,"2011–2015",
IF(Table3[[#This Row],[Debut Year]]&lt;=2020,"2016–2020",
"2021–2025")))))</f>
        <v>2001–2005</v>
      </c>
      <c r="I454" s="10">
        <v>7618.8</v>
      </c>
      <c r="J454" s="10">
        <v>5257.8</v>
      </c>
      <c r="K454" s="10">
        <v>2361</v>
      </c>
      <c r="L454" s="4">
        <v>2908.3</v>
      </c>
      <c r="M454" s="6">
        <f>Table2[[#This Row],[% of Solo Streams]]/100</f>
        <v>0.38172678110000002</v>
      </c>
      <c r="N454" s="3">
        <v>4710.5</v>
      </c>
      <c r="O454" s="6">
        <f>Table2[[#This Row],[% of Collaborative Streams]]/100</f>
        <v>0.61827321889999998</v>
      </c>
      <c r="P454" s="4">
        <f>Table3[[#This Row],[Lead Streams (in millions)]]+Table3[[#This Row],[Feature Streams (in millions)]]</f>
        <v>7618.8</v>
      </c>
      <c r="Q454" s="4">
        <f>_xlfn.RANK.EQ(Table3[[#This Row],[Total Stream]],Table3[Total Stream],0)</f>
        <v>453</v>
      </c>
      <c r="R454" s="4">
        <f>Table3[[#This Row],[Total Streams (in millions)]]-Table3[[#This Row],[Total Stream]]</f>
        <v>0</v>
      </c>
      <c r="S454" s="8">
        <f>IFERROR(Table3[[#This Row],[Collaborative Streams (in millions)]]/Table3[[#This Row],[Total Stream]],0)</f>
        <v>0.61827321887961362</v>
      </c>
      <c r="T454" t="str">
        <f>IF(Table3[[#This Row],[Total Streams (in millions)]]&gt;=50000,"High Performer",IF(Table3[[#This Row],[Total Streams (in millions)]]&gt;=20000,"Medium Performer","Low Performer"))</f>
        <v>Low Performer</v>
      </c>
    </row>
    <row r="455" spans="1:20" x14ac:dyDescent="0.3">
      <c r="A455" s="11" t="s">
        <v>543</v>
      </c>
      <c r="B455" s="11" t="s">
        <v>14</v>
      </c>
      <c r="C455" s="11" t="s">
        <v>21</v>
      </c>
      <c r="D455" s="11" t="s">
        <v>16</v>
      </c>
      <c r="E455" s="11" t="s">
        <v>291</v>
      </c>
      <c r="F455" s="11" t="s">
        <v>48</v>
      </c>
      <c r="G455" s="12">
        <v>2000</v>
      </c>
      <c r="H455" s="12" t="str">
        <f>IF(Table3[[#This Row],[Debut Year]]&lt;=2000,"1999–2000",
IF(Table3[[#This Row],[Debut Year]]&lt;=2005,"2001–2005",
IF(Table3[[#This Row],[Debut Year]]&lt;=2010,"2006–2010",
IF(Table3[[#This Row],[Debut Year]]&lt;=2015,"2011–2015",
IF(Table3[[#This Row],[Debut Year]]&lt;=2020,"2016–2020",
"2021–2025")))))</f>
        <v>1999–2000</v>
      </c>
      <c r="I455" s="12">
        <v>7612.3</v>
      </c>
      <c r="J455" s="12">
        <v>7614.9</v>
      </c>
      <c r="K455" s="12">
        <v>0</v>
      </c>
      <c r="L455" s="4">
        <v>6849.1</v>
      </c>
      <c r="M455" s="6">
        <f>Table2[[#This Row],[% of Solo Streams]]/100</f>
        <v>0.89974120830000004</v>
      </c>
      <c r="N455" s="3">
        <v>763.2</v>
      </c>
      <c r="O455" s="6">
        <f>Table2[[#This Row],[% of Collaborative Streams]]/100</f>
        <v>0.1002587917</v>
      </c>
      <c r="P455" s="4">
        <f>Table3[[#This Row],[Lead Streams (in millions)]]+Table3[[#This Row],[Feature Streams (in millions)]]</f>
        <v>7614.9</v>
      </c>
      <c r="Q455" s="4">
        <f>_xlfn.RANK.EQ(Table3[[#This Row],[Total Stream]],Table3[Total Stream],0)</f>
        <v>454</v>
      </c>
      <c r="R455" s="4">
        <f>Table3[[#This Row],[Total Streams (in millions)]]-Table3[[#This Row],[Total Stream]]</f>
        <v>-2.5999999999994543</v>
      </c>
      <c r="S455" s="8">
        <f>IFERROR(Table3[[#This Row],[Collaborative Streams (in millions)]]/Table3[[#This Row],[Total Stream]],0)</f>
        <v>0.10022455974471103</v>
      </c>
      <c r="T455" t="str">
        <f>IF(Table3[[#This Row],[Total Streams (in millions)]]&gt;=50000,"High Performer",IF(Table3[[#This Row],[Total Streams (in millions)]]&gt;=20000,"Medium Performer","Low Performer"))</f>
        <v>Low Performer</v>
      </c>
    </row>
    <row r="456" spans="1:20" x14ac:dyDescent="0.3">
      <c r="A456" s="9" t="s">
        <v>544</v>
      </c>
      <c r="B456" s="9" t="s">
        <v>20</v>
      </c>
      <c r="C456" s="9" t="s">
        <v>21</v>
      </c>
      <c r="D456" s="9" t="s">
        <v>16</v>
      </c>
      <c r="E456" s="9" t="s">
        <v>27</v>
      </c>
      <c r="F456" s="9" t="s">
        <v>18</v>
      </c>
      <c r="G456" s="10">
        <v>2016</v>
      </c>
      <c r="H456" s="10" t="str">
        <f>IF(Table3[[#This Row],[Debut Year]]&lt;=2000,"1999–2000",
IF(Table3[[#This Row],[Debut Year]]&lt;=2005,"2001–2005",
IF(Table3[[#This Row],[Debut Year]]&lt;=2010,"2006–2010",
IF(Table3[[#This Row],[Debut Year]]&lt;=2015,"2011–2015",
IF(Table3[[#This Row],[Debut Year]]&lt;=2020,"2016–2020",
"2021–2025")))))</f>
        <v>2016–2020</v>
      </c>
      <c r="I456" s="10">
        <v>7608.2</v>
      </c>
      <c r="J456" s="10">
        <v>3801.5</v>
      </c>
      <c r="K456" s="10">
        <v>3806.7</v>
      </c>
      <c r="L456" s="4">
        <v>2191.8000000000002</v>
      </c>
      <c r="M456" s="6">
        <f>Table2[[#This Row],[% of Solo Streams]]/100</f>
        <v>0.28808390950000001</v>
      </c>
      <c r="N456" s="3">
        <v>5416.4</v>
      </c>
      <c r="O456" s="6">
        <f>Table2[[#This Row],[% of Collaborative Streams]]/100</f>
        <v>0.71191609049999993</v>
      </c>
      <c r="P456" s="4">
        <f>Table3[[#This Row],[Lead Streams (in millions)]]+Table3[[#This Row],[Feature Streams (in millions)]]</f>
        <v>7608.2</v>
      </c>
      <c r="Q456" s="4">
        <f>_xlfn.RANK.EQ(Table3[[#This Row],[Total Stream]],Table3[Total Stream],0)</f>
        <v>455</v>
      </c>
      <c r="R456" s="4">
        <f>Table3[[#This Row],[Total Streams (in millions)]]-Table3[[#This Row],[Total Stream]]</f>
        <v>0</v>
      </c>
      <c r="S456" s="8">
        <f>IFERROR(Table3[[#This Row],[Collaborative Streams (in millions)]]/Table3[[#This Row],[Total Stream]],0)</f>
        <v>0.71191609053389759</v>
      </c>
      <c r="T456" t="str">
        <f>IF(Table3[[#This Row],[Total Streams (in millions)]]&gt;=50000,"High Performer",IF(Table3[[#This Row],[Total Streams (in millions)]]&gt;=20000,"Medium Performer","Low Performer"))</f>
        <v>Low Performer</v>
      </c>
    </row>
    <row r="457" spans="1:20" x14ac:dyDescent="0.3">
      <c r="A457" s="11" t="s">
        <v>545</v>
      </c>
      <c r="B457" s="11" t="s">
        <v>20</v>
      </c>
      <c r="C457" s="11" t="s">
        <v>33</v>
      </c>
      <c r="D457" s="11" t="s">
        <v>16</v>
      </c>
      <c r="E457" s="11" t="s">
        <v>22</v>
      </c>
      <c r="F457" s="11" t="s">
        <v>18</v>
      </c>
      <c r="G457" s="12">
        <v>2012</v>
      </c>
      <c r="H457" s="12" t="str">
        <f>IF(Table3[[#This Row],[Debut Year]]&lt;=2000,"1999–2000",
IF(Table3[[#This Row],[Debut Year]]&lt;=2005,"2001–2005",
IF(Table3[[#This Row],[Debut Year]]&lt;=2010,"2006–2010",
IF(Table3[[#This Row],[Debut Year]]&lt;=2015,"2011–2015",
IF(Table3[[#This Row],[Debut Year]]&lt;=2020,"2016–2020",
"2021–2025")))))</f>
        <v>2011–2015</v>
      </c>
      <c r="I457" s="12">
        <v>7596.7</v>
      </c>
      <c r="J457" s="12">
        <v>3575.7</v>
      </c>
      <c r="K457" s="12">
        <v>4021</v>
      </c>
      <c r="L457" s="4">
        <v>2786.1</v>
      </c>
      <c r="M457" s="6">
        <f>Table2[[#This Row],[% of Solo Streams]]/100</f>
        <v>0.36675135259999997</v>
      </c>
      <c r="N457" s="3">
        <v>4810.6000000000004</v>
      </c>
      <c r="O457" s="6">
        <f>Table2[[#This Row],[% of Collaborative Streams]]/100</f>
        <v>0.63324864739999998</v>
      </c>
      <c r="P457" s="4">
        <f>Table3[[#This Row],[Lead Streams (in millions)]]+Table3[[#This Row],[Feature Streams (in millions)]]</f>
        <v>7596.7</v>
      </c>
      <c r="Q457" s="4">
        <f>_xlfn.RANK.EQ(Table3[[#This Row],[Total Stream]],Table3[Total Stream],0)</f>
        <v>456</v>
      </c>
      <c r="R457" s="4">
        <f>Table3[[#This Row],[Total Streams (in millions)]]-Table3[[#This Row],[Total Stream]]</f>
        <v>0</v>
      </c>
      <c r="S457" s="8">
        <f>IFERROR(Table3[[#This Row],[Collaborative Streams (in millions)]]/Table3[[#This Row],[Total Stream]],0)</f>
        <v>0.63324864743901965</v>
      </c>
      <c r="T457" t="str">
        <f>IF(Table3[[#This Row],[Total Streams (in millions)]]&gt;=50000,"High Performer",IF(Table3[[#This Row],[Total Streams (in millions)]]&gt;=20000,"Medium Performer","Low Performer"))</f>
        <v>Low Performer</v>
      </c>
    </row>
    <row r="458" spans="1:20" x14ac:dyDescent="0.3">
      <c r="A458" s="9" t="s">
        <v>546</v>
      </c>
      <c r="B458" s="9" t="s">
        <v>14</v>
      </c>
      <c r="C458" s="9" t="s">
        <v>21</v>
      </c>
      <c r="D458" s="9" t="s">
        <v>16</v>
      </c>
      <c r="E458" s="9" t="s">
        <v>17</v>
      </c>
      <c r="F458" s="9" t="s">
        <v>18</v>
      </c>
      <c r="G458" s="10">
        <v>2007</v>
      </c>
      <c r="H458" s="10" t="str">
        <f>IF(Table3[[#This Row],[Debut Year]]&lt;=2000,"1999–2000",
IF(Table3[[#This Row],[Debut Year]]&lt;=2005,"2001–2005",
IF(Table3[[#This Row],[Debut Year]]&lt;=2010,"2006–2010",
IF(Table3[[#This Row],[Debut Year]]&lt;=2015,"2011–2015",
IF(Table3[[#This Row],[Debut Year]]&lt;=2020,"2016–2020",
"2021–2025")))))</f>
        <v>2006–2010</v>
      </c>
      <c r="I458" s="10">
        <v>7589.1</v>
      </c>
      <c r="J458" s="10">
        <v>6273.4</v>
      </c>
      <c r="K458" s="10">
        <v>1315.7</v>
      </c>
      <c r="L458" s="4">
        <v>5418.2</v>
      </c>
      <c r="M458" s="6">
        <f>Table2[[#This Row],[% of Solo Streams]]/100</f>
        <v>0.71394500010000006</v>
      </c>
      <c r="N458" s="3">
        <v>2170.9</v>
      </c>
      <c r="O458" s="6">
        <f>Table2[[#This Row],[% of Collaborative Streams]]/100</f>
        <v>0.2860549999</v>
      </c>
      <c r="P458" s="4">
        <f>Table3[[#This Row],[Lead Streams (in millions)]]+Table3[[#This Row],[Feature Streams (in millions)]]</f>
        <v>7589.0999999999995</v>
      </c>
      <c r="Q458" s="4">
        <f>_xlfn.RANK.EQ(Table3[[#This Row],[Total Stream]],Table3[Total Stream],0)</f>
        <v>457</v>
      </c>
      <c r="R458" s="4">
        <f>Table3[[#This Row],[Total Streams (in millions)]]-Table3[[#This Row],[Total Stream]]</f>
        <v>0</v>
      </c>
      <c r="S458" s="8">
        <f>IFERROR(Table3[[#This Row],[Collaborative Streams (in millions)]]/Table3[[#This Row],[Total Stream]],0)</f>
        <v>0.28605499993411609</v>
      </c>
      <c r="T458" t="str">
        <f>IF(Table3[[#This Row],[Total Streams (in millions)]]&gt;=50000,"High Performer",IF(Table3[[#This Row],[Total Streams (in millions)]]&gt;=20000,"Medium Performer","Low Performer"))</f>
        <v>Low Performer</v>
      </c>
    </row>
    <row r="459" spans="1:20" x14ac:dyDescent="0.3">
      <c r="A459" s="11" t="s">
        <v>547</v>
      </c>
      <c r="B459" s="11" t="s">
        <v>20</v>
      </c>
      <c r="C459" s="11" t="s">
        <v>548</v>
      </c>
      <c r="D459" s="11" t="s">
        <v>16</v>
      </c>
      <c r="E459" s="11" t="s">
        <v>51</v>
      </c>
      <c r="F459" s="11" t="s">
        <v>18</v>
      </c>
      <c r="G459" s="12">
        <v>2017</v>
      </c>
      <c r="H459" s="12" t="str">
        <f>IF(Table3[[#This Row],[Debut Year]]&lt;=2000,"1999–2000",
IF(Table3[[#This Row],[Debut Year]]&lt;=2005,"2001–2005",
IF(Table3[[#This Row],[Debut Year]]&lt;=2010,"2006–2010",
IF(Table3[[#This Row],[Debut Year]]&lt;=2015,"2011–2015",
IF(Table3[[#This Row],[Debut Year]]&lt;=2020,"2016–2020",
"2021–2025")))))</f>
        <v>2016–2020</v>
      </c>
      <c r="I459" s="12">
        <v>7552.8</v>
      </c>
      <c r="J459" s="12">
        <v>5418.1</v>
      </c>
      <c r="K459" s="12">
        <v>2144.1</v>
      </c>
      <c r="L459" s="4">
        <v>4710</v>
      </c>
      <c r="M459" s="6">
        <f>Table2[[#This Row],[% of Solo Streams]]/100</f>
        <v>0.62360978709999992</v>
      </c>
      <c r="N459" s="3">
        <v>2842.8</v>
      </c>
      <c r="O459" s="6">
        <f>Table2[[#This Row],[% of Collaborative Streams]]/100</f>
        <v>0.37639021290000002</v>
      </c>
      <c r="P459" s="4">
        <f>Table3[[#This Row],[Lead Streams (in millions)]]+Table3[[#This Row],[Feature Streams (in millions)]]</f>
        <v>7562.2000000000007</v>
      </c>
      <c r="Q459" s="4">
        <f>_xlfn.RANK.EQ(Table3[[#This Row],[Total Stream]],Table3[Total Stream],0)</f>
        <v>458</v>
      </c>
      <c r="R459" s="4">
        <f>Table3[[#This Row],[Total Streams (in millions)]]-Table3[[#This Row],[Total Stream]]</f>
        <v>-9.4000000000005457</v>
      </c>
      <c r="S459" s="8">
        <f>IFERROR(Table3[[#This Row],[Collaborative Streams (in millions)]]/Table3[[#This Row],[Total Stream]],0)</f>
        <v>0.375922350638703</v>
      </c>
      <c r="T459" t="str">
        <f>IF(Table3[[#This Row],[Total Streams (in millions)]]&gt;=50000,"High Performer",IF(Table3[[#This Row],[Total Streams (in millions)]]&gt;=20000,"Medium Performer","Low Performer"))</f>
        <v>Low Performer</v>
      </c>
    </row>
    <row r="460" spans="1:20" x14ac:dyDescent="0.3">
      <c r="A460" s="9" t="s">
        <v>549</v>
      </c>
      <c r="B460" s="9" t="s">
        <v>14</v>
      </c>
      <c r="C460" s="9" t="s">
        <v>71</v>
      </c>
      <c r="D460" s="9" t="s">
        <v>550</v>
      </c>
      <c r="E460" s="9" t="s">
        <v>17</v>
      </c>
      <c r="F460" s="9" t="s">
        <v>18</v>
      </c>
      <c r="G460" s="10">
        <v>2014</v>
      </c>
      <c r="H460" s="10" t="str">
        <f>IF(Table3[[#This Row],[Debut Year]]&lt;=2000,"1999–2000",
IF(Table3[[#This Row],[Debut Year]]&lt;=2005,"2001–2005",
IF(Table3[[#This Row],[Debut Year]]&lt;=2010,"2006–2010",
IF(Table3[[#This Row],[Debut Year]]&lt;=2015,"2011–2015",
IF(Table3[[#This Row],[Debut Year]]&lt;=2020,"2016–2020",
"2021–2025")))))</f>
        <v>2011–2015</v>
      </c>
      <c r="I460" s="10">
        <v>7550.3</v>
      </c>
      <c r="J460" s="10">
        <v>6212.4</v>
      </c>
      <c r="K460" s="10">
        <v>1334.7</v>
      </c>
      <c r="L460" s="4">
        <v>1537.2</v>
      </c>
      <c r="M460" s="6">
        <f>Table2[[#This Row],[% of Solo Streams]]/100</f>
        <v>0.2035945592</v>
      </c>
      <c r="N460" s="3">
        <v>6013.1</v>
      </c>
      <c r="O460" s="6">
        <f>Table2[[#This Row],[% of Collaborative Streams]]/100</f>
        <v>0.79640544079999998</v>
      </c>
      <c r="P460" s="4">
        <f>Table3[[#This Row],[Lead Streams (in millions)]]+Table3[[#This Row],[Feature Streams (in millions)]]</f>
        <v>7547.0999999999995</v>
      </c>
      <c r="Q460" s="4">
        <f>_xlfn.RANK.EQ(Table3[[#This Row],[Total Stream]],Table3[Total Stream],0)</f>
        <v>459</v>
      </c>
      <c r="R460" s="4">
        <f>Table3[[#This Row],[Total Streams (in millions)]]-Table3[[#This Row],[Total Stream]]</f>
        <v>3.2000000000007276</v>
      </c>
      <c r="S460" s="8">
        <f>IFERROR(Table3[[#This Row],[Collaborative Streams (in millions)]]/Table3[[#This Row],[Total Stream]],0)</f>
        <v>0.79674311987385893</v>
      </c>
      <c r="T460" t="str">
        <f>IF(Table3[[#This Row],[Total Streams (in millions)]]&gt;=50000,"High Performer",IF(Table3[[#This Row],[Total Streams (in millions)]]&gt;=20000,"Medium Performer","Low Performer"))</f>
        <v>Low Performer</v>
      </c>
    </row>
    <row r="461" spans="1:20" x14ac:dyDescent="0.3">
      <c r="A461" s="11" t="s">
        <v>551</v>
      </c>
      <c r="B461" s="11" t="s">
        <v>20</v>
      </c>
      <c r="C461" s="11" t="s">
        <v>15</v>
      </c>
      <c r="D461" s="11" t="s">
        <v>257</v>
      </c>
      <c r="E461" s="11" t="s">
        <v>22</v>
      </c>
      <c r="F461" s="11" t="s">
        <v>18</v>
      </c>
      <c r="G461" s="12">
        <v>1981</v>
      </c>
      <c r="H461" s="12" t="str">
        <f>IF(Table3[[#This Row],[Debut Year]]&lt;=2000,"1999–2000",
IF(Table3[[#This Row],[Debut Year]]&lt;=2005,"2001–2005",
IF(Table3[[#This Row],[Debut Year]]&lt;=2010,"2006–2010",
IF(Table3[[#This Row],[Debut Year]]&lt;=2015,"2011–2015",
IF(Table3[[#This Row],[Debut Year]]&lt;=2020,"2016–2020",
"2021–2025")))))</f>
        <v>1999–2000</v>
      </c>
      <c r="I461" s="12">
        <v>7543.1</v>
      </c>
      <c r="J461" s="12">
        <v>7093.1</v>
      </c>
      <c r="K461" s="12">
        <v>450</v>
      </c>
      <c r="L461" s="4">
        <v>6268.7</v>
      </c>
      <c r="M461" s="6">
        <f>Table2[[#This Row],[% of Solo Streams]]/100</f>
        <v>0.8310508942</v>
      </c>
      <c r="N461" s="3">
        <v>1274.4000000000001</v>
      </c>
      <c r="O461" s="6">
        <f>Table2[[#This Row],[% of Collaborative Streams]]/100</f>
        <v>0.1689491058</v>
      </c>
      <c r="P461" s="4">
        <f>Table3[[#This Row],[Lead Streams (in millions)]]+Table3[[#This Row],[Feature Streams (in millions)]]</f>
        <v>7543.1</v>
      </c>
      <c r="Q461" s="4">
        <f>_xlfn.RANK.EQ(Table3[[#This Row],[Total Stream]],Table3[Total Stream],0)</f>
        <v>460</v>
      </c>
      <c r="R461" s="4">
        <f>Table3[[#This Row],[Total Streams (in millions)]]-Table3[[#This Row],[Total Stream]]</f>
        <v>0</v>
      </c>
      <c r="S461" s="8">
        <f>IFERROR(Table3[[#This Row],[Collaborative Streams (in millions)]]/Table3[[#This Row],[Total Stream]],0)</f>
        <v>0.16894910580530551</v>
      </c>
      <c r="T461" t="str">
        <f>IF(Table3[[#This Row],[Total Streams (in millions)]]&gt;=50000,"High Performer",IF(Table3[[#This Row],[Total Streams (in millions)]]&gt;=20000,"Medium Performer","Low Performer"))</f>
        <v>Low Performer</v>
      </c>
    </row>
    <row r="462" spans="1:20" x14ac:dyDescent="0.3">
      <c r="A462" s="9" t="s">
        <v>552</v>
      </c>
      <c r="B462" s="9" t="s">
        <v>14</v>
      </c>
      <c r="C462" s="9" t="s">
        <v>15</v>
      </c>
      <c r="D462" s="9" t="s">
        <v>16</v>
      </c>
      <c r="E462" s="9" t="s">
        <v>51</v>
      </c>
      <c r="F462" s="9" t="s">
        <v>18</v>
      </c>
      <c r="G462" s="10">
        <v>1980</v>
      </c>
      <c r="H462" s="10" t="str">
        <f>IF(Table3[[#This Row],[Debut Year]]&lt;=2000,"1999–2000",
IF(Table3[[#This Row],[Debut Year]]&lt;=2005,"2001–2005",
IF(Table3[[#This Row],[Debut Year]]&lt;=2010,"2006–2010",
IF(Table3[[#This Row],[Debut Year]]&lt;=2015,"2011–2015",
IF(Table3[[#This Row],[Debut Year]]&lt;=2020,"2016–2020",
"2021–2025")))))</f>
        <v>1999–2000</v>
      </c>
      <c r="I462" s="10">
        <v>7503.2</v>
      </c>
      <c r="J462" s="10">
        <v>5958.2</v>
      </c>
      <c r="K462" s="10">
        <v>1568.1</v>
      </c>
      <c r="L462" s="4">
        <v>6592.7</v>
      </c>
      <c r="M462" s="6">
        <f>Table2[[#This Row],[% of Solo Streams]]/100</f>
        <v>0.87865177520000004</v>
      </c>
      <c r="N462" s="3">
        <v>910.5</v>
      </c>
      <c r="O462" s="6">
        <f>Table2[[#This Row],[% of Collaborative Streams]]/100</f>
        <v>0.1213482248</v>
      </c>
      <c r="P462" s="4">
        <f>Table3[[#This Row],[Lead Streams (in millions)]]+Table3[[#This Row],[Feature Streams (in millions)]]</f>
        <v>7526.2999999999993</v>
      </c>
      <c r="Q462" s="4">
        <f>_xlfn.RANK.EQ(Table3[[#This Row],[Total Stream]],Table3[Total Stream],0)</f>
        <v>461</v>
      </c>
      <c r="R462" s="4">
        <f>Table3[[#This Row],[Total Streams (in millions)]]-Table3[[#This Row],[Total Stream]]</f>
        <v>-23.099999999999454</v>
      </c>
      <c r="S462" s="8">
        <f>IFERROR(Table3[[#This Row],[Collaborative Streams (in millions)]]/Table3[[#This Row],[Total Stream]],0)</f>
        <v>0.12097577827086352</v>
      </c>
      <c r="T462" t="str">
        <f>IF(Table3[[#This Row],[Total Streams (in millions)]]&gt;=50000,"High Performer",IF(Table3[[#This Row],[Total Streams (in millions)]]&gt;=20000,"Medium Performer","Low Performer"))</f>
        <v>Low Performer</v>
      </c>
    </row>
    <row r="463" spans="1:20" x14ac:dyDescent="0.3">
      <c r="A463" s="11" t="s">
        <v>553</v>
      </c>
      <c r="B463" s="11" t="s">
        <v>14</v>
      </c>
      <c r="C463" s="11" t="s">
        <v>45</v>
      </c>
      <c r="D463" s="11" t="s">
        <v>46</v>
      </c>
      <c r="E463" s="11" t="s">
        <v>47</v>
      </c>
      <c r="F463" s="11" t="s">
        <v>48</v>
      </c>
      <c r="G463" s="12">
        <v>2020</v>
      </c>
      <c r="H463" s="12" t="str">
        <f>IF(Table3[[#This Row],[Debut Year]]&lt;=2000,"1999–2000",
IF(Table3[[#This Row],[Debut Year]]&lt;=2005,"2001–2005",
IF(Table3[[#This Row],[Debut Year]]&lt;=2010,"2006–2010",
IF(Table3[[#This Row],[Debut Year]]&lt;=2015,"2011–2015",
IF(Table3[[#This Row],[Debut Year]]&lt;=2020,"2016–2020",
"2021–2025")))))</f>
        <v>2016–2020</v>
      </c>
      <c r="I463" s="12">
        <v>7486.2</v>
      </c>
      <c r="J463" s="12">
        <v>7178.8</v>
      </c>
      <c r="K463" s="12">
        <v>328.1</v>
      </c>
      <c r="L463" s="4">
        <v>7290.2</v>
      </c>
      <c r="M463" s="6">
        <f>Table2[[#This Row],[% of Solo Streams]]/100</f>
        <v>0.97381849269999998</v>
      </c>
      <c r="N463" s="3">
        <v>196</v>
      </c>
      <c r="O463" s="6">
        <f>Table2[[#This Row],[% of Collaborative Streams]]/100</f>
        <v>2.6181507310000001E-2</v>
      </c>
      <c r="P463" s="4">
        <f>Table3[[#This Row],[Lead Streams (in millions)]]+Table3[[#This Row],[Feature Streams (in millions)]]</f>
        <v>7506.9000000000005</v>
      </c>
      <c r="Q463" s="4">
        <f>_xlfn.RANK.EQ(Table3[[#This Row],[Total Stream]],Table3[Total Stream],0)</f>
        <v>462</v>
      </c>
      <c r="R463" s="4">
        <f>Table3[[#This Row],[Total Streams (in millions)]]-Table3[[#This Row],[Total Stream]]</f>
        <v>-20.700000000000728</v>
      </c>
      <c r="S463" s="8">
        <f>IFERROR(Table3[[#This Row],[Collaborative Streams (in millions)]]/Table3[[#This Row],[Total Stream]],0)</f>
        <v>2.6109312765588991E-2</v>
      </c>
      <c r="T463" t="str">
        <f>IF(Table3[[#This Row],[Total Streams (in millions)]]&gt;=50000,"High Performer",IF(Table3[[#This Row],[Total Streams (in millions)]]&gt;=20000,"Medium Performer","Low Performer"))</f>
        <v>Low Performer</v>
      </c>
    </row>
    <row r="464" spans="1:20" x14ac:dyDescent="0.3">
      <c r="A464" s="9" t="s">
        <v>554</v>
      </c>
      <c r="B464" s="9" t="s">
        <v>14</v>
      </c>
      <c r="C464" s="9" t="s">
        <v>21</v>
      </c>
      <c r="D464" s="9" t="s">
        <v>16</v>
      </c>
      <c r="E464" s="9" t="s">
        <v>57</v>
      </c>
      <c r="F464" s="9" t="s">
        <v>18</v>
      </c>
      <c r="G464" s="10">
        <v>2017</v>
      </c>
      <c r="H464" s="10" t="str">
        <f>IF(Table3[[#This Row],[Debut Year]]&lt;=2000,"1999–2000",
IF(Table3[[#This Row],[Debut Year]]&lt;=2005,"2001–2005",
IF(Table3[[#This Row],[Debut Year]]&lt;=2010,"2006–2010",
IF(Table3[[#This Row],[Debut Year]]&lt;=2015,"2011–2015",
IF(Table3[[#This Row],[Debut Year]]&lt;=2020,"2016–2020",
"2021–2025")))))</f>
        <v>2016–2020</v>
      </c>
      <c r="I464" s="10">
        <v>7485.1</v>
      </c>
      <c r="J464" s="10">
        <v>6757.7</v>
      </c>
      <c r="K464" s="10">
        <v>735.7</v>
      </c>
      <c r="L464" s="4">
        <v>6205.8</v>
      </c>
      <c r="M464" s="6">
        <f>Table2[[#This Row],[% of Solo Streams]]/100</f>
        <v>0.82908711970000004</v>
      </c>
      <c r="N464" s="3">
        <v>1279.3</v>
      </c>
      <c r="O464" s="6">
        <f>Table2[[#This Row],[% of Collaborative Streams]]/100</f>
        <v>0.17091288030000001</v>
      </c>
      <c r="P464" s="4">
        <f>Table3[[#This Row],[Lead Streams (in millions)]]+Table3[[#This Row],[Feature Streams (in millions)]]</f>
        <v>7493.4</v>
      </c>
      <c r="Q464" s="4">
        <f>_xlfn.RANK.EQ(Table3[[#This Row],[Total Stream]],Table3[Total Stream],0)</f>
        <v>463</v>
      </c>
      <c r="R464" s="4">
        <f>Table3[[#This Row],[Total Streams (in millions)]]-Table3[[#This Row],[Total Stream]]</f>
        <v>-8.2999999999992724</v>
      </c>
      <c r="S464" s="8">
        <f>IFERROR(Table3[[#This Row],[Collaborative Streams (in millions)]]/Table3[[#This Row],[Total Stream]],0)</f>
        <v>0.17072357007499933</v>
      </c>
      <c r="T464" t="str">
        <f>IF(Table3[[#This Row],[Total Streams (in millions)]]&gt;=50000,"High Performer",IF(Table3[[#This Row],[Total Streams (in millions)]]&gt;=20000,"Medium Performer","Low Performer"))</f>
        <v>Low Performer</v>
      </c>
    </row>
    <row r="465" spans="1:20" x14ac:dyDescent="0.3">
      <c r="A465" s="11" t="s">
        <v>555</v>
      </c>
      <c r="B465" s="11" t="s">
        <v>20</v>
      </c>
      <c r="C465" s="11" t="s">
        <v>166</v>
      </c>
      <c r="D465" s="11" t="s">
        <v>167</v>
      </c>
      <c r="E465" s="11" t="s">
        <v>168</v>
      </c>
      <c r="F465" s="11" t="s">
        <v>18</v>
      </c>
      <c r="G465" s="12">
        <v>2021</v>
      </c>
      <c r="H465" s="12" t="str">
        <f>IF(Table3[[#This Row],[Debut Year]]&lt;=2000,"1999–2000",
IF(Table3[[#This Row],[Debut Year]]&lt;=2005,"2001–2005",
IF(Table3[[#This Row],[Debut Year]]&lt;=2010,"2006–2010",
IF(Table3[[#This Row],[Debut Year]]&lt;=2015,"2011–2015",
IF(Table3[[#This Row],[Debut Year]]&lt;=2020,"2016–2020",
"2021–2025")))))</f>
        <v>2021–2025</v>
      </c>
      <c r="I465" s="12">
        <v>7467.3</v>
      </c>
      <c r="J465" s="12">
        <v>7464.6</v>
      </c>
      <c r="K465" s="12">
        <v>26</v>
      </c>
      <c r="L465" s="4">
        <v>1330.8</v>
      </c>
      <c r="M465" s="6">
        <f>Table2[[#This Row],[% of Solo Streams]]/100</f>
        <v>0.17821702619999999</v>
      </c>
      <c r="N465" s="3">
        <v>6136.5</v>
      </c>
      <c r="O465" s="6">
        <f>Table2[[#This Row],[% of Collaborative Streams]]/100</f>
        <v>0.82178297379999998</v>
      </c>
      <c r="P465" s="4">
        <f>Table3[[#This Row],[Lead Streams (in millions)]]+Table3[[#This Row],[Feature Streams (in millions)]]</f>
        <v>7490.6</v>
      </c>
      <c r="Q465" s="4">
        <f>_xlfn.RANK.EQ(Table3[[#This Row],[Total Stream]],Table3[Total Stream],0)</f>
        <v>464</v>
      </c>
      <c r="R465" s="4">
        <f>Table3[[#This Row],[Total Streams (in millions)]]-Table3[[#This Row],[Total Stream]]</f>
        <v>-23.300000000000182</v>
      </c>
      <c r="S465" s="8">
        <f>IFERROR(Table3[[#This Row],[Collaborative Streams (in millions)]]/Table3[[#This Row],[Total Stream]],0)</f>
        <v>0.8192267642111446</v>
      </c>
      <c r="T465" t="str">
        <f>IF(Table3[[#This Row],[Total Streams (in millions)]]&gt;=50000,"High Performer",IF(Table3[[#This Row],[Total Streams (in millions)]]&gt;=20000,"Medium Performer","Low Performer"))</f>
        <v>Low Performer</v>
      </c>
    </row>
    <row r="466" spans="1:20" x14ac:dyDescent="0.3">
      <c r="A466" s="9" t="s">
        <v>556</v>
      </c>
      <c r="B466" s="9" t="s">
        <v>14</v>
      </c>
      <c r="C466" s="9" t="s">
        <v>21</v>
      </c>
      <c r="D466" s="9" t="s">
        <v>16</v>
      </c>
      <c r="E466" s="9" t="s">
        <v>22</v>
      </c>
      <c r="F466" s="9" t="s">
        <v>48</v>
      </c>
      <c r="G466" s="10">
        <v>2014</v>
      </c>
      <c r="H466" s="10" t="str">
        <f>IF(Table3[[#This Row],[Debut Year]]&lt;=2000,"1999–2000",
IF(Table3[[#This Row],[Debut Year]]&lt;=2005,"2001–2005",
IF(Table3[[#This Row],[Debut Year]]&lt;=2010,"2006–2010",
IF(Table3[[#This Row],[Debut Year]]&lt;=2015,"2011–2015",
IF(Table3[[#This Row],[Debut Year]]&lt;=2020,"2016–2020",
"2021–2025")))))</f>
        <v>2011–2015</v>
      </c>
      <c r="I466" s="10">
        <v>7453.2</v>
      </c>
      <c r="J466" s="10">
        <v>2524.9</v>
      </c>
      <c r="K466" s="10">
        <v>4942.3999999999996</v>
      </c>
      <c r="L466" s="4">
        <v>6424.3</v>
      </c>
      <c r="M466" s="6">
        <f>Table2[[#This Row],[% of Solo Streams]]/100</f>
        <v>0.86195191329999998</v>
      </c>
      <c r="N466" s="3">
        <v>1028.9000000000001</v>
      </c>
      <c r="O466" s="6">
        <f>Table2[[#This Row],[% of Collaborative Streams]]/100</f>
        <v>0.13804808669999999</v>
      </c>
      <c r="P466" s="4">
        <f>Table3[[#This Row],[Lead Streams (in millions)]]+Table3[[#This Row],[Feature Streams (in millions)]]</f>
        <v>7467.2999999999993</v>
      </c>
      <c r="Q466" s="4">
        <f>_xlfn.RANK.EQ(Table3[[#This Row],[Total Stream]],Table3[Total Stream],0)</f>
        <v>465</v>
      </c>
      <c r="R466" s="4">
        <f>Table3[[#This Row],[Total Streams (in millions)]]-Table3[[#This Row],[Total Stream]]</f>
        <v>-14.099999999999454</v>
      </c>
      <c r="S466" s="8">
        <f>IFERROR(Table3[[#This Row],[Collaborative Streams (in millions)]]/Table3[[#This Row],[Total Stream]],0)</f>
        <v>0.1377874198170691</v>
      </c>
      <c r="T466" t="str">
        <f>IF(Table3[[#This Row],[Total Streams (in millions)]]&gt;=50000,"High Performer",IF(Table3[[#This Row],[Total Streams (in millions)]]&gt;=20000,"Medium Performer","Low Performer"))</f>
        <v>Low Performer</v>
      </c>
    </row>
    <row r="467" spans="1:20" x14ac:dyDescent="0.3">
      <c r="A467" s="11" t="s">
        <v>557</v>
      </c>
      <c r="B467" s="11" t="s">
        <v>14</v>
      </c>
      <c r="C467" s="11" t="s">
        <v>21</v>
      </c>
      <c r="D467" s="11" t="s">
        <v>16</v>
      </c>
      <c r="E467" s="11" t="s">
        <v>98</v>
      </c>
      <c r="F467" s="11" t="s">
        <v>18</v>
      </c>
      <c r="G467" s="12">
        <v>1955</v>
      </c>
      <c r="H467" s="12" t="str">
        <f>IF(Table3[[#This Row],[Debut Year]]&lt;=2000,"1999–2000",
IF(Table3[[#This Row],[Debut Year]]&lt;=2005,"2001–2005",
IF(Table3[[#This Row],[Debut Year]]&lt;=2010,"2006–2010",
IF(Table3[[#This Row],[Debut Year]]&lt;=2015,"2011–2015",
IF(Table3[[#This Row],[Debut Year]]&lt;=2020,"2016–2020",
"2021–2025")))))</f>
        <v>1999–2000</v>
      </c>
      <c r="I467" s="12">
        <v>7450.6</v>
      </c>
      <c r="J467" s="12">
        <v>6491.8</v>
      </c>
      <c r="K467" s="12">
        <v>961.4</v>
      </c>
      <c r="L467" s="4">
        <v>5866.4</v>
      </c>
      <c r="M467" s="6">
        <f>Table2[[#This Row],[% of Solo Streams]]/100</f>
        <v>0.78737282899999994</v>
      </c>
      <c r="N467" s="3">
        <v>1584.2</v>
      </c>
      <c r="O467" s="6">
        <f>Table2[[#This Row],[% of Collaborative Streams]]/100</f>
        <v>0.212627171</v>
      </c>
      <c r="P467" s="4">
        <f>Table3[[#This Row],[Lead Streams (in millions)]]+Table3[[#This Row],[Feature Streams (in millions)]]</f>
        <v>7453.2</v>
      </c>
      <c r="Q467" s="4">
        <f>_xlfn.RANK.EQ(Table3[[#This Row],[Total Stream]],Table3[Total Stream],0)</f>
        <v>466</v>
      </c>
      <c r="R467" s="4">
        <f>Table3[[#This Row],[Total Streams (in millions)]]-Table3[[#This Row],[Total Stream]]</f>
        <v>-2.5999999999994543</v>
      </c>
      <c r="S467" s="8">
        <f>IFERROR(Table3[[#This Row],[Collaborative Streams (in millions)]]/Table3[[#This Row],[Total Stream]],0)</f>
        <v>0.21255299737025707</v>
      </c>
      <c r="T467" t="str">
        <f>IF(Table3[[#This Row],[Total Streams (in millions)]]&gt;=50000,"High Performer",IF(Table3[[#This Row],[Total Streams (in millions)]]&gt;=20000,"Medium Performer","Low Performer"))</f>
        <v>Low Performer</v>
      </c>
    </row>
    <row r="468" spans="1:20" x14ac:dyDescent="0.3">
      <c r="A468" s="9" t="s">
        <v>558</v>
      </c>
      <c r="B468" s="9" t="s">
        <v>14</v>
      </c>
      <c r="C468" s="9" t="s">
        <v>21</v>
      </c>
      <c r="D468" s="9" t="s">
        <v>16</v>
      </c>
      <c r="E468" s="9" t="s">
        <v>17</v>
      </c>
      <c r="F468" s="9" t="s">
        <v>18</v>
      </c>
      <c r="G468" s="10">
        <v>2007</v>
      </c>
      <c r="H468" s="10" t="str">
        <f>IF(Table3[[#This Row],[Debut Year]]&lt;=2000,"1999–2000",
IF(Table3[[#This Row],[Debut Year]]&lt;=2005,"2001–2005",
IF(Table3[[#This Row],[Debut Year]]&lt;=2010,"2006–2010",
IF(Table3[[#This Row],[Debut Year]]&lt;=2015,"2011–2015",
IF(Table3[[#This Row],[Debut Year]]&lt;=2020,"2016–2020",
"2021–2025")))))</f>
        <v>2006–2010</v>
      </c>
      <c r="I468" s="10">
        <v>7431.9</v>
      </c>
      <c r="J468" s="10">
        <v>6391.9</v>
      </c>
      <c r="K468" s="10">
        <v>1058.7</v>
      </c>
      <c r="L468" s="4">
        <v>528.20000000000005</v>
      </c>
      <c r="M468" s="6">
        <f>Table2[[#This Row],[% of Solo Streams]]/100</f>
        <v>7.1072000430000004E-2</v>
      </c>
      <c r="N468" s="3">
        <v>6903.7</v>
      </c>
      <c r="O468" s="6">
        <f>Table2[[#This Row],[% of Collaborative Streams]]/100</f>
        <v>0.92892799960000005</v>
      </c>
      <c r="P468" s="4">
        <f>Table3[[#This Row],[Lead Streams (in millions)]]+Table3[[#This Row],[Feature Streams (in millions)]]</f>
        <v>7450.5999999999995</v>
      </c>
      <c r="Q468" s="4">
        <f>_xlfn.RANK.EQ(Table3[[#This Row],[Total Stream]],Table3[Total Stream],0)</f>
        <v>467</v>
      </c>
      <c r="R468" s="4">
        <f>Table3[[#This Row],[Total Streams (in millions)]]-Table3[[#This Row],[Total Stream]]</f>
        <v>-18.699999999999818</v>
      </c>
      <c r="S468" s="8">
        <f>IFERROR(Table3[[#This Row],[Collaborative Streams (in millions)]]/Table3[[#This Row],[Total Stream]],0)</f>
        <v>0.92659651571685508</v>
      </c>
      <c r="T468" t="str">
        <f>IF(Table3[[#This Row],[Total Streams (in millions)]]&gt;=50000,"High Performer",IF(Table3[[#This Row],[Total Streams (in millions)]]&gt;=20000,"Medium Performer","Low Performer"))</f>
        <v>Low Performer</v>
      </c>
    </row>
    <row r="469" spans="1:20" x14ac:dyDescent="0.3">
      <c r="A469" s="11" t="s">
        <v>559</v>
      </c>
      <c r="B469" s="11" t="s">
        <v>14</v>
      </c>
      <c r="C469" s="11" t="s">
        <v>21</v>
      </c>
      <c r="D469" s="11" t="s">
        <v>16</v>
      </c>
      <c r="E469" s="11" t="s">
        <v>98</v>
      </c>
      <c r="F469" s="11" t="s">
        <v>18</v>
      </c>
      <c r="G469" s="12">
        <v>2005</v>
      </c>
      <c r="H469" s="12" t="str">
        <f>IF(Table3[[#This Row],[Debut Year]]&lt;=2000,"1999–2000",
IF(Table3[[#This Row],[Debut Year]]&lt;=2005,"2001–2005",
IF(Table3[[#This Row],[Debut Year]]&lt;=2010,"2006–2010",
IF(Table3[[#This Row],[Debut Year]]&lt;=2015,"2011–2015",
IF(Table3[[#This Row],[Debut Year]]&lt;=2020,"2016–2020",
"2021–2025")))))</f>
        <v>2001–2005</v>
      </c>
      <c r="I469" s="12">
        <v>7423.5</v>
      </c>
      <c r="J469" s="12">
        <v>7117.2</v>
      </c>
      <c r="K469" s="12">
        <v>319.89999999999998</v>
      </c>
      <c r="L469" s="4">
        <v>6510.5</v>
      </c>
      <c r="M469" s="6">
        <f>Table2[[#This Row],[% of Solo Streams]]/100</f>
        <v>0.87701219100000005</v>
      </c>
      <c r="N469" s="3">
        <v>913</v>
      </c>
      <c r="O469" s="6">
        <f>Table2[[#This Row],[% of Collaborative Streams]]/100</f>
        <v>0.122987809</v>
      </c>
      <c r="P469" s="4">
        <f>Table3[[#This Row],[Lead Streams (in millions)]]+Table3[[#This Row],[Feature Streams (in millions)]]</f>
        <v>7437.0999999999995</v>
      </c>
      <c r="Q469" s="4">
        <f>_xlfn.RANK.EQ(Table3[[#This Row],[Total Stream]],Table3[Total Stream],0)</f>
        <v>468</v>
      </c>
      <c r="R469" s="4">
        <f>Table3[[#This Row],[Total Streams (in millions)]]-Table3[[#This Row],[Total Stream]]</f>
        <v>-13.599999999999454</v>
      </c>
      <c r="S469" s="8">
        <f>IFERROR(Table3[[#This Row],[Collaborative Streams (in millions)]]/Table3[[#This Row],[Total Stream]],0)</f>
        <v>0.1227629048957255</v>
      </c>
      <c r="T469" t="str">
        <f>IF(Table3[[#This Row],[Total Streams (in millions)]]&gt;=50000,"High Performer",IF(Table3[[#This Row],[Total Streams (in millions)]]&gt;=20000,"Medium Performer","Low Performer"))</f>
        <v>Low Performer</v>
      </c>
    </row>
    <row r="470" spans="1:20" x14ac:dyDescent="0.3">
      <c r="A470" s="9" t="s">
        <v>560</v>
      </c>
      <c r="B470" s="9" t="s">
        <v>14</v>
      </c>
      <c r="C470" s="9" t="s">
        <v>166</v>
      </c>
      <c r="D470" s="9" t="s">
        <v>167</v>
      </c>
      <c r="E470" s="9" t="s">
        <v>168</v>
      </c>
      <c r="F470" s="9" t="s">
        <v>18</v>
      </c>
      <c r="G470" s="10">
        <v>2009</v>
      </c>
      <c r="H470" s="10" t="str">
        <f>IF(Table3[[#This Row],[Debut Year]]&lt;=2000,"1999–2000",
IF(Table3[[#This Row],[Debut Year]]&lt;=2005,"2001–2005",
IF(Table3[[#This Row],[Debut Year]]&lt;=2010,"2006–2010",
IF(Table3[[#This Row],[Debut Year]]&lt;=2015,"2011–2015",
IF(Table3[[#This Row],[Debut Year]]&lt;=2020,"2016–2020",
"2021–2025")))))</f>
        <v>2006–2010</v>
      </c>
      <c r="I470" s="10">
        <v>7416.8</v>
      </c>
      <c r="J470" s="10">
        <v>4668.1000000000004</v>
      </c>
      <c r="K470" s="10">
        <v>2767</v>
      </c>
      <c r="L470" s="4">
        <v>4913.6000000000004</v>
      </c>
      <c r="M470" s="6">
        <f>Table2[[#This Row],[% of Solo Streams]]/100</f>
        <v>0.66249595510000003</v>
      </c>
      <c r="N470" s="3">
        <v>2503.1999999999998</v>
      </c>
      <c r="O470" s="6">
        <f>Table2[[#This Row],[% of Collaborative Streams]]/100</f>
        <v>0.33750404490000002</v>
      </c>
      <c r="P470" s="4">
        <f>Table3[[#This Row],[Lead Streams (in millions)]]+Table3[[#This Row],[Feature Streams (in millions)]]</f>
        <v>7435.1</v>
      </c>
      <c r="Q470" s="4">
        <f>_xlfn.RANK.EQ(Table3[[#This Row],[Total Stream]],Table3[Total Stream],0)</f>
        <v>469</v>
      </c>
      <c r="R470" s="4">
        <f>Table3[[#This Row],[Total Streams (in millions)]]-Table3[[#This Row],[Total Stream]]</f>
        <v>-18.300000000000182</v>
      </c>
      <c r="S470" s="8">
        <f>IFERROR(Table3[[#This Row],[Collaborative Streams (in millions)]]/Table3[[#This Row],[Total Stream]],0)</f>
        <v>0.33667334669338672</v>
      </c>
      <c r="T470" t="str">
        <f>IF(Table3[[#This Row],[Total Streams (in millions)]]&gt;=50000,"High Performer",IF(Table3[[#This Row],[Total Streams (in millions)]]&gt;=20000,"Medium Performer","Low Performer"))</f>
        <v>Low Performer</v>
      </c>
    </row>
    <row r="471" spans="1:20" x14ac:dyDescent="0.3">
      <c r="A471" s="11" t="s">
        <v>561</v>
      </c>
      <c r="B471" s="11" t="s">
        <v>14</v>
      </c>
      <c r="C471" s="11" t="s">
        <v>222</v>
      </c>
      <c r="D471" s="11" t="s">
        <v>24</v>
      </c>
      <c r="E471" s="11" t="s">
        <v>17</v>
      </c>
      <c r="F471" s="11" t="s">
        <v>18</v>
      </c>
      <c r="G471" s="12">
        <v>2017</v>
      </c>
      <c r="H471" s="12" t="str">
        <f>IF(Table3[[#This Row],[Debut Year]]&lt;=2000,"1999–2000",
IF(Table3[[#This Row],[Debut Year]]&lt;=2005,"2001–2005",
IF(Table3[[#This Row],[Debut Year]]&lt;=2010,"2006–2010",
IF(Table3[[#This Row],[Debut Year]]&lt;=2015,"2011–2015",
IF(Table3[[#This Row],[Debut Year]]&lt;=2020,"2016–2020",
"2021–2025")))))</f>
        <v>2016–2020</v>
      </c>
      <c r="I471" s="12">
        <v>7405.6</v>
      </c>
      <c r="J471" s="12">
        <v>6405.3</v>
      </c>
      <c r="K471" s="12">
        <v>1014.5</v>
      </c>
      <c r="L471" s="4">
        <v>639.20000000000005</v>
      </c>
      <c r="M471" s="6">
        <f>Table2[[#This Row],[% of Solo Streams]]/100</f>
        <v>8.6313060390000002E-2</v>
      </c>
      <c r="N471" s="3">
        <v>6766.4</v>
      </c>
      <c r="O471" s="6">
        <f>Table2[[#This Row],[% of Collaborative Streams]]/100</f>
        <v>0.91368693960000003</v>
      </c>
      <c r="P471" s="4">
        <f>Table3[[#This Row],[Lead Streams (in millions)]]+Table3[[#This Row],[Feature Streams (in millions)]]</f>
        <v>7419.8</v>
      </c>
      <c r="Q471" s="4">
        <f>_xlfn.RANK.EQ(Table3[[#This Row],[Total Stream]],Table3[Total Stream],0)</f>
        <v>470</v>
      </c>
      <c r="R471" s="4">
        <f>Table3[[#This Row],[Total Streams (in millions)]]-Table3[[#This Row],[Total Stream]]</f>
        <v>-14.199999999999818</v>
      </c>
      <c r="S471" s="8">
        <f>IFERROR(Table3[[#This Row],[Collaborative Streams (in millions)]]/Table3[[#This Row],[Total Stream]],0)</f>
        <v>0.9119383271786301</v>
      </c>
      <c r="T471" t="str">
        <f>IF(Table3[[#This Row],[Total Streams (in millions)]]&gt;=50000,"High Performer",IF(Table3[[#This Row],[Total Streams (in millions)]]&gt;=20000,"Medium Performer","Low Performer"))</f>
        <v>Low Performer</v>
      </c>
    </row>
    <row r="472" spans="1:20" x14ac:dyDescent="0.3">
      <c r="A472" s="9" t="s">
        <v>562</v>
      </c>
      <c r="B472" s="9" t="s">
        <v>20</v>
      </c>
      <c r="C472" s="9" t="s">
        <v>166</v>
      </c>
      <c r="D472" s="9" t="s">
        <v>167</v>
      </c>
      <c r="E472" s="9" t="s">
        <v>168</v>
      </c>
      <c r="F472" s="9" t="s">
        <v>48</v>
      </c>
      <c r="G472" s="10">
        <v>2013</v>
      </c>
      <c r="H472" s="10" t="str">
        <f>IF(Table3[[#This Row],[Debut Year]]&lt;=2000,"1999–2000",
IF(Table3[[#This Row],[Debut Year]]&lt;=2005,"2001–2005",
IF(Table3[[#This Row],[Debut Year]]&lt;=2010,"2006–2010",
IF(Table3[[#This Row],[Debut Year]]&lt;=2015,"2011–2015",
IF(Table3[[#This Row],[Debut Year]]&lt;=2020,"2016–2020",
"2021–2025")))))</f>
        <v>2011–2015</v>
      </c>
      <c r="I472" s="10">
        <v>7388.4</v>
      </c>
      <c r="J472" s="10">
        <v>3471.7</v>
      </c>
      <c r="K472" s="10">
        <v>3933.9</v>
      </c>
      <c r="L472" s="4">
        <v>2317.8000000000002</v>
      </c>
      <c r="M472" s="6">
        <f>Table2[[#This Row],[% of Solo Streams]]/100</f>
        <v>0.3137079747</v>
      </c>
      <c r="N472" s="3">
        <v>5070.6000000000004</v>
      </c>
      <c r="O472" s="6">
        <f>Table2[[#This Row],[% of Collaborative Streams]]/100</f>
        <v>0.6862920253</v>
      </c>
      <c r="P472" s="4">
        <f>Table3[[#This Row],[Lead Streams (in millions)]]+Table3[[#This Row],[Feature Streams (in millions)]]</f>
        <v>7405.6</v>
      </c>
      <c r="Q472" s="4">
        <f>_xlfn.RANK.EQ(Table3[[#This Row],[Total Stream]],Table3[Total Stream],0)</f>
        <v>471</v>
      </c>
      <c r="R472" s="4">
        <f>Table3[[#This Row],[Total Streams (in millions)]]-Table3[[#This Row],[Total Stream]]</f>
        <v>-17.200000000000728</v>
      </c>
      <c r="S472" s="8">
        <f>IFERROR(Table3[[#This Row],[Collaborative Streams (in millions)]]/Table3[[#This Row],[Total Stream]],0)</f>
        <v>0.68469806632818409</v>
      </c>
      <c r="T472" t="str">
        <f>IF(Table3[[#This Row],[Total Streams (in millions)]]&gt;=50000,"High Performer",IF(Table3[[#This Row],[Total Streams (in millions)]]&gt;=20000,"Medium Performer","Low Performer"))</f>
        <v>Low Performer</v>
      </c>
    </row>
    <row r="473" spans="1:20" x14ac:dyDescent="0.3">
      <c r="A473" s="11" t="s">
        <v>563</v>
      </c>
      <c r="B473" s="11" t="s">
        <v>14</v>
      </c>
      <c r="C473" s="11" t="s">
        <v>166</v>
      </c>
      <c r="D473" s="11" t="s">
        <v>167</v>
      </c>
      <c r="E473" s="11" t="s">
        <v>82</v>
      </c>
      <c r="F473" s="11" t="s">
        <v>18</v>
      </c>
      <c r="G473" s="12">
        <v>2015</v>
      </c>
      <c r="H473" s="12" t="str">
        <f>IF(Table3[[#This Row],[Debut Year]]&lt;=2000,"1999–2000",
IF(Table3[[#This Row],[Debut Year]]&lt;=2005,"2001–2005",
IF(Table3[[#This Row],[Debut Year]]&lt;=2010,"2006–2010",
IF(Table3[[#This Row],[Debut Year]]&lt;=2015,"2011–2015",
IF(Table3[[#This Row],[Debut Year]]&lt;=2020,"2016–2020",
"2021–2025")))))</f>
        <v>2011–2015</v>
      </c>
      <c r="I473" s="12">
        <v>7387.8</v>
      </c>
      <c r="J473" s="12">
        <v>2807.5</v>
      </c>
      <c r="K473" s="12">
        <v>4581</v>
      </c>
      <c r="L473" s="4">
        <v>359.7</v>
      </c>
      <c r="M473" s="6">
        <f>Table2[[#This Row],[% of Solo Streams]]/100</f>
        <v>4.8688378140000002E-2</v>
      </c>
      <c r="N473" s="3">
        <v>7028.1</v>
      </c>
      <c r="O473" s="6">
        <f>Table2[[#This Row],[% of Collaborative Streams]]/100</f>
        <v>0.95131162189999996</v>
      </c>
      <c r="P473" s="4">
        <f>Table3[[#This Row],[Lead Streams (in millions)]]+Table3[[#This Row],[Feature Streams (in millions)]]</f>
        <v>7388.5</v>
      </c>
      <c r="Q473" s="4">
        <f>_xlfn.RANK.EQ(Table3[[#This Row],[Total Stream]],Table3[Total Stream],0)</f>
        <v>472</v>
      </c>
      <c r="R473" s="4">
        <f>Table3[[#This Row],[Total Streams (in millions)]]-Table3[[#This Row],[Total Stream]]</f>
        <v>-0.6999999999998181</v>
      </c>
      <c r="S473" s="8">
        <f>IFERROR(Table3[[#This Row],[Collaborative Streams (in millions)]]/Table3[[#This Row],[Total Stream]],0)</f>
        <v>0.9512214928605266</v>
      </c>
      <c r="T473" t="str">
        <f>IF(Table3[[#This Row],[Total Streams (in millions)]]&gt;=50000,"High Performer",IF(Table3[[#This Row],[Total Streams (in millions)]]&gt;=20000,"Medium Performer","Low Performer"))</f>
        <v>Low Performer</v>
      </c>
    </row>
    <row r="474" spans="1:20" x14ac:dyDescent="0.3">
      <c r="A474" s="9" t="s">
        <v>564</v>
      </c>
      <c r="B474" s="9" t="s">
        <v>14</v>
      </c>
      <c r="C474" s="9" t="s">
        <v>222</v>
      </c>
      <c r="D474" s="9" t="s">
        <v>24</v>
      </c>
      <c r="E474" s="9" t="s">
        <v>17</v>
      </c>
      <c r="F474" s="9" t="s">
        <v>18</v>
      </c>
      <c r="G474" s="10">
        <v>2018</v>
      </c>
      <c r="H474" s="10" t="str">
        <f>IF(Table3[[#This Row],[Debut Year]]&lt;=2000,"1999–2000",
IF(Table3[[#This Row],[Debut Year]]&lt;=2005,"2001–2005",
IF(Table3[[#This Row],[Debut Year]]&lt;=2010,"2006–2010",
IF(Table3[[#This Row],[Debut Year]]&lt;=2015,"2011–2015",
IF(Table3[[#This Row],[Debut Year]]&lt;=2020,"2016–2020",
"2021–2025")))))</f>
        <v>2016–2020</v>
      </c>
      <c r="I474" s="10">
        <v>7377.9</v>
      </c>
      <c r="J474" s="10">
        <v>4274.5</v>
      </c>
      <c r="K474" s="10">
        <v>3113.3</v>
      </c>
      <c r="L474" s="4">
        <v>716.5</v>
      </c>
      <c r="M474" s="6">
        <f>Table2[[#This Row],[% of Solo Streams]]/100</f>
        <v>9.7114355030000002E-2</v>
      </c>
      <c r="N474" s="3">
        <v>6661.4</v>
      </c>
      <c r="O474" s="6">
        <f>Table2[[#This Row],[% of Collaborative Streams]]/100</f>
        <v>0.90288564500000001</v>
      </c>
      <c r="P474" s="4">
        <f>Table3[[#This Row],[Lead Streams (in millions)]]+Table3[[#This Row],[Feature Streams (in millions)]]</f>
        <v>7387.8</v>
      </c>
      <c r="Q474" s="4">
        <f>_xlfn.RANK.EQ(Table3[[#This Row],[Total Stream]],Table3[Total Stream],0)</f>
        <v>473</v>
      </c>
      <c r="R474" s="4">
        <f>Table3[[#This Row],[Total Streams (in millions)]]-Table3[[#This Row],[Total Stream]]</f>
        <v>-9.9000000000005457</v>
      </c>
      <c r="S474" s="8">
        <f>IFERROR(Table3[[#This Row],[Collaborative Streams (in millions)]]/Table3[[#This Row],[Total Stream]],0)</f>
        <v>0.90167573567232462</v>
      </c>
      <c r="T474" t="str">
        <f>IF(Table3[[#This Row],[Total Streams (in millions)]]&gt;=50000,"High Performer",IF(Table3[[#This Row],[Total Streams (in millions)]]&gt;=20000,"Medium Performer","Low Performer"))</f>
        <v>Low Performer</v>
      </c>
    </row>
    <row r="475" spans="1:20" x14ac:dyDescent="0.3">
      <c r="A475" s="11" t="s">
        <v>565</v>
      </c>
      <c r="B475" s="11" t="s">
        <v>14</v>
      </c>
      <c r="C475" s="11" t="s">
        <v>33</v>
      </c>
      <c r="D475" s="11" t="s">
        <v>16</v>
      </c>
      <c r="E475" s="11" t="s">
        <v>22</v>
      </c>
      <c r="F475" s="11" t="s">
        <v>18</v>
      </c>
      <c r="G475" s="12">
        <v>2012</v>
      </c>
      <c r="H475" s="12" t="str">
        <f>IF(Table3[[#This Row],[Debut Year]]&lt;=2000,"1999–2000",
IF(Table3[[#This Row],[Debut Year]]&lt;=2005,"2001–2005",
IF(Table3[[#This Row],[Debut Year]]&lt;=2010,"2006–2010",
IF(Table3[[#This Row],[Debut Year]]&lt;=2015,"2011–2015",
IF(Table3[[#This Row],[Debut Year]]&lt;=2020,"2016–2020",
"2021–2025")))))</f>
        <v>2011–2015</v>
      </c>
      <c r="I475" s="12">
        <v>7352.6</v>
      </c>
      <c r="J475" s="12">
        <v>3894</v>
      </c>
      <c r="K475" s="12">
        <v>3483.8</v>
      </c>
      <c r="L475" s="4">
        <v>6069.3</v>
      </c>
      <c r="M475" s="6">
        <f>Table2[[#This Row],[% of Solo Streams]]/100</f>
        <v>0.82546310150000002</v>
      </c>
      <c r="N475" s="3">
        <v>1283.3</v>
      </c>
      <c r="O475" s="6">
        <f>Table2[[#This Row],[% of Collaborative Streams]]/100</f>
        <v>0.17453689850000001</v>
      </c>
      <c r="P475" s="4">
        <f>Table3[[#This Row],[Lead Streams (in millions)]]+Table3[[#This Row],[Feature Streams (in millions)]]</f>
        <v>7377.8</v>
      </c>
      <c r="Q475" s="4">
        <f>_xlfn.RANK.EQ(Table3[[#This Row],[Total Stream]],Table3[Total Stream],0)</f>
        <v>474</v>
      </c>
      <c r="R475" s="4">
        <f>Table3[[#This Row],[Total Streams (in millions)]]-Table3[[#This Row],[Total Stream]]</f>
        <v>-25.199999999999818</v>
      </c>
      <c r="S475" s="8">
        <f>IFERROR(Table3[[#This Row],[Collaborative Streams (in millions)]]/Table3[[#This Row],[Total Stream]],0)</f>
        <v>0.17394074114234595</v>
      </c>
      <c r="T475" t="str">
        <f>IF(Table3[[#This Row],[Total Streams (in millions)]]&gt;=50000,"High Performer",IF(Table3[[#This Row],[Total Streams (in millions)]]&gt;=20000,"Medium Performer","Low Performer"))</f>
        <v>Low Performer</v>
      </c>
    </row>
    <row r="476" spans="1:20" x14ac:dyDescent="0.3">
      <c r="A476" s="9" t="s">
        <v>566</v>
      </c>
      <c r="B476" s="9" t="s">
        <v>78</v>
      </c>
      <c r="C476" s="9" t="s">
        <v>21</v>
      </c>
      <c r="D476" s="9" t="s">
        <v>16</v>
      </c>
      <c r="E476" s="9" t="s">
        <v>17</v>
      </c>
      <c r="F476" s="9" t="s">
        <v>48</v>
      </c>
      <c r="G476" s="10">
        <v>2009</v>
      </c>
      <c r="H476" s="10" t="str">
        <f>IF(Table3[[#This Row],[Debut Year]]&lt;=2000,"1999–2000",
IF(Table3[[#This Row],[Debut Year]]&lt;=2005,"2001–2005",
IF(Table3[[#This Row],[Debut Year]]&lt;=2010,"2006–2010",
IF(Table3[[#This Row],[Debut Year]]&lt;=2015,"2011–2015",
IF(Table3[[#This Row],[Debut Year]]&lt;=2020,"2016–2020",
"2021–2025")))))</f>
        <v>2006–2010</v>
      </c>
      <c r="I476" s="10">
        <v>7347.9</v>
      </c>
      <c r="J476" s="10">
        <v>6711.8</v>
      </c>
      <c r="K476" s="10">
        <v>643.70000000000005</v>
      </c>
      <c r="L476" s="4">
        <v>114.9</v>
      </c>
      <c r="M476" s="6">
        <f>Table2[[#This Row],[% of Solo Streams]]/100</f>
        <v>1.5637120810000002E-2</v>
      </c>
      <c r="N476" s="3">
        <v>7233</v>
      </c>
      <c r="O476" s="6">
        <f>Table2[[#This Row],[% of Collaborative Streams]]/100</f>
        <v>0.98436287919999998</v>
      </c>
      <c r="P476" s="4">
        <f>Table3[[#This Row],[Lead Streams (in millions)]]+Table3[[#This Row],[Feature Streams (in millions)]]</f>
        <v>7355.5</v>
      </c>
      <c r="Q476" s="4">
        <f>_xlfn.RANK.EQ(Table3[[#This Row],[Total Stream]],Table3[Total Stream],0)</f>
        <v>475</v>
      </c>
      <c r="R476" s="4">
        <f>Table3[[#This Row],[Total Streams (in millions)]]-Table3[[#This Row],[Total Stream]]</f>
        <v>-7.6000000000003638</v>
      </c>
      <c r="S476" s="8">
        <f>IFERROR(Table3[[#This Row],[Collaborative Streams (in millions)]]/Table3[[#This Row],[Total Stream]],0)</f>
        <v>0.9833457956631092</v>
      </c>
      <c r="T476" t="str">
        <f>IF(Table3[[#This Row],[Total Streams (in millions)]]&gt;=50000,"High Performer",IF(Table3[[#This Row],[Total Streams (in millions)]]&gt;=20000,"Medium Performer","Low Performer"))</f>
        <v>Low Performer</v>
      </c>
    </row>
    <row r="477" spans="1:20" x14ac:dyDescent="0.3">
      <c r="A477" s="11" t="s">
        <v>567</v>
      </c>
      <c r="B477" s="11" t="s">
        <v>14</v>
      </c>
      <c r="C477" s="11" t="s">
        <v>21</v>
      </c>
      <c r="D477" s="11" t="s">
        <v>16</v>
      </c>
      <c r="E477" s="11" t="s">
        <v>98</v>
      </c>
      <c r="F477" s="11" t="s">
        <v>18</v>
      </c>
      <c r="G477" s="12">
        <v>2012</v>
      </c>
      <c r="H477" s="12" t="str">
        <f>IF(Table3[[#This Row],[Debut Year]]&lt;=2000,"1999–2000",
IF(Table3[[#This Row],[Debut Year]]&lt;=2005,"2001–2005",
IF(Table3[[#This Row],[Debut Year]]&lt;=2010,"2006–2010",
IF(Table3[[#This Row],[Debut Year]]&lt;=2015,"2011–2015",
IF(Table3[[#This Row],[Debut Year]]&lt;=2020,"2016–2020",
"2021–2025")))))</f>
        <v>2011–2015</v>
      </c>
      <c r="I477" s="12">
        <v>7337.5</v>
      </c>
      <c r="J477" s="12">
        <v>3928</v>
      </c>
      <c r="K477" s="12">
        <v>3422.3</v>
      </c>
      <c r="L477" s="4">
        <v>5340.9</v>
      </c>
      <c r="M477" s="6">
        <f>Table2[[#This Row],[% of Solo Streams]]/100</f>
        <v>0.72789097100000011</v>
      </c>
      <c r="N477" s="3">
        <v>1996.6</v>
      </c>
      <c r="O477" s="6">
        <f>Table2[[#This Row],[% of Collaborative Streams]]/100</f>
        <v>0.272109029</v>
      </c>
      <c r="P477" s="4">
        <f>Table3[[#This Row],[Lead Streams (in millions)]]+Table3[[#This Row],[Feature Streams (in millions)]]</f>
        <v>7350.3</v>
      </c>
      <c r="Q477" s="4">
        <f>_xlfn.RANK.EQ(Table3[[#This Row],[Total Stream]],Table3[Total Stream],0)</f>
        <v>476</v>
      </c>
      <c r="R477" s="4">
        <f>Table3[[#This Row],[Total Streams (in millions)]]-Table3[[#This Row],[Total Stream]]</f>
        <v>-12.800000000000182</v>
      </c>
      <c r="S477" s="8">
        <f>IFERROR(Table3[[#This Row],[Collaborative Streams (in millions)]]/Table3[[#This Row],[Total Stream]],0)</f>
        <v>0.2716351713535502</v>
      </c>
      <c r="T477" t="str">
        <f>IF(Table3[[#This Row],[Total Streams (in millions)]]&gt;=50000,"High Performer",IF(Table3[[#This Row],[Total Streams (in millions)]]&gt;=20000,"Medium Performer","Low Performer"))</f>
        <v>Low Performer</v>
      </c>
    </row>
    <row r="478" spans="1:20" x14ac:dyDescent="0.3">
      <c r="A478" s="9" t="s">
        <v>568</v>
      </c>
      <c r="B478" s="9" t="s">
        <v>20</v>
      </c>
      <c r="C478" s="9" t="s">
        <v>569</v>
      </c>
      <c r="D478" s="9" t="s">
        <v>16</v>
      </c>
      <c r="E478" s="9" t="s">
        <v>22</v>
      </c>
      <c r="F478" s="9" t="s">
        <v>18</v>
      </c>
      <c r="G478" s="10">
        <v>2006</v>
      </c>
      <c r="H478" s="10" t="str">
        <f>IF(Table3[[#This Row],[Debut Year]]&lt;=2000,"1999–2000",
IF(Table3[[#This Row],[Debut Year]]&lt;=2005,"2001–2005",
IF(Table3[[#This Row],[Debut Year]]&lt;=2010,"2006–2010",
IF(Table3[[#This Row],[Debut Year]]&lt;=2015,"2011–2015",
IF(Table3[[#This Row],[Debut Year]]&lt;=2020,"2016–2020",
"2021–2025")))))</f>
        <v>2006–2010</v>
      </c>
      <c r="I478" s="10">
        <v>7335.2</v>
      </c>
      <c r="J478" s="10">
        <v>6735.6</v>
      </c>
      <c r="K478" s="10">
        <v>602</v>
      </c>
      <c r="L478" s="4">
        <v>1341.8</v>
      </c>
      <c r="M478" s="6">
        <f>Table2[[#This Row],[% of Solo Streams]]/100</f>
        <v>0.18292616420000002</v>
      </c>
      <c r="N478" s="3">
        <v>5993.4</v>
      </c>
      <c r="O478" s="6">
        <f>Table2[[#This Row],[% of Collaborative Streams]]/100</f>
        <v>0.81707383580000004</v>
      </c>
      <c r="P478" s="4">
        <f>Table3[[#This Row],[Lead Streams (in millions)]]+Table3[[#This Row],[Feature Streams (in millions)]]</f>
        <v>7337.6</v>
      </c>
      <c r="Q478" s="4">
        <f>_xlfn.RANK.EQ(Table3[[#This Row],[Total Stream]],Table3[Total Stream],0)</f>
        <v>477</v>
      </c>
      <c r="R478" s="4">
        <f>Table3[[#This Row],[Total Streams (in millions)]]-Table3[[#This Row],[Total Stream]]</f>
        <v>-2.4000000000005457</v>
      </c>
      <c r="S478" s="8">
        <f>IFERROR(Table3[[#This Row],[Collaborative Streams (in millions)]]/Table3[[#This Row],[Total Stream]],0)</f>
        <v>0.81680658525948535</v>
      </c>
      <c r="T478" t="str">
        <f>IF(Table3[[#This Row],[Total Streams (in millions)]]&gt;=50000,"High Performer",IF(Table3[[#This Row],[Total Streams (in millions)]]&gt;=20000,"Medium Performer","Low Performer"))</f>
        <v>Low Performer</v>
      </c>
    </row>
    <row r="479" spans="1:20" x14ac:dyDescent="0.3">
      <c r="A479" s="11" t="s">
        <v>570</v>
      </c>
      <c r="B479" s="11" t="s">
        <v>14</v>
      </c>
      <c r="C479" s="11" t="s">
        <v>21</v>
      </c>
      <c r="D479" s="11" t="s">
        <v>16</v>
      </c>
      <c r="E479" s="11" t="s">
        <v>291</v>
      </c>
      <c r="F479" s="11" t="s">
        <v>48</v>
      </c>
      <c r="G479" s="12">
        <v>2007</v>
      </c>
      <c r="H479" s="12" t="str">
        <f>IF(Table3[[#This Row],[Debut Year]]&lt;=2000,"1999–2000",
IF(Table3[[#This Row],[Debut Year]]&lt;=2005,"2001–2005",
IF(Table3[[#This Row],[Debut Year]]&lt;=2010,"2006–2010",
IF(Table3[[#This Row],[Debut Year]]&lt;=2015,"2011–2015",
IF(Table3[[#This Row],[Debut Year]]&lt;=2020,"2016–2020",
"2021–2025")))))</f>
        <v>2006–2010</v>
      </c>
      <c r="I479" s="12">
        <v>7326.6</v>
      </c>
      <c r="J479" s="12">
        <v>1671.1</v>
      </c>
      <c r="K479" s="12">
        <v>5664.1</v>
      </c>
      <c r="L479" s="4">
        <v>6816.6</v>
      </c>
      <c r="M479" s="6">
        <f>Table2[[#This Row],[% of Solo Streams]]/100</f>
        <v>0.9303906314</v>
      </c>
      <c r="N479" s="3">
        <v>510</v>
      </c>
      <c r="O479" s="6">
        <f>Table2[[#This Row],[% of Collaborative Streams]]/100</f>
        <v>6.9609368599999999E-2</v>
      </c>
      <c r="P479" s="4">
        <f>Table3[[#This Row],[Lead Streams (in millions)]]+Table3[[#This Row],[Feature Streams (in millions)]]</f>
        <v>7335.2000000000007</v>
      </c>
      <c r="Q479" s="4">
        <f>_xlfn.RANK.EQ(Table3[[#This Row],[Total Stream]],Table3[Total Stream],0)</f>
        <v>478</v>
      </c>
      <c r="R479" s="4">
        <f>Table3[[#This Row],[Total Streams (in millions)]]-Table3[[#This Row],[Total Stream]]</f>
        <v>-8.6000000000003638</v>
      </c>
      <c r="S479" s="8">
        <f>IFERROR(Table3[[#This Row],[Collaborative Streams (in millions)]]/Table3[[#This Row],[Total Stream]],0)</f>
        <v>6.952775657105463E-2</v>
      </c>
      <c r="T479" t="str">
        <f>IF(Table3[[#This Row],[Total Streams (in millions)]]&gt;=50000,"High Performer",IF(Table3[[#This Row],[Total Streams (in millions)]]&gt;=20000,"Medium Performer","Low Performer"))</f>
        <v>Low Performer</v>
      </c>
    </row>
    <row r="480" spans="1:20" x14ac:dyDescent="0.3">
      <c r="A480" s="9" t="s">
        <v>571</v>
      </c>
      <c r="B480" s="9" t="s">
        <v>14</v>
      </c>
      <c r="C480" s="9" t="s">
        <v>21</v>
      </c>
      <c r="D480" s="9" t="s">
        <v>16</v>
      </c>
      <c r="E480" s="9" t="s">
        <v>98</v>
      </c>
      <c r="F480" s="9" t="s">
        <v>18</v>
      </c>
      <c r="G480" s="10">
        <v>2014</v>
      </c>
      <c r="H480" s="10" t="str">
        <f>IF(Table3[[#This Row],[Debut Year]]&lt;=2000,"1999–2000",
IF(Table3[[#This Row],[Debut Year]]&lt;=2005,"2001–2005",
IF(Table3[[#This Row],[Debut Year]]&lt;=2010,"2006–2010",
IF(Table3[[#This Row],[Debut Year]]&lt;=2015,"2011–2015",
IF(Table3[[#This Row],[Debut Year]]&lt;=2020,"2016–2020",
"2021–2025")))))</f>
        <v>2011–2015</v>
      </c>
      <c r="I480" s="10">
        <v>7313.2</v>
      </c>
      <c r="J480" s="10">
        <v>7318.3</v>
      </c>
      <c r="K480" s="10">
        <v>8.3000000000000007</v>
      </c>
      <c r="L480" s="4">
        <v>2901.6</v>
      </c>
      <c r="M480" s="6">
        <f>Table2[[#This Row],[% of Solo Streams]]/100</f>
        <v>0.3967620194</v>
      </c>
      <c r="N480" s="3">
        <v>4411.6000000000004</v>
      </c>
      <c r="O480" s="6">
        <f>Table2[[#This Row],[% of Collaborative Streams]]/100</f>
        <v>0.6032379806</v>
      </c>
      <c r="P480" s="4">
        <f>Table3[[#This Row],[Lead Streams (in millions)]]+Table3[[#This Row],[Feature Streams (in millions)]]</f>
        <v>7326.6</v>
      </c>
      <c r="Q480" s="4">
        <f>_xlfn.RANK.EQ(Table3[[#This Row],[Total Stream]],Table3[Total Stream],0)</f>
        <v>479</v>
      </c>
      <c r="R480" s="4">
        <f>Table3[[#This Row],[Total Streams (in millions)]]-Table3[[#This Row],[Total Stream]]</f>
        <v>-13.400000000000546</v>
      </c>
      <c r="S480" s="8">
        <f>IFERROR(Table3[[#This Row],[Collaborative Streams (in millions)]]/Table3[[#This Row],[Total Stream]],0)</f>
        <v>0.60213468730379716</v>
      </c>
      <c r="T480" t="str">
        <f>IF(Table3[[#This Row],[Total Streams (in millions)]]&gt;=50000,"High Performer",IF(Table3[[#This Row],[Total Streams (in millions)]]&gt;=20000,"Medium Performer","Low Performer"))</f>
        <v>Low Performer</v>
      </c>
    </row>
    <row r="481" spans="1:20" x14ac:dyDescent="0.3">
      <c r="A481" s="11" t="s">
        <v>572</v>
      </c>
      <c r="B481" s="11" t="s">
        <v>20</v>
      </c>
      <c r="C481" s="11" t="s">
        <v>573</v>
      </c>
      <c r="D481" s="11" t="s">
        <v>16</v>
      </c>
      <c r="E481" s="11" t="s">
        <v>22</v>
      </c>
      <c r="F481" s="11" t="s">
        <v>18</v>
      </c>
      <c r="G481" s="12">
        <v>2020</v>
      </c>
      <c r="H481" s="12" t="str">
        <f>IF(Table3[[#This Row],[Debut Year]]&lt;=2000,"1999–2000",
IF(Table3[[#This Row],[Debut Year]]&lt;=2005,"2001–2005",
IF(Table3[[#This Row],[Debut Year]]&lt;=2010,"2006–2010",
IF(Table3[[#This Row],[Debut Year]]&lt;=2015,"2011–2015",
IF(Table3[[#This Row],[Debut Year]]&lt;=2020,"2016–2020",
"2021–2025")))))</f>
        <v>2016–2020</v>
      </c>
      <c r="I481" s="12">
        <v>7286.8</v>
      </c>
      <c r="J481" s="12">
        <v>4703.7</v>
      </c>
      <c r="K481" s="12">
        <v>2609.5</v>
      </c>
      <c r="L481" s="4">
        <v>6083.2</v>
      </c>
      <c r="M481" s="6">
        <f>Table2[[#This Row],[% of Solo Streams]]/100</f>
        <v>0.8348246144</v>
      </c>
      <c r="N481" s="3">
        <v>1203.5999999999999</v>
      </c>
      <c r="O481" s="6">
        <f>Table2[[#This Row],[% of Collaborative Streams]]/100</f>
        <v>0.16517538559999997</v>
      </c>
      <c r="P481" s="4">
        <f>Table3[[#This Row],[Lead Streams (in millions)]]+Table3[[#This Row],[Feature Streams (in millions)]]</f>
        <v>7313.2</v>
      </c>
      <c r="Q481" s="4">
        <f>_xlfn.RANK.EQ(Table3[[#This Row],[Total Stream]],Table3[Total Stream],0)</f>
        <v>480</v>
      </c>
      <c r="R481" s="4">
        <f>Table3[[#This Row],[Total Streams (in millions)]]-Table3[[#This Row],[Total Stream]]</f>
        <v>-26.399999999999636</v>
      </c>
      <c r="S481" s="8">
        <f>IFERROR(Table3[[#This Row],[Collaborative Streams (in millions)]]/Table3[[#This Row],[Total Stream]],0)</f>
        <v>0.16457911721271126</v>
      </c>
      <c r="T481" t="str">
        <f>IF(Table3[[#This Row],[Total Streams (in millions)]]&gt;=50000,"High Performer",IF(Table3[[#This Row],[Total Streams (in millions)]]&gt;=20000,"Medium Performer","Low Performer"))</f>
        <v>Low Performer</v>
      </c>
    </row>
    <row r="482" spans="1:20" x14ac:dyDescent="0.3">
      <c r="A482" s="9" t="s">
        <v>574</v>
      </c>
      <c r="B482" s="9" t="s">
        <v>14</v>
      </c>
      <c r="C482" s="9" t="s">
        <v>166</v>
      </c>
      <c r="D482" s="9" t="s">
        <v>167</v>
      </c>
      <c r="E482" s="9" t="s">
        <v>82</v>
      </c>
      <c r="F482" s="9" t="s">
        <v>48</v>
      </c>
      <c r="G482" s="10">
        <v>2016</v>
      </c>
      <c r="H482" s="10" t="str">
        <f>IF(Table3[[#This Row],[Debut Year]]&lt;=2000,"1999–2000",
IF(Table3[[#This Row],[Debut Year]]&lt;=2005,"2001–2005",
IF(Table3[[#This Row],[Debut Year]]&lt;=2010,"2006–2010",
IF(Table3[[#This Row],[Debut Year]]&lt;=2015,"2011–2015",
IF(Table3[[#This Row],[Debut Year]]&lt;=2020,"2016–2020",
"2021–2025")))))</f>
        <v>2016–2020</v>
      </c>
      <c r="I482" s="10">
        <v>7277.6</v>
      </c>
      <c r="J482" s="10">
        <v>6836.9</v>
      </c>
      <c r="K482" s="10">
        <v>455.9</v>
      </c>
      <c r="L482" s="4">
        <v>3003</v>
      </c>
      <c r="M482" s="6">
        <f>Table2[[#This Row],[% of Solo Streams]]/100</f>
        <v>0.41263603389999998</v>
      </c>
      <c r="N482" s="3">
        <v>4274.6000000000004</v>
      </c>
      <c r="O482" s="6">
        <f>Table2[[#This Row],[% of Collaborative Streams]]/100</f>
        <v>0.58736396609999997</v>
      </c>
      <c r="P482" s="4">
        <f>Table3[[#This Row],[Lead Streams (in millions)]]+Table3[[#This Row],[Feature Streams (in millions)]]</f>
        <v>7292.7999999999993</v>
      </c>
      <c r="Q482" s="4">
        <f>_xlfn.RANK.EQ(Table3[[#This Row],[Total Stream]],Table3[Total Stream],0)</f>
        <v>481</v>
      </c>
      <c r="R482" s="4">
        <f>Table3[[#This Row],[Total Streams (in millions)]]-Table3[[#This Row],[Total Stream]]</f>
        <v>-15.199999999998909</v>
      </c>
      <c r="S482" s="8">
        <f>IFERROR(Table3[[#This Row],[Collaborative Streams (in millions)]]/Table3[[#This Row],[Total Stream]],0)</f>
        <v>0.58613975427819232</v>
      </c>
      <c r="T482" t="str">
        <f>IF(Table3[[#This Row],[Total Streams (in millions)]]&gt;=50000,"High Performer",IF(Table3[[#This Row],[Total Streams (in millions)]]&gt;=20000,"Medium Performer","Low Performer"))</f>
        <v>Low Performer</v>
      </c>
    </row>
    <row r="483" spans="1:20" x14ac:dyDescent="0.3">
      <c r="A483" s="11" t="s">
        <v>575</v>
      </c>
      <c r="B483" s="11" t="s">
        <v>20</v>
      </c>
      <c r="C483" s="11" t="s">
        <v>222</v>
      </c>
      <c r="D483" s="11" t="s">
        <v>24</v>
      </c>
      <c r="E483" s="11" t="s">
        <v>82</v>
      </c>
      <c r="F483" s="11" t="s">
        <v>18</v>
      </c>
      <c r="G483" s="12">
        <v>2019</v>
      </c>
      <c r="H483" s="12" t="str">
        <f>IF(Table3[[#This Row],[Debut Year]]&lt;=2000,"1999–2000",
IF(Table3[[#This Row],[Debut Year]]&lt;=2005,"2001–2005",
IF(Table3[[#This Row],[Debut Year]]&lt;=2010,"2006–2010",
IF(Table3[[#This Row],[Debut Year]]&lt;=2015,"2011–2015",
IF(Table3[[#This Row],[Debut Year]]&lt;=2020,"2016–2020",
"2021–2025")))))</f>
        <v>2016–2020</v>
      </c>
      <c r="I483" s="12">
        <v>7256.2</v>
      </c>
      <c r="J483" s="12">
        <v>2470.4</v>
      </c>
      <c r="K483" s="12">
        <v>4785.8</v>
      </c>
      <c r="L483" s="4">
        <v>976.1</v>
      </c>
      <c r="M483" s="6">
        <f>Table2[[#This Row],[% of Solo Streams]]/100</f>
        <v>0.13451944539999999</v>
      </c>
      <c r="N483" s="3">
        <v>6280.1</v>
      </c>
      <c r="O483" s="6">
        <f>Table2[[#This Row],[% of Collaborative Streams]]/100</f>
        <v>0.86548055459999995</v>
      </c>
      <c r="P483" s="4">
        <f>Table3[[#This Row],[Lead Streams (in millions)]]+Table3[[#This Row],[Feature Streams (in millions)]]</f>
        <v>7256.2000000000007</v>
      </c>
      <c r="Q483" s="4">
        <f>_xlfn.RANK.EQ(Table3[[#This Row],[Total Stream]],Table3[Total Stream],0)</f>
        <v>482</v>
      </c>
      <c r="R483" s="4">
        <f>Table3[[#This Row],[Total Streams (in millions)]]-Table3[[#This Row],[Total Stream]]</f>
        <v>0</v>
      </c>
      <c r="S483" s="8">
        <f>IFERROR(Table3[[#This Row],[Collaborative Streams (in millions)]]/Table3[[#This Row],[Total Stream]],0)</f>
        <v>0.86548055456023809</v>
      </c>
      <c r="T483" t="str">
        <f>IF(Table3[[#This Row],[Total Streams (in millions)]]&gt;=50000,"High Performer",IF(Table3[[#This Row],[Total Streams (in millions)]]&gt;=20000,"Medium Performer","Low Performer"))</f>
        <v>Low Performer</v>
      </c>
    </row>
    <row r="484" spans="1:20" x14ac:dyDescent="0.3">
      <c r="A484" s="9" t="s">
        <v>576</v>
      </c>
      <c r="B484" s="9" t="s">
        <v>14</v>
      </c>
      <c r="C484" s="9" t="s">
        <v>21</v>
      </c>
      <c r="D484" s="9" t="s">
        <v>16</v>
      </c>
      <c r="E484" s="9" t="s">
        <v>17</v>
      </c>
      <c r="F484" s="9" t="s">
        <v>18</v>
      </c>
      <c r="G484" s="10">
        <v>2012</v>
      </c>
      <c r="H484" s="10" t="str">
        <f>IF(Table3[[#This Row],[Debut Year]]&lt;=2000,"1999–2000",
IF(Table3[[#This Row],[Debut Year]]&lt;=2005,"2001–2005",
IF(Table3[[#This Row],[Debut Year]]&lt;=2010,"2006–2010",
IF(Table3[[#This Row],[Debut Year]]&lt;=2015,"2011–2015",
IF(Table3[[#This Row],[Debut Year]]&lt;=2020,"2016–2020",
"2021–2025")))))</f>
        <v>2011–2015</v>
      </c>
      <c r="I484" s="10">
        <v>7252.1</v>
      </c>
      <c r="J484" s="10">
        <v>4583.7</v>
      </c>
      <c r="K484" s="10">
        <v>2668.4</v>
      </c>
      <c r="L484" s="4">
        <v>2499</v>
      </c>
      <c r="M484" s="6">
        <f>Table2[[#This Row],[% of Solo Streams]]/100</f>
        <v>0.34458984289999994</v>
      </c>
      <c r="N484" s="3">
        <v>4753.1000000000004</v>
      </c>
      <c r="O484" s="6">
        <f>Table2[[#This Row],[% of Collaborative Streams]]/100</f>
        <v>0.65541015709999995</v>
      </c>
      <c r="P484" s="4">
        <f>Table3[[#This Row],[Lead Streams (in millions)]]+Table3[[#This Row],[Feature Streams (in millions)]]</f>
        <v>7252.1</v>
      </c>
      <c r="Q484" s="4">
        <f>_xlfn.RANK.EQ(Table3[[#This Row],[Total Stream]],Table3[Total Stream],0)</f>
        <v>483</v>
      </c>
      <c r="R484" s="4">
        <f>Table3[[#This Row],[Total Streams (in millions)]]-Table3[[#This Row],[Total Stream]]</f>
        <v>0</v>
      </c>
      <c r="S484" s="8">
        <f>IFERROR(Table3[[#This Row],[Collaborative Streams (in millions)]]/Table3[[#This Row],[Total Stream]],0)</f>
        <v>0.65541015705795569</v>
      </c>
      <c r="T484" t="str">
        <f>IF(Table3[[#This Row],[Total Streams (in millions)]]&gt;=50000,"High Performer",IF(Table3[[#This Row],[Total Streams (in millions)]]&gt;=20000,"Medium Performer","Low Performer"))</f>
        <v>Low Performer</v>
      </c>
    </row>
    <row r="485" spans="1:20" x14ac:dyDescent="0.3">
      <c r="A485" s="11" t="s">
        <v>577</v>
      </c>
      <c r="B485" s="11" t="s">
        <v>20</v>
      </c>
      <c r="C485" s="11" t="s">
        <v>407</v>
      </c>
      <c r="D485" s="11" t="s">
        <v>408</v>
      </c>
      <c r="E485" s="11" t="s">
        <v>22</v>
      </c>
      <c r="F485" s="11" t="s">
        <v>18</v>
      </c>
      <c r="G485" s="12">
        <v>1997</v>
      </c>
      <c r="H485" s="12" t="str">
        <f>IF(Table3[[#This Row],[Debut Year]]&lt;=2000,"1999–2000",
IF(Table3[[#This Row],[Debut Year]]&lt;=2005,"2001–2005",
IF(Table3[[#This Row],[Debut Year]]&lt;=2010,"2006–2010",
IF(Table3[[#This Row],[Debut Year]]&lt;=2015,"2011–2015",
IF(Table3[[#This Row],[Debut Year]]&lt;=2020,"2016–2020",
"2021–2025")))))</f>
        <v>1999–2000</v>
      </c>
      <c r="I485" s="12">
        <v>7239.7</v>
      </c>
      <c r="J485" s="12">
        <v>0</v>
      </c>
      <c r="K485" s="12">
        <v>7239.7</v>
      </c>
      <c r="L485" s="4">
        <v>0</v>
      </c>
      <c r="M485" s="6">
        <f>Table2[[#This Row],[% of Solo Streams]]/100</f>
        <v>0</v>
      </c>
      <c r="N485" s="3">
        <v>7239.7</v>
      </c>
      <c r="O485" s="6">
        <f>Table2[[#This Row],[% of Collaborative Streams]]/100</f>
        <v>1</v>
      </c>
      <c r="P485" s="4">
        <f>Table3[[#This Row],[Lead Streams (in millions)]]+Table3[[#This Row],[Feature Streams (in millions)]]</f>
        <v>7239.7</v>
      </c>
      <c r="Q485" s="4">
        <f>_xlfn.RANK.EQ(Table3[[#This Row],[Total Stream]],Table3[Total Stream],0)</f>
        <v>484</v>
      </c>
      <c r="R485" s="4">
        <f>Table3[[#This Row],[Total Streams (in millions)]]-Table3[[#This Row],[Total Stream]]</f>
        <v>0</v>
      </c>
      <c r="S485" s="8">
        <f>IFERROR(Table3[[#This Row],[Collaborative Streams (in millions)]]/Table3[[#This Row],[Total Stream]],0)</f>
        <v>1</v>
      </c>
      <c r="T485" t="str">
        <f>IF(Table3[[#This Row],[Total Streams (in millions)]]&gt;=50000,"High Performer",IF(Table3[[#This Row],[Total Streams (in millions)]]&gt;=20000,"Medium Performer","Low Performer"))</f>
        <v>Low Performer</v>
      </c>
    </row>
    <row r="486" spans="1:20" x14ac:dyDescent="0.3">
      <c r="A486" s="9" t="s">
        <v>578</v>
      </c>
      <c r="B486" s="9" t="s">
        <v>14</v>
      </c>
      <c r="C486" s="9" t="s">
        <v>21</v>
      </c>
      <c r="D486" s="9" t="s">
        <v>16</v>
      </c>
      <c r="E486" s="9" t="s">
        <v>17</v>
      </c>
      <c r="F486" s="9" t="s">
        <v>18</v>
      </c>
      <c r="G486" s="10">
        <v>2008</v>
      </c>
      <c r="H486" s="10" t="str">
        <f>IF(Table3[[#This Row],[Debut Year]]&lt;=2000,"1999–2000",
IF(Table3[[#This Row],[Debut Year]]&lt;=2005,"2001–2005",
IF(Table3[[#This Row],[Debut Year]]&lt;=2010,"2006–2010",
IF(Table3[[#This Row],[Debut Year]]&lt;=2015,"2011–2015",
IF(Table3[[#This Row],[Debut Year]]&lt;=2020,"2016–2020",
"2021–2025")))))</f>
        <v>2006–2010</v>
      </c>
      <c r="I486" s="10">
        <v>7237.6</v>
      </c>
      <c r="J486" s="10">
        <v>0</v>
      </c>
      <c r="K486" s="10">
        <v>7237.6</v>
      </c>
      <c r="L486" s="4">
        <v>0</v>
      </c>
      <c r="M486" s="6">
        <f>Table2[[#This Row],[% of Solo Streams]]/100</f>
        <v>0</v>
      </c>
      <c r="N486" s="3">
        <v>7237.6</v>
      </c>
      <c r="O486" s="6">
        <f>Table2[[#This Row],[% of Collaborative Streams]]/100</f>
        <v>1</v>
      </c>
      <c r="P486" s="4">
        <f>Table3[[#This Row],[Lead Streams (in millions)]]+Table3[[#This Row],[Feature Streams (in millions)]]</f>
        <v>7237.6</v>
      </c>
      <c r="Q486" s="4">
        <f>_xlfn.RANK.EQ(Table3[[#This Row],[Total Stream]],Table3[Total Stream],0)</f>
        <v>485</v>
      </c>
      <c r="R486" s="4">
        <f>Table3[[#This Row],[Total Streams (in millions)]]-Table3[[#This Row],[Total Stream]]</f>
        <v>0</v>
      </c>
      <c r="S486" s="8">
        <f>IFERROR(Table3[[#This Row],[Collaborative Streams (in millions)]]/Table3[[#This Row],[Total Stream]],0)</f>
        <v>1</v>
      </c>
      <c r="T486" t="str">
        <f>IF(Table3[[#This Row],[Total Streams (in millions)]]&gt;=50000,"High Performer",IF(Table3[[#This Row],[Total Streams (in millions)]]&gt;=20000,"Medium Performer","Low Performer"))</f>
        <v>Low Performer</v>
      </c>
    </row>
    <row r="487" spans="1:20" x14ac:dyDescent="0.3">
      <c r="A487" s="11" t="s">
        <v>579</v>
      </c>
      <c r="B487" s="11" t="s">
        <v>14</v>
      </c>
      <c r="C487" s="11" t="s">
        <v>242</v>
      </c>
      <c r="D487" s="11" t="s">
        <v>24</v>
      </c>
      <c r="E487" s="11" t="s">
        <v>17</v>
      </c>
      <c r="F487" s="11" t="s">
        <v>18</v>
      </c>
      <c r="G487" s="12">
        <v>2018</v>
      </c>
      <c r="H487" s="12" t="str">
        <f>IF(Table3[[#This Row],[Debut Year]]&lt;=2000,"1999–2000",
IF(Table3[[#This Row],[Debut Year]]&lt;=2005,"2001–2005",
IF(Table3[[#This Row],[Debut Year]]&lt;=2010,"2006–2010",
IF(Table3[[#This Row],[Debut Year]]&lt;=2015,"2011–2015",
IF(Table3[[#This Row],[Debut Year]]&lt;=2020,"2016–2020",
"2021–2025")))))</f>
        <v>2016–2020</v>
      </c>
      <c r="I487" s="12">
        <v>7209.6</v>
      </c>
      <c r="J487" s="12">
        <v>3303.8</v>
      </c>
      <c r="K487" s="12">
        <v>3905.7</v>
      </c>
      <c r="L487" s="4">
        <v>2183.8000000000002</v>
      </c>
      <c r="M487" s="6">
        <f>Table2[[#This Row],[% of Solo Streams]]/100</f>
        <v>0.3029016866</v>
      </c>
      <c r="N487" s="3">
        <v>5025.8</v>
      </c>
      <c r="O487" s="6">
        <f>Table2[[#This Row],[% of Collaborative Streams]]/100</f>
        <v>0.69709831339999995</v>
      </c>
      <c r="P487" s="4">
        <f>Table3[[#This Row],[Lead Streams (in millions)]]+Table3[[#This Row],[Feature Streams (in millions)]]</f>
        <v>7209.5</v>
      </c>
      <c r="Q487" s="4">
        <f>_xlfn.RANK.EQ(Table3[[#This Row],[Total Stream]],Table3[Total Stream],0)</f>
        <v>486</v>
      </c>
      <c r="R487" s="4">
        <f>Table3[[#This Row],[Total Streams (in millions)]]-Table3[[#This Row],[Total Stream]]</f>
        <v>0.1000000000003638</v>
      </c>
      <c r="S487" s="8">
        <f>IFERROR(Table3[[#This Row],[Collaborative Streams (in millions)]]/Table3[[#This Row],[Total Stream]],0)</f>
        <v>0.69710798252305983</v>
      </c>
      <c r="T487" t="str">
        <f>IF(Table3[[#This Row],[Total Streams (in millions)]]&gt;=50000,"High Performer",IF(Table3[[#This Row],[Total Streams (in millions)]]&gt;=20000,"Medium Performer","Low Performer"))</f>
        <v>Low Performer</v>
      </c>
    </row>
    <row r="488" spans="1:20" x14ac:dyDescent="0.3">
      <c r="A488" s="9" t="s">
        <v>580</v>
      </c>
      <c r="B488" s="9" t="s">
        <v>14</v>
      </c>
      <c r="C488" s="9" t="s">
        <v>33</v>
      </c>
      <c r="D488" s="9" t="s">
        <v>16</v>
      </c>
      <c r="E488" s="9" t="s">
        <v>22</v>
      </c>
      <c r="F488" s="9" t="s">
        <v>18</v>
      </c>
      <c r="G488" s="10">
        <v>2016</v>
      </c>
      <c r="H488" s="10" t="str">
        <f>IF(Table3[[#This Row],[Debut Year]]&lt;=2000,"1999–2000",
IF(Table3[[#This Row],[Debut Year]]&lt;=2005,"2001–2005",
IF(Table3[[#This Row],[Debut Year]]&lt;=2010,"2006–2010",
IF(Table3[[#This Row],[Debut Year]]&lt;=2015,"2011–2015",
IF(Table3[[#This Row],[Debut Year]]&lt;=2020,"2016–2020",
"2021–2025")))))</f>
        <v>2016–2020</v>
      </c>
      <c r="I488" s="10">
        <v>7192.6</v>
      </c>
      <c r="J488" s="10">
        <v>4689.2</v>
      </c>
      <c r="K488" s="10">
        <v>2505.3000000000002</v>
      </c>
      <c r="L488" s="4">
        <v>3982.2</v>
      </c>
      <c r="M488" s="6">
        <f>Table2[[#This Row],[% of Solo Streams]]/100</f>
        <v>0.55365236490000003</v>
      </c>
      <c r="N488" s="3">
        <v>3210.4</v>
      </c>
      <c r="O488" s="6">
        <f>Table2[[#This Row],[% of Collaborative Streams]]/100</f>
        <v>0.44634763509999997</v>
      </c>
      <c r="P488" s="4">
        <f>Table3[[#This Row],[Lead Streams (in millions)]]+Table3[[#This Row],[Feature Streams (in millions)]]</f>
        <v>7194.5</v>
      </c>
      <c r="Q488" s="4">
        <f>_xlfn.RANK.EQ(Table3[[#This Row],[Total Stream]],Table3[Total Stream],0)</f>
        <v>487</v>
      </c>
      <c r="R488" s="4">
        <f>Table3[[#This Row],[Total Streams (in millions)]]-Table3[[#This Row],[Total Stream]]</f>
        <v>-1.8999999999996362</v>
      </c>
      <c r="S488" s="8">
        <f>IFERROR(Table3[[#This Row],[Collaborative Streams (in millions)]]/Table3[[#This Row],[Total Stream]],0)</f>
        <v>0.44622975884356109</v>
      </c>
      <c r="T488" t="str">
        <f>IF(Table3[[#This Row],[Total Streams (in millions)]]&gt;=50000,"High Performer",IF(Table3[[#This Row],[Total Streams (in millions)]]&gt;=20000,"Medium Performer","Low Performer"))</f>
        <v>Low Performer</v>
      </c>
    </row>
    <row r="489" spans="1:20" x14ac:dyDescent="0.3">
      <c r="A489" s="11" t="s">
        <v>581</v>
      </c>
      <c r="B489" s="11" t="s">
        <v>14</v>
      </c>
      <c r="C489" s="11" t="s">
        <v>45</v>
      </c>
      <c r="D489" s="11" t="s">
        <v>46</v>
      </c>
      <c r="E489" s="11" t="s">
        <v>47</v>
      </c>
      <c r="F489" s="11" t="s">
        <v>48</v>
      </c>
      <c r="G489" s="12">
        <v>2019</v>
      </c>
      <c r="H489" s="12" t="str">
        <f>IF(Table3[[#This Row],[Debut Year]]&lt;=2000,"1999–2000",
IF(Table3[[#This Row],[Debut Year]]&lt;=2005,"2001–2005",
IF(Table3[[#This Row],[Debut Year]]&lt;=2010,"2006–2010",
IF(Table3[[#This Row],[Debut Year]]&lt;=2015,"2011–2015",
IF(Table3[[#This Row],[Debut Year]]&lt;=2020,"2016–2020",
"2021–2025")))))</f>
        <v>2016–2020</v>
      </c>
      <c r="I489" s="12">
        <v>7182.1</v>
      </c>
      <c r="J489" s="12">
        <v>6877.5</v>
      </c>
      <c r="K489" s="12">
        <v>304.7</v>
      </c>
      <c r="L489" s="4">
        <v>6118.4</v>
      </c>
      <c r="M489" s="6">
        <f>Table2[[#This Row],[% of Solo Streams]]/100</f>
        <v>0.85189568510000002</v>
      </c>
      <c r="N489" s="3">
        <v>1063.7</v>
      </c>
      <c r="O489" s="6">
        <f>Table2[[#This Row],[% of Collaborative Streams]]/100</f>
        <v>0.14810431489999998</v>
      </c>
      <c r="P489" s="4">
        <f>Table3[[#This Row],[Lead Streams (in millions)]]+Table3[[#This Row],[Feature Streams (in millions)]]</f>
        <v>7182.2</v>
      </c>
      <c r="Q489" s="4">
        <f>_xlfn.RANK.EQ(Table3[[#This Row],[Total Stream]],Table3[Total Stream],0)</f>
        <v>488</v>
      </c>
      <c r="R489" s="4">
        <f>Table3[[#This Row],[Total Streams (in millions)]]-Table3[[#This Row],[Total Stream]]</f>
        <v>-9.9999999999454303E-2</v>
      </c>
      <c r="S489" s="8">
        <f>IFERROR(Table3[[#This Row],[Collaborative Streams (in millions)]]/Table3[[#This Row],[Total Stream]],0)</f>
        <v>0.14810225279162376</v>
      </c>
      <c r="T489" t="str">
        <f>IF(Table3[[#This Row],[Total Streams (in millions)]]&gt;=50000,"High Performer",IF(Table3[[#This Row],[Total Streams (in millions)]]&gt;=20000,"Medium Performer","Low Performer"))</f>
        <v>Low Performer</v>
      </c>
    </row>
    <row r="490" spans="1:20" x14ac:dyDescent="0.3">
      <c r="A490" s="9" t="s">
        <v>582</v>
      </c>
      <c r="B490" s="9" t="s">
        <v>14</v>
      </c>
      <c r="C490" s="9" t="s">
        <v>89</v>
      </c>
      <c r="D490" s="9" t="s">
        <v>24</v>
      </c>
      <c r="E490" s="9" t="s">
        <v>90</v>
      </c>
      <c r="F490" s="9" t="s">
        <v>48</v>
      </c>
      <c r="G490" s="10">
        <v>2015</v>
      </c>
      <c r="H490" s="10" t="str">
        <f>IF(Table3[[#This Row],[Debut Year]]&lt;=2000,"1999–2000",
IF(Table3[[#This Row],[Debut Year]]&lt;=2005,"2001–2005",
IF(Table3[[#This Row],[Debut Year]]&lt;=2010,"2006–2010",
IF(Table3[[#This Row],[Debut Year]]&lt;=2015,"2011–2015",
IF(Table3[[#This Row],[Debut Year]]&lt;=2020,"2016–2020",
"2021–2025")))))</f>
        <v>2011–2015</v>
      </c>
      <c r="I490" s="10">
        <v>7123.4</v>
      </c>
      <c r="J490" s="10">
        <v>5595.9</v>
      </c>
      <c r="K490" s="10">
        <v>1527.5</v>
      </c>
      <c r="L490" s="4">
        <v>3002</v>
      </c>
      <c r="M490" s="6">
        <f>Table2[[#This Row],[% of Solo Streams]]/100</f>
        <v>0.42142796980000002</v>
      </c>
      <c r="N490" s="3">
        <v>4121.3999999999996</v>
      </c>
      <c r="O490" s="6">
        <f>Table2[[#This Row],[% of Collaborative Streams]]/100</f>
        <v>0.57857203020000003</v>
      </c>
      <c r="P490" s="4">
        <f>Table3[[#This Row],[Lead Streams (in millions)]]+Table3[[#This Row],[Feature Streams (in millions)]]</f>
        <v>7123.4</v>
      </c>
      <c r="Q490" s="4">
        <f>_xlfn.RANK.EQ(Table3[[#This Row],[Total Stream]],Table3[Total Stream],0)</f>
        <v>489</v>
      </c>
      <c r="R490" s="4">
        <f>Table3[[#This Row],[Total Streams (in millions)]]-Table3[[#This Row],[Total Stream]]</f>
        <v>0</v>
      </c>
      <c r="S490" s="8">
        <f>IFERROR(Table3[[#This Row],[Collaborative Streams (in millions)]]/Table3[[#This Row],[Total Stream]],0)</f>
        <v>0.5785720302102928</v>
      </c>
      <c r="T490" t="str">
        <f>IF(Table3[[#This Row],[Total Streams (in millions)]]&gt;=50000,"High Performer",IF(Table3[[#This Row],[Total Streams (in millions)]]&gt;=20000,"Medium Performer","Low Performer"))</f>
        <v>Low Performer</v>
      </c>
    </row>
    <row r="491" spans="1:20" x14ac:dyDescent="0.3">
      <c r="A491" s="11" t="s">
        <v>583</v>
      </c>
      <c r="B491" s="11" t="s">
        <v>14</v>
      </c>
      <c r="C491" s="11" t="s">
        <v>21</v>
      </c>
      <c r="D491" s="11" t="s">
        <v>16</v>
      </c>
      <c r="E491" s="11" t="s">
        <v>22</v>
      </c>
      <c r="F491" s="11" t="s">
        <v>18</v>
      </c>
      <c r="G491" s="12">
        <v>2007</v>
      </c>
      <c r="H491" s="12" t="str">
        <f>IF(Table3[[#This Row],[Debut Year]]&lt;=2000,"1999–2000",
IF(Table3[[#This Row],[Debut Year]]&lt;=2005,"2001–2005",
IF(Table3[[#This Row],[Debut Year]]&lt;=2010,"2006–2010",
IF(Table3[[#This Row],[Debut Year]]&lt;=2015,"2011–2015",
IF(Table3[[#This Row],[Debut Year]]&lt;=2020,"2016–2020",
"2021–2025")))))</f>
        <v>2006–2010</v>
      </c>
      <c r="I491" s="12">
        <v>7114.1</v>
      </c>
      <c r="J491" s="12">
        <v>4400.3</v>
      </c>
      <c r="K491" s="12">
        <v>2716</v>
      </c>
      <c r="L491" s="4">
        <v>3.9</v>
      </c>
      <c r="M491" s="6">
        <f>Table2[[#This Row],[% of Solo Streams]]/100</f>
        <v>5.4820708170000006E-4</v>
      </c>
      <c r="N491" s="3">
        <v>7110.2</v>
      </c>
      <c r="O491" s="6">
        <f>Table2[[#This Row],[% of Collaborative Streams]]/100</f>
        <v>0.99945179289999997</v>
      </c>
      <c r="P491" s="4">
        <f>Table3[[#This Row],[Lead Streams (in millions)]]+Table3[[#This Row],[Feature Streams (in millions)]]</f>
        <v>7116.3</v>
      </c>
      <c r="Q491" s="4">
        <f>_xlfn.RANK.EQ(Table3[[#This Row],[Total Stream]],Table3[Total Stream],0)</f>
        <v>490</v>
      </c>
      <c r="R491" s="4">
        <f>Table3[[#This Row],[Total Streams (in millions)]]-Table3[[#This Row],[Total Stream]]</f>
        <v>-2.1999999999998181</v>
      </c>
      <c r="S491" s="8">
        <f>IFERROR(Table3[[#This Row],[Collaborative Streams (in millions)]]/Table3[[#This Row],[Total Stream]],0)</f>
        <v>0.99914281297865459</v>
      </c>
      <c r="T491" t="str">
        <f>IF(Table3[[#This Row],[Total Streams (in millions)]]&gt;=50000,"High Performer",IF(Table3[[#This Row],[Total Streams (in millions)]]&gt;=20000,"Medium Performer","Low Performer"))</f>
        <v>Low Performer</v>
      </c>
    </row>
    <row r="492" spans="1:20" x14ac:dyDescent="0.3">
      <c r="A492" s="9" t="s">
        <v>584</v>
      </c>
      <c r="B492" s="9" t="s">
        <v>14</v>
      </c>
      <c r="C492" s="9" t="s">
        <v>21</v>
      </c>
      <c r="D492" s="9" t="s">
        <v>16</v>
      </c>
      <c r="E492" s="9" t="s">
        <v>17</v>
      </c>
      <c r="F492" s="9" t="s">
        <v>18</v>
      </c>
      <c r="G492" s="10">
        <v>2010</v>
      </c>
      <c r="H492" s="10" t="str">
        <f>IF(Table3[[#This Row],[Debut Year]]&lt;=2000,"1999–2000",
IF(Table3[[#This Row],[Debut Year]]&lt;=2005,"2001–2005",
IF(Table3[[#This Row],[Debut Year]]&lt;=2010,"2006–2010",
IF(Table3[[#This Row],[Debut Year]]&lt;=2015,"2011–2015",
IF(Table3[[#This Row],[Debut Year]]&lt;=2020,"2016–2020",
"2021–2025")))))</f>
        <v>2006–2010</v>
      </c>
      <c r="I492" s="10">
        <v>7073.7</v>
      </c>
      <c r="J492" s="10">
        <v>2882.3</v>
      </c>
      <c r="K492" s="10">
        <v>4191.3999999999996</v>
      </c>
      <c r="L492" s="4">
        <v>1158.3</v>
      </c>
      <c r="M492" s="6">
        <f>Table2[[#This Row],[% of Solo Streams]]/100</f>
        <v>0.16374740230000001</v>
      </c>
      <c r="N492" s="3">
        <v>5915.4</v>
      </c>
      <c r="O492" s="6">
        <f>Table2[[#This Row],[% of Collaborative Streams]]/100</f>
        <v>0.83625259770000004</v>
      </c>
      <c r="P492" s="4">
        <f>Table3[[#This Row],[Lead Streams (in millions)]]+Table3[[#This Row],[Feature Streams (in millions)]]</f>
        <v>7073.7</v>
      </c>
      <c r="Q492" s="4">
        <f>_xlfn.RANK.EQ(Table3[[#This Row],[Total Stream]],Table3[Total Stream],0)</f>
        <v>491</v>
      </c>
      <c r="R492" s="4">
        <f>Table3[[#This Row],[Total Streams (in millions)]]-Table3[[#This Row],[Total Stream]]</f>
        <v>0</v>
      </c>
      <c r="S492" s="8">
        <f>IFERROR(Table3[[#This Row],[Collaborative Streams (in millions)]]/Table3[[#This Row],[Total Stream]],0)</f>
        <v>0.83625259765045168</v>
      </c>
      <c r="T492" t="str">
        <f>IF(Table3[[#This Row],[Total Streams (in millions)]]&gt;=50000,"High Performer",IF(Table3[[#This Row],[Total Streams (in millions)]]&gt;=20000,"Medium Performer","Low Performer"))</f>
        <v>Low Performer</v>
      </c>
    </row>
    <row r="493" spans="1:20" x14ac:dyDescent="0.3">
      <c r="A493" s="11" t="s">
        <v>585</v>
      </c>
      <c r="B493" s="11" t="s">
        <v>14</v>
      </c>
      <c r="C493" s="11" t="s">
        <v>21</v>
      </c>
      <c r="D493" s="11" t="s">
        <v>16</v>
      </c>
      <c r="E493" s="11" t="s">
        <v>17</v>
      </c>
      <c r="F493" s="11" t="s">
        <v>18</v>
      </c>
      <c r="G493" s="12">
        <v>2017</v>
      </c>
      <c r="H493" s="12" t="str">
        <f>IF(Table3[[#This Row],[Debut Year]]&lt;=2000,"1999–2000",
IF(Table3[[#This Row],[Debut Year]]&lt;=2005,"2001–2005",
IF(Table3[[#This Row],[Debut Year]]&lt;=2010,"2006–2010",
IF(Table3[[#This Row],[Debut Year]]&lt;=2015,"2011–2015",
IF(Table3[[#This Row],[Debut Year]]&lt;=2020,"2016–2020",
"2021–2025")))))</f>
        <v>2016–2020</v>
      </c>
      <c r="I493" s="12">
        <v>7061.3</v>
      </c>
      <c r="J493" s="12">
        <v>7067.3</v>
      </c>
      <c r="K493" s="12">
        <v>0</v>
      </c>
      <c r="L493" s="4">
        <v>4346.8</v>
      </c>
      <c r="M493" s="6">
        <f>Table2[[#This Row],[% of Solo Streams]]/100</f>
        <v>0.61558070040000001</v>
      </c>
      <c r="N493" s="3">
        <v>2714.5</v>
      </c>
      <c r="O493" s="6">
        <f>Table2[[#This Row],[% of Collaborative Streams]]/100</f>
        <v>0.38441929960000004</v>
      </c>
      <c r="P493" s="4">
        <f>Table3[[#This Row],[Lead Streams (in millions)]]+Table3[[#This Row],[Feature Streams (in millions)]]</f>
        <v>7067.3</v>
      </c>
      <c r="Q493" s="4">
        <f>_xlfn.RANK.EQ(Table3[[#This Row],[Total Stream]],Table3[Total Stream],0)</f>
        <v>492</v>
      </c>
      <c r="R493" s="4">
        <f>Table3[[#This Row],[Total Streams (in millions)]]-Table3[[#This Row],[Total Stream]]</f>
        <v>-6</v>
      </c>
      <c r="S493" s="8">
        <f>IFERROR(Table3[[#This Row],[Collaborative Streams (in millions)]]/Table3[[#This Row],[Total Stream]],0)</f>
        <v>0.38409293506714021</v>
      </c>
      <c r="T493" t="str">
        <f>IF(Table3[[#This Row],[Total Streams (in millions)]]&gt;=50000,"High Performer",IF(Table3[[#This Row],[Total Streams (in millions)]]&gt;=20000,"Medium Performer","Low Performer"))</f>
        <v>Low Performer</v>
      </c>
    </row>
    <row r="494" spans="1:20" x14ac:dyDescent="0.3">
      <c r="A494" s="9" t="s">
        <v>586</v>
      </c>
      <c r="B494" s="9" t="s">
        <v>14</v>
      </c>
      <c r="C494" s="9" t="s">
        <v>89</v>
      </c>
      <c r="D494" s="9" t="s">
        <v>24</v>
      </c>
      <c r="E494" s="9" t="s">
        <v>82</v>
      </c>
      <c r="F494" s="9" t="s">
        <v>18</v>
      </c>
      <c r="G494" s="10">
        <v>1971</v>
      </c>
      <c r="H494" s="10" t="str">
        <f>IF(Table3[[#This Row],[Debut Year]]&lt;=2000,"1999–2000",
IF(Table3[[#This Row],[Debut Year]]&lt;=2005,"2001–2005",
IF(Table3[[#This Row],[Debut Year]]&lt;=2010,"2006–2010",
IF(Table3[[#This Row],[Debut Year]]&lt;=2015,"2011–2015",
IF(Table3[[#This Row],[Debut Year]]&lt;=2020,"2016–2020",
"2021–2025")))))</f>
        <v>1999–2000</v>
      </c>
      <c r="I494" s="10">
        <v>7059.2</v>
      </c>
      <c r="J494" s="10">
        <v>6505.8</v>
      </c>
      <c r="K494" s="10">
        <v>557.1</v>
      </c>
      <c r="L494" s="4">
        <v>5676.3</v>
      </c>
      <c r="M494" s="6">
        <f>Table2[[#This Row],[% of Solo Streams]]/100</f>
        <v>0.80409961470000002</v>
      </c>
      <c r="N494" s="3">
        <v>1382.9</v>
      </c>
      <c r="O494" s="6">
        <f>Table2[[#This Row],[% of Collaborative Streams]]/100</f>
        <v>0.19590038530000001</v>
      </c>
      <c r="P494" s="4">
        <f>Table3[[#This Row],[Lead Streams (in millions)]]+Table3[[#This Row],[Feature Streams (in millions)]]</f>
        <v>7062.9000000000005</v>
      </c>
      <c r="Q494" s="4">
        <f>_xlfn.RANK.EQ(Table3[[#This Row],[Total Stream]],Table3[Total Stream],0)</f>
        <v>493</v>
      </c>
      <c r="R494" s="4">
        <f>Table3[[#This Row],[Total Streams (in millions)]]-Table3[[#This Row],[Total Stream]]</f>
        <v>-3.7000000000007276</v>
      </c>
      <c r="S494" s="8">
        <f>IFERROR(Table3[[#This Row],[Collaborative Streams (in millions)]]/Table3[[#This Row],[Total Stream]],0)</f>
        <v>0.19579776012686007</v>
      </c>
      <c r="T494" t="str">
        <f>IF(Table3[[#This Row],[Total Streams (in millions)]]&gt;=50000,"High Performer",IF(Table3[[#This Row],[Total Streams (in millions)]]&gt;=20000,"Medium Performer","Low Performer"))</f>
        <v>Low Performer</v>
      </c>
    </row>
    <row r="495" spans="1:20" x14ac:dyDescent="0.3">
      <c r="A495" s="11" t="s">
        <v>587</v>
      </c>
      <c r="B495" s="11" t="s">
        <v>14</v>
      </c>
      <c r="C495" s="11" t="s">
        <v>89</v>
      </c>
      <c r="D495" s="11" t="s">
        <v>24</v>
      </c>
      <c r="E495" s="11" t="s">
        <v>82</v>
      </c>
      <c r="F495" s="11" t="s">
        <v>48</v>
      </c>
      <c r="G495" s="12">
        <v>1977</v>
      </c>
      <c r="H495" s="12" t="str">
        <f>IF(Table3[[#This Row],[Debut Year]]&lt;=2000,"1999–2000",
IF(Table3[[#This Row],[Debut Year]]&lt;=2005,"2001–2005",
IF(Table3[[#This Row],[Debut Year]]&lt;=2010,"2006–2010",
IF(Table3[[#This Row],[Debut Year]]&lt;=2015,"2011–2015",
IF(Table3[[#This Row],[Debut Year]]&lt;=2020,"2016–2020",
"2021–2025")))))</f>
        <v>1999–2000</v>
      </c>
      <c r="I495" s="12">
        <v>7059.2</v>
      </c>
      <c r="J495" s="12">
        <v>6607.2</v>
      </c>
      <c r="K495" s="12">
        <v>446.9</v>
      </c>
      <c r="L495" s="4">
        <v>7059.2</v>
      </c>
      <c r="M495" s="6">
        <f>Table2[[#This Row],[% of Solo Streams]]/100</f>
        <v>1</v>
      </c>
      <c r="N495" s="3">
        <v>0</v>
      </c>
      <c r="O495" s="6">
        <f>Table2[[#This Row],[% of Collaborative Streams]]/100</f>
        <v>0</v>
      </c>
      <c r="P495" s="4">
        <f>Table3[[#This Row],[Lead Streams (in millions)]]+Table3[[#This Row],[Feature Streams (in millions)]]</f>
        <v>7054.0999999999995</v>
      </c>
      <c r="Q495" s="4">
        <f>_xlfn.RANK.EQ(Table3[[#This Row],[Total Stream]],Table3[Total Stream],0)</f>
        <v>494</v>
      </c>
      <c r="R495" s="4">
        <f>Table3[[#This Row],[Total Streams (in millions)]]-Table3[[#This Row],[Total Stream]]</f>
        <v>5.1000000000003638</v>
      </c>
      <c r="S495" s="8">
        <f>IFERROR(Table3[[#This Row],[Collaborative Streams (in millions)]]/Table3[[#This Row],[Total Stream]],0)</f>
        <v>0</v>
      </c>
      <c r="T495" t="str">
        <f>IF(Table3[[#This Row],[Total Streams (in millions)]]&gt;=50000,"High Performer",IF(Table3[[#This Row],[Total Streams (in millions)]]&gt;=20000,"Medium Performer","Low Performer"))</f>
        <v>Low Performer</v>
      </c>
    </row>
    <row r="496" spans="1:20" x14ac:dyDescent="0.3">
      <c r="A496" s="9" t="s">
        <v>588</v>
      </c>
      <c r="B496" s="9" t="s">
        <v>14</v>
      </c>
      <c r="C496" s="9" t="s">
        <v>21</v>
      </c>
      <c r="D496" s="9" t="s">
        <v>16</v>
      </c>
      <c r="E496" s="9" t="s">
        <v>22</v>
      </c>
      <c r="F496" s="9" t="s">
        <v>18</v>
      </c>
      <c r="G496" s="10">
        <v>2002</v>
      </c>
      <c r="H496" s="10" t="str">
        <f>IF(Table3[[#This Row],[Debut Year]]&lt;=2000,"1999–2000",
IF(Table3[[#This Row],[Debut Year]]&lt;=2005,"2001–2005",
IF(Table3[[#This Row],[Debut Year]]&lt;=2010,"2006–2010",
IF(Table3[[#This Row],[Debut Year]]&lt;=2015,"2011–2015",
IF(Table3[[#This Row],[Debut Year]]&lt;=2020,"2016–2020",
"2021–2025")))))</f>
        <v>2001–2005</v>
      </c>
      <c r="I496" s="10">
        <v>7048.5</v>
      </c>
      <c r="J496" s="10">
        <v>6851.4</v>
      </c>
      <c r="K496" s="10">
        <v>199.1</v>
      </c>
      <c r="L496" s="4">
        <v>5805</v>
      </c>
      <c r="M496" s="6">
        <f>Table2[[#This Row],[% of Solo Streams]]/100</f>
        <v>0.82357948500000011</v>
      </c>
      <c r="N496" s="3">
        <v>1243.5</v>
      </c>
      <c r="O496" s="6">
        <f>Table2[[#This Row],[% of Collaborative Streams]]/100</f>
        <v>0.176420515</v>
      </c>
      <c r="P496" s="4">
        <f>Table3[[#This Row],[Lead Streams (in millions)]]+Table3[[#This Row],[Feature Streams (in millions)]]</f>
        <v>7050.5</v>
      </c>
      <c r="Q496" s="4">
        <f>_xlfn.RANK.EQ(Table3[[#This Row],[Total Stream]],Table3[Total Stream],0)</f>
        <v>495</v>
      </c>
      <c r="R496" s="4">
        <f>Table3[[#This Row],[Total Streams (in millions)]]-Table3[[#This Row],[Total Stream]]</f>
        <v>-2</v>
      </c>
      <c r="S496" s="8">
        <f>IFERROR(Table3[[#This Row],[Collaborative Streams (in millions)]]/Table3[[#This Row],[Total Stream]],0)</f>
        <v>0.1763704701794199</v>
      </c>
      <c r="T496" t="str">
        <f>IF(Table3[[#This Row],[Total Streams (in millions)]]&gt;=50000,"High Performer",IF(Table3[[#This Row],[Total Streams (in millions)]]&gt;=20000,"Medium Performer","Low Performer"))</f>
        <v>Low Performer</v>
      </c>
    </row>
    <row r="497" spans="1:20" x14ac:dyDescent="0.3">
      <c r="A497" s="11" t="s">
        <v>589</v>
      </c>
      <c r="B497" s="11" t="s">
        <v>14</v>
      </c>
      <c r="C497" s="11" t="s">
        <v>33</v>
      </c>
      <c r="D497" s="11" t="s">
        <v>16</v>
      </c>
      <c r="E497" s="11" t="s">
        <v>51</v>
      </c>
      <c r="F497" s="11" t="s">
        <v>48</v>
      </c>
      <c r="G497" s="12">
        <v>1979</v>
      </c>
      <c r="H497" s="12" t="str">
        <f>IF(Table3[[#This Row],[Debut Year]]&lt;=2000,"1999–2000",
IF(Table3[[#This Row],[Debut Year]]&lt;=2005,"2001–2005",
IF(Table3[[#This Row],[Debut Year]]&lt;=2010,"2006–2010",
IF(Table3[[#This Row],[Debut Year]]&lt;=2015,"2011–2015",
IF(Table3[[#This Row],[Debut Year]]&lt;=2020,"2016–2020",
"2021–2025")))))</f>
        <v>1999–2000</v>
      </c>
      <c r="I497" s="12">
        <v>7034.1</v>
      </c>
      <c r="J497" s="12">
        <v>7035</v>
      </c>
      <c r="K497" s="12">
        <v>3.3</v>
      </c>
      <c r="L497" s="4">
        <v>6940.1</v>
      </c>
      <c r="M497" s="6">
        <f>Table2[[#This Row],[% of Solo Streams]]/100</f>
        <v>0.98663652780000011</v>
      </c>
      <c r="N497" s="3">
        <v>94</v>
      </c>
      <c r="O497" s="6">
        <f>Table2[[#This Row],[% of Collaborative Streams]]/100</f>
        <v>1.3363472229999999E-2</v>
      </c>
      <c r="P497" s="4">
        <f>Table3[[#This Row],[Lead Streams (in millions)]]+Table3[[#This Row],[Feature Streams (in millions)]]</f>
        <v>7038.3</v>
      </c>
      <c r="Q497" s="4">
        <f>_xlfn.RANK.EQ(Table3[[#This Row],[Total Stream]],Table3[Total Stream],0)</f>
        <v>496</v>
      </c>
      <c r="R497" s="4">
        <f>Table3[[#This Row],[Total Streams (in millions)]]-Table3[[#This Row],[Total Stream]]</f>
        <v>-4.1999999999998181</v>
      </c>
      <c r="S497" s="8">
        <f>IFERROR(Table3[[#This Row],[Collaborative Streams (in millions)]]/Table3[[#This Row],[Total Stream]],0)</f>
        <v>1.3355497776451699E-2</v>
      </c>
      <c r="T497" t="str">
        <f>IF(Table3[[#This Row],[Total Streams (in millions)]]&gt;=50000,"High Performer",IF(Table3[[#This Row],[Total Streams (in millions)]]&gt;=20000,"Medium Performer","Low Performer"))</f>
        <v>Low Performer</v>
      </c>
    </row>
    <row r="498" spans="1:20" x14ac:dyDescent="0.3">
      <c r="A498" s="9" t="s">
        <v>590</v>
      </c>
      <c r="B498" s="9" t="s">
        <v>78</v>
      </c>
      <c r="C498" s="9" t="s">
        <v>21</v>
      </c>
      <c r="D498" s="9" t="s">
        <v>16</v>
      </c>
      <c r="E498" s="9" t="s">
        <v>22</v>
      </c>
      <c r="F498" s="9" t="s">
        <v>48</v>
      </c>
      <c r="G498" s="10">
        <v>2017</v>
      </c>
      <c r="H498" s="10" t="str">
        <f>IF(Table3[[#This Row],[Debut Year]]&lt;=2000,"1999–2000",
IF(Table3[[#This Row],[Debut Year]]&lt;=2005,"2001–2005",
IF(Table3[[#This Row],[Debut Year]]&lt;=2010,"2006–2010",
IF(Table3[[#This Row],[Debut Year]]&lt;=2015,"2011–2015",
IF(Table3[[#This Row],[Debut Year]]&lt;=2020,"2016–2020",
"2021–2025")))))</f>
        <v>2016–2020</v>
      </c>
      <c r="I498" s="10">
        <v>7029.1</v>
      </c>
      <c r="J498" s="10">
        <v>5774.4</v>
      </c>
      <c r="K498" s="10">
        <v>1261.4000000000001</v>
      </c>
      <c r="L498" s="4">
        <v>5705.9</v>
      </c>
      <c r="M498" s="6">
        <f>Table2[[#This Row],[% of Solo Streams]]/100</f>
        <v>0.81175399409999993</v>
      </c>
      <c r="N498" s="3">
        <v>1323.2</v>
      </c>
      <c r="O498" s="6">
        <f>Table2[[#This Row],[% of Collaborative Streams]]/100</f>
        <v>0.18824600589999999</v>
      </c>
      <c r="P498" s="4">
        <f>Table3[[#This Row],[Lead Streams (in millions)]]+Table3[[#This Row],[Feature Streams (in millions)]]</f>
        <v>7035.7999999999993</v>
      </c>
      <c r="Q498" s="4">
        <f>_xlfn.RANK.EQ(Table3[[#This Row],[Total Stream]],Table3[Total Stream],0)</f>
        <v>497</v>
      </c>
      <c r="R498" s="4">
        <f>Table3[[#This Row],[Total Streams (in millions)]]-Table3[[#This Row],[Total Stream]]</f>
        <v>-6.6999999999989086</v>
      </c>
      <c r="S498" s="8">
        <f>IFERROR(Table3[[#This Row],[Collaborative Streams (in millions)]]/Table3[[#This Row],[Total Stream]],0)</f>
        <v>0.18806674436453569</v>
      </c>
      <c r="T498" t="str">
        <f>IF(Table3[[#This Row],[Total Streams (in millions)]]&gt;=50000,"High Performer",IF(Table3[[#This Row],[Total Streams (in millions)]]&gt;=20000,"Medium Performer","Low Performer"))</f>
        <v>Low Performer</v>
      </c>
    </row>
    <row r="499" spans="1:20" x14ac:dyDescent="0.3">
      <c r="A499" s="11" t="s">
        <v>591</v>
      </c>
      <c r="B499" s="11" t="s">
        <v>14</v>
      </c>
      <c r="C499" s="11" t="s">
        <v>21</v>
      </c>
      <c r="D499" s="11" t="s">
        <v>16</v>
      </c>
      <c r="E499" s="11" t="s">
        <v>592</v>
      </c>
      <c r="F499" s="11" t="s">
        <v>48</v>
      </c>
      <c r="G499" s="12">
        <v>1997</v>
      </c>
      <c r="H499" s="12" t="str">
        <f>IF(Table3[[#This Row],[Debut Year]]&lt;=2000,"1999–2000",
IF(Table3[[#This Row],[Debut Year]]&lt;=2005,"2001–2005",
IF(Table3[[#This Row],[Debut Year]]&lt;=2010,"2006–2010",
IF(Table3[[#This Row],[Debut Year]]&lt;=2015,"2011–2015",
IF(Table3[[#This Row],[Debut Year]]&lt;=2020,"2016–2020",
"2021–2025")))))</f>
        <v>1999–2000</v>
      </c>
      <c r="I499" s="12">
        <v>7018.9</v>
      </c>
      <c r="J499" s="12">
        <v>7018.4</v>
      </c>
      <c r="K499" s="12">
        <v>5.4</v>
      </c>
      <c r="L499" s="4">
        <v>6806</v>
      </c>
      <c r="M499" s="6">
        <f>Table2[[#This Row],[% of Solo Streams]]/100</f>
        <v>0.96966761169999993</v>
      </c>
      <c r="N499" s="3">
        <v>212.9</v>
      </c>
      <c r="O499" s="6">
        <f>Table2[[#This Row],[% of Collaborative Streams]]/100</f>
        <v>3.033238827E-2</v>
      </c>
      <c r="P499" s="4">
        <f>Table3[[#This Row],[Lead Streams (in millions)]]+Table3[[#This Row],[Feature Streams (in millions)]]</f>
        <v>7023.7999999999993</v>
      </c>
      <c r="Q499" s="4">
        <f>_xlfn.RANK.EQ(Table3[[#This Row],[Total Stream]],Table3[Total Stream],0)</f>
        <v>498</v>
      </c>
      <c r="R499" s="4">
        <f>Table3[[#This Row],[Total Streams (in millions)]]-Table3[[#This Row],[Total Stream]]</f>
        <v>-4.8999999999996362</v>
      </c>
      <c r="S499" s="8">
        <f>IFERROR(Table3[[#This Row],[Collaborative Streams (in millions)]]/Table3[[#This Row],[Total Stream]],0)</f>
        <v>3.0311227540647516E-2</v>
      </c>
      <c r="T499" t="str">
        <f>IF(Table3[[#This Row],[Total Streams (in millions)]]&gt;=50000,"High Performer",IF(Table3[[#This Row],[Total Streams (in millions)]]&gt;=20000,"Medium Performer","Low Performer"))</f>
        <v>Low Performer</v>
      </c>
    </row>
    <row r="500" spans="1:20" x14ac:dyDescent="0.3">
      <c r="A500" s="9" t="s">
        <v>593</v>
      </c>
      <c r="B500" s="11" t="s">
        <v>14</v>
      </c>
      <c r="C500" s="9" t="s">
        <v>21</v>
      </c>
      <c r="D500" s="9" t="s">
        <v>16</v>
      </c>
      <c r="E500" s="9" t="s">
        <v>291</v>
      </c>
      <c r="F500" s="9" t="s">
        <v>48</v>
      </c>
      <c r="G500" s="10">
        <v>1994</v>
      </c>
      <c r="H500" s="10" t="str">
        <f>IF(Table3[[#This Row],[Debut Year]]&lt;=2000,"1999–2000",
IF(Table3[[#This Row],[Debut Year]]&lt;=2005,"2001–2005",
IF(Table3[[#This Row],[Debut Year]]&lt;=2010,"2006–2010",
IF(Table3[[#This Row],[Debut Year]]&lt;=2015,"2011–2015",
IF(Table3[[#This Row],[Debut Year]]&lt;=2020,"2016–2020",
"2021–2025")))))</f>
        <v>1999–2000</v>
      </c>
      <c r="I500" s="10">
        <v>6976.4</v>
      </c>
      <c r="J500" s="10">
        <v>4188.3999999999996</v>
      </c>
      <c r="K500" s="10">
        <v>2798.5</v>
      </c>
      <c r="L500" s="4">
        <v>6414.9</v>
      </c>
      <c r="M500" s="6">
        <f>Table2[[#This Row],[% of Solo Streams]]/100</f>
        <v>0.91951436269999998</v>
      </c>
      <c r="N500" s="3">
        <v>561.5</v>
      </c>
      <c r="O500" s="6">
        <f>Table2[[#This Row],[% of Collaborative Streams]]/100</f>
        <v>8.0485637289999995E-2</v>
      </c>
      <c r="P500" s="4">
        <f>Table3[[#This Row],[Lead Streams (in millions)]]+Table3[[#This Row],[Feature Streams (in millions)]]</f>
        <v>6986.9</v>
      </c>
      <c r="Q500" s="4">
        <f>_xlfn.RANK.EQ(Table3[[#This Row],[Total Stream]],Table3[Total Stream],0)</f>
        <v>499</v>
      </c>
      <c r="R500" s="4">
        <f>Table3[[#This Row],[Total Streams (in millions)]]-Table3[[#This Row],[Total Stream]]</f>
        <v>-10.5</v>
      </c>
      <c r="S500" s="8">
        <f>IFERROR(Table3[[#This Row],[Collaborative Streams (in millions)]]/Table3[[#This Row],[Total Stream]],0)</f>
        <v>8.036468247720735E-2</v>
      </c>
      <c r="T500" t="str">
        <f>IF(Table3[[#This Row],[Total Streams (in millions)]]&gt;=50000,"High Performer",IF(Table3[[#This Row],[Total Streams (in millions)]]&gt;=20000,"Medium Performer","Low Performer"))</f>
        <v>Low Performer</v>
      </c>
    </row>
    <row r="501" spans="1:20" x14ac:dyDescent="0.3">
      <c r="A501" s="11" t="s">
        <v>594</v>
      </c>
      <c r="B501" s="11" t="s">
        <v>14</v>
      </c>
      <c r="C501" s="11" t="s">
        <v>21</v>
      </c>
      <c r="D501" s="11" t="s">
        <v>24</v>
      </c>
      <c r="E501" s="11" t="s">
        <v>25</v>
      </c>
      <c r="F501" s="11" t="s">
        <v>18</v>
      </c>
      <c r="G501" s="12">
        <v>2017</v>
      </c>
      <c r="H501" s="12" t="str">
        <f>IF(Table3[[#This Row],[Debut Year]]&lt;=2000,"1999–2000",
IF(Table3[[#This Row],[Debut Year]]&lt;=2005,"2001–2005",
IF(Table3[[#This Row],[Debut Year]]&lt;=2010,"2006–2010",
IF(Table3[[#This Row],[Debut Year]]&lt;=2015,"2011–2015",
IF(Table3[[#This Row],[Debut Year]]&lt;=2020,"2016–2020",
"2021–2025")))))</f>
        <v>2016–2020</v>
      </c>
      <c r="I501" s="12">
        <v>6972</v>
      </c>
      <c r="J501" s="12">
        <v>6956</v>
      </c>
      <c r="K501" s="12">
        <v>20.3</v>
      </c>
      <c r="L501" s="4">
        <v>1876.2</v>
      </c>
      <c r="M501" s="6">
        <f>Table2[[#This Row],[% of Solo Streams]]/100</f>
        <v>0.26910499139999999</v>
      </c>
      <c r="N501" s="3">
        <v>5095.8</v>
      </c>
      <c r="O501" s="6">
        <f>Table2[[#This Row],[% of Collaborative Streams]]/100</f>
        <v>0.73089500860000001</v>
      </c>
      <c r="P501" s="4">
        <f>Table3[[#This Row],[Lead Streams (in millions)]]+Table3[[#This Row],[Feature Streams (in millions)]]</f>
        <v>6976.3</v>
      </c>
      <c r="Q501" s="4">
        <f>_xlfn.RANK.EQ(Table3[[#This Row],[Total Stream]],Table3[Total Stream],0)</f>
        <v>500</v>
      </c>
      <c r="R501" s="4">
        <f>Table3[[#This Row],[Total Streams (in millions)]]-Table3[[#This Row],[Total Stream]]</f>
        <v>-4.3000000000001819</v>
      </c>
      <c r="S501" s="8">
        <f>IFERROR(Table3[[#This Row],[Collaborative Streams (in millions)]]/Table3[[#This Row],[Total Stream]],0)</f>
        <v>0.73044450496681623</v>
      </c>
      <c r="T501" t="str">
        <f>IF(Table3[[#This Row],[Total Streams (in millions)]]&gt;=50000,"High Performer",IF(Table3[[#This Row],[Total Streams (in millions)]]&gt;=20000,"Medium Performer","Low Performer"))</f>
        <v>Low Performer</v>
      </c>
    </row>
    <row r="502" spans="1:20" x14ac:dyDescent="0.3">
      <c r="A502" s="15">
        <f>COUNTA(Table3[Artist Name])</f>
        <v>500</v>
      </c>
      <c r="B502" s="13"/>
      <c r="C502" s="13"/>
      <c r="D502" s="13"/>
      <c r="E502" s="15">
        <f>COUNTA(_xlfn.UNIQUE(Table3[Primary Genre]))</f>
        <v>23</v>
      </c>
      <c r="F502" s="13"/>
      <c r="G502" s="14"/>
      <c r="H502" s="14"/>
      <c r="I502" s="14">
        <f>SUBTOTAL(109,Table3[Total Streams (in millions)])</f>
        <v>8408805.1000000015</v>
      </c>
      <c r="J502" s="14"/>
      <c r="K502" s="14"/>
      <c r="L502" s="4"/>
      <c r="N502" s="3"/>
      <c r="O502" s="6"/>
      <c r="P502" s="4">
        <f>SUBTOTAL(101,Table3[Total Stream])</f>
        <v>16823.023000000012</v>
      </c>
      <c r="Q502" s="4"/>
      <c r="R502" s="4"/>
      <c r="S502" s="19">
        <f>SUBTOTAL(101,Table3[Collaborative Rate])</f>
        <v>0.49369397671353599</v>
      </c>
    </row>
    <row r="503" spans="1:20" x14ac:dyDescent="0.3">
      <c r="I503">
        <f>MAX(Table3[Total Streams (in millions)])</f>
        <v>137492.1</v>
      </c>
    </row>
    <row r="505" spans="1:20" x14ac:dyDescent="0.3">
      <c r="L505" t="s">
        <v>597</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163E1CDC-09A6-4673-BFBC-6289735D2B35}">
            <x14:iconSet iconSet="3Stars">
              <x14:cfvo type="percent">
                <xm:f>0</xm:f>
              </x14:cfvo>
              <x14:cfvo type="percent">
                <xm:f>33</xm:f>
              </x14:cfvo>
              <x14:cfvo type="percent">
                <xm:f>67</xm:f>
              </x14:cfvo>
            </x14:iconSet>
          </x14:cfRule>
          <xm:sqref>T16:T501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F8CCA-750B-42DA-97F9-64C94C0520DF}">
  <sheetPr codeName="Sheet4"/>
  <dimension ref="A1:U46"/>
  <sheetViews>
    <sheetView zoomScale="72" workbookViewId="0">
      <selection activeCell="E23" sqref="E23"/>
    </sheetView>
  </sheetViews>
  <sheetFormatPr defaultRowHeight="14.4" x14ac:dyDescent="0.3"/>
  <cols>
    <col min="1" max="1" width="14.6640625" bestFit="1" customWidth="1"/>
    <col min="2" max="2" width="18.33203125" bestFit="1" customWidth="1"/>
    <col min="3" max="3" width="17.109375" bestFit="1" customWidth="1"/>
    <col min="4" max="4" width="31.33203125" bestFit="1" customWidth="1"/>
    <col min="5" max="6" width="18.33203125" bestFit="1" customWidth="1"/>
    <col min="7" max="7" width="30.33203125" bestFit="1" customWidth="1"/>
    <col min="8" max="8" width="23.88671875" bestFit="1" customWidth="1"/>
    <col min="9" max="9" width="23.6640625" bestFit="1" customWidth="1"/>
    <col min="10" max="10" width="24.109375" bestFit="1" customWidth="1"/>
    <col min="11" max="11" width="10.77734375" bestFit="1" customWidth="1"/>
    <col min="12" max="12" width="19.44140625" bestFit="1" customWidth="1"/>
    <col min="13" max="13" width="10" bestFit="1" customWidth="1"/>
    <col min="14" max="14" width="6.33203125" bestFit="1" customWidth="1"/>
    <col min="15" max="15" width="6.5546875" bestFit="1" customWidth="1"/>
    <col min="16" max="16" width="6.109375" bestFit="1" customWidth="1"/>
    <col min="17" max="17" width="10.6640625" bestFit="1" customWidth="1"/>
    <col min="18" max="18" width="8.6640625" bestFit="1" customWidth="1"/>
    <col min="19" max="19" width="47.44140625" bestFit="1" customWidth="1"/>
    <col min="20" max="20" width="18.21875" bestFit="1" customWidth="1"/>
    <col min="21" max="21" width="23.109375" bestFit="1" customWidth="1"/>
    <col min="22" max="22" width="6.88671875" bestFit="1" customWidth="1"/>
    <col min="23" max="23" width="47.44140625" bestFit="1" customWidth="1"/>
    <col min="24" max="24" width="16.44140625" bestFit="1" customWidth="1"/>
    <col min="25" max="25" width="13.5546875" bestFit="1" customWidth="1"/>
    <col min="26" max="26" width="17.88671875" bestFit="1" customWidth="1"/>
    <col min="27" max="28" width="23.6640625" bestFit="1" customWidth="1"/>
    <col min="29" max="29" width="17.88671875" bestFit="1" customWidth="1"/>
    <col min="30" max="30" width="14.109375" bestFit="1" customWidth="1"/>
    <col min="31" max="31" width="16.109375" bestFit="1" customWidth="1"/>
    <col min="32" max="32" width="10.77734375" bestFit="1" customWidth="1"/>
    <col min="33" max="33" width="19.44140625" bestFit="1" customWidth="1"/>
    <col min="34" max="34" width="10" bestFit="1" customWidth="1"/>
    <col min="35" max="35" width="6.33203125" bestFit="1" customWidth="1"/>
    <col min="36" max="36" width="6.5546875" bestFit="1" customWidth="1"/>
    <col min="37" max="37" width="6.109375" bestFit="1" customWidth="1"/>
    <col min="38" max="38" width="10.6640625" bestFit="1" customWidth="1"/>
    <col min="39" max="39" width="8.6640625" bestFit="1" customWidth="1"/>
    <col min="40" max="40" width="7.109375" bestFit="1" customWidth="1"/>
    <col min="41" max="41" width="6" bestFit="1" customWidth="1"/>
    <col min="42" max="42" width="6.33203125" bestFit="1" customWidth="1"/>
    <col min="43" max="43" width="10" bestFit="1" customWidth="1"/>
    <col min="44" max="44" width="13.5546875" bestFit="1" customWidth="1"/>
    <col min="45" max="45" width="21.109375" bestFit="1" customWidth="1"/>
    <col min="46" max="46" width="7.109375" bestFit="1" customWidth="1"/>
    <col min="47" max="47" width="12.21875" bestFit="1" customWidth="1"/>
    <col min="48" max="48" width="6.5546875" bestFit="1" customWidth="1"/>
    <col min="49" max="49" width="14.109375" bestFit="1" customWidth="1"/>
    <col min="50" max="50" width="12.5546875" bestFit="1" customWidth="1"/>
  </cols>
  <sheetData>
    <row r="1" spans="1:21" ht="18" x14ac:dyDescent="0.35">
      <c r="A1" t="s">
        <v>619</v>
      </c>
      <c r="H1" s="27"/>
      <c r="U1" s="29"/>
    </row>
    <row r="3" spans="1:21" x14ac:dyDescent="0.3">
      <c r="A3" t="s">
        <v>609</v>
      </c>
      <c r="B3" t="s">
        <v>608</v>
      </c>
      <c r="E3" s="16" t="s">
        <v>610</v>
      </c>
      <c r="F3" t="s">
        <v>611</v>
      </c>
      <c r="H3" s="25"/>
    </row>
    <row r="4" spans="1:21" x14ac:dyDescent="0.3">
      <c r="A4" s="20">
        <v>8411511.5000000056</v>
      </c>
      <c r="B4" s="31">
        <v>500</v>
      </c>
      <c r="E4" s="17" t="s">
        <v>13</v>
      </c>
      <c r="F4" s="23">
        <v>137492</v>
      </c>
      <c r="H4" s="25"/>
    </row>
    <row r="5" spans="1:21" x14ac:dyDescent="0.3">
      <c r="E5" s="28">
        <v>2006</v>
      </c>
      <c r="F5" s="23">
        <v>137492</v>
      </c>
      <c r="H5" s="25"/>
    </row>
    <row r="6" spans="1:21" x14ac:dyDescent="0.3">
      <c r="H6" s="25"/>
    </row>
    <row r="7" spans="1:21" x14ac:dyDescent="0.3">
      <c r="E7" s="16" t="s">
        <v>606</v>
      </c>
      <c r="F7" t="s">
        <v>604</v>
      </c>
      <c r="G7" t="s">
        <v>616</v>
      </c>
      <c r="H7" t="s">
        <v>612</v>
      </c>
    </row>
    <row r="8" spans="1:21" x14ac:dyDescent="0.3">
      <c r="A8" s="16" t="s">
        <v>606</v>
      </c>
      <c r="B8" t="s">
        <v>609</v>
      </c>
      <c r="E8" s="17" t="s">
        <v>13</v>
      </c>
      <c r="F8" s="4">
        <v>137492</v>
      </c>
      <c r="G8" s="7">
        <v>0.61216798068251244</v>
      </c>
      <c r="H8" s="7">
        <v>0.38783246459999998</v>
      </c>
    </row>
    <row r="9" spans="1:21" x14ac:dyDescent="0.3">
      <c r="A9" s="17" t="s">
        <v>23</v>
      </c>
      <c r="B9" s="20">
        <v>125899.8</v>
      </c>
      <c r="E9" s="17" t="s">
        <v>607</v>
      </c>
      <c r="F9" s="4">
        <v>137492</v>
      </c>
      <c r="G9" s="7">
        <v>0.61216798068251244</v>
      </c>
      <c r="H9" s="6">
        <v>0.38783246459999998</v>
      </c>
    </row>
    <row r="10" spans="1:21" x14ac:dyDescent="0.3">
      <c r="A10" s="17" t="s">
        <v>13</v>
      </c>
      <c r="B10" s="20">
        <v>137492</v>
      </c>
    </row>
    <row r="11" spans="1:21" x14ac:dyDescent="0.3">
      <c r="A11" s="17" t="s">
        <v>28</v>
      </c>
      <c r="B11" s="20">
        <v>78104.399999999994</v>
      </c>
    </row>
    <row r="12" spans="1:21" x14ac:dyDescent="0.3">
      <c r="A12" s="17" t="s">
        <v>19</v>
      </c>
      <c r="B12" s="20">
        <v>127861.1</v>
      </c>
    </row>
    <row r="13" spans="1:21" x14ac:dyDescent="0.3">
      <c r="A13" s="17" t="s">
        <v>26</v>
      </c>
      <c r="B13" s="20">
        <v>95703.2</v>
      </c>
    </row>
    <row r="17" spans="1:9" x14ac:dyDescent="0.3">
      <c r="A17" s="16" t="s">
        <v>606</v>
      </c>
      <c r="B17" t="s">
        <v>604</v>
      </c>
      <c r="D17" s="16" t="s">
        <v>606</v>
      </c>
      <c r="E17" t="s">
        <v>604</v>
      </c>
      <c r="G17" s="16" t="s">
        <v>606</v>
      </c>
      <c r="H17" t="s">
        <v>604</v>
      </c>
    </row>
    <row r="18" spans="1:9" x14ac:dyDescent="0.3">
      <c r="A18" s="17" t="s">
        <v>15</v>
      </c>
      <c r="B18" s="20">
        <v>496852.9</v>
      </c>
      <c r="D18" s="17" t="s">
        <v>17</v>
      </c>
      <c r="E18" s="24">
        <v>2126475.6999999997</v>
      </c>
      <c r="G18" s="17" t="s">
        <v>16</v>
      </c>
      <c r="H18" s="20">
        <v>6057000.1000000024</v>
      </c>
    </row>
    <row r="19" spans="1:9" x14ac:dyDescent="0.3">
      <c r="A19" s="17" t="s">
        <v>42</v>
      </c>
      <c r="B19" s="20">
        <v>327831.09999999992</v>
      </c>
      <c r="D19" s="17" t="s">
        <v>22</v>
      </c>
      <c r="E19" s="24">
        <v>2004162.4999999998</v>
      </c>
      <c r="G19" s="17" t="s">
        <v>72</v>
      </c>
      <c r="H19" s="20">
        <v>157565.29999999999</v>
      </c>
    </row>
    <row r="20" spans="1:9" x14ac:dyDescent="0.3">
      <c r="A20" s="17" t="s">
        <v>89</v>
      </c>
      <c r="B20" s="20">
        <v>332426.40000000002</v>
      </c>
      <c r="D20" s="17" t="s">
        <v>27</v>
      </c>
      <c r="E20" s="24">
        <v>570871.80000000005</v>
      </c>
      <c r="G20" s="17" t="s">
        <v>46</v>
      </c>
      <c r="H20" s="20">
        <v>157397.5</v>
      </c>
    </row>
    <row r="21" spans="1:9" x14ac:dyDescent="0.3">
      <c r="A21" s="17" t="s">
        <v>33</v>
      </c>
      <c r="B21" s="20">
        <v>852501.79999999993</v>
      </c>
      <c r="D21" s="17" t="s">
        <v>25</v>
      </c>
      <c r="E21" s="24">
        <v>889049.60000000009</v>
      </c>
      <c r="G21" s="17" t="s">
        <v>167</v>
      </c>
      <c r="H21" s="20">
        <v>164520.1</v>
      </c>
    </row>
    <row r="22" spans="1:9" x14ac:dyDescent="0.3">
      <c r="A22" s="17" t="s">
        <v>21</v>
      </c>
      <c r="B22" s="20">
        <v>4787905.9000000013</v>
      </c>
      <c r="D22" s="17" t="s">
        <v>51</v>
      </c>
      <c r="E22" s="24">
        <v>812423.99999999988</v>
      </c>
      <c r="G22" s="17" t="s">
        <v>24</v>
      </c>
      <c r="H22" s="20">
        <v>1679992.2999999996</v>
      </c>
    </row>
    <row r="27" spans="1:9" x14ac:dyDescent="0.3">
      <c r="G27" s="16" t="s">
        <v>606</v>
      </c>
      <c r="H27" t="s">
        <v>617</v>
      </c>
      <c r="I27" t="s">
        <v>618</v>
      </c>
    </row>
    <row r="28" spans="1:9" x14ac:dyDescent="0.3">
      <c r="G28" s="17" t="s">
        <v>23</v>
      </c>
      <c r="H28" s="4">
        <v>82189.3</v>
      </c>
      <c r="I28" s="4">
        <v>43710.5</v>
      </c>
    </row>
    <row r="29" spans="1:9" x14ac:dyDescent="0.3">
      <c r="A29" s="16" t="s">
        <v>606</v>
      </c>
      <c r="B29" t="s">
        <v>609</v>
      </c>
      <c r="C29" t="s">
        <v>621</v>
      </c>
      <c r="G29" s="17" t="s">
        <v>13</v>
      </c>
      <c r="H29" s="4">
        <v>94851.1</v>
      </c>
      <c r="I29" s="4">
        <v>42640.9</v>
      </c>
    </row>
    <row r="30" spans="1:9" x14ac:dyDescent="0.3">
      <c r="A30" s="17" t="s">
        <v>23</v>
      </c>
      <c r="B30" s="4">
        <v>125899.8</v>
      </c>
      <c r="C30" s="7">
        <v>0.61169914487552801</v>
      </c>
      <c r="G30" s="17" t="s">
        <v>32</v>
      </c>
      <c r="H30" s="4">
        <v>57704</v>
      </c>
      <c r="I30" s="4">
        <v>6967.8</v>
      </c>
    </row>
    <row r="31" spans="1:9" x14ac:dyDescent="0.3">
      <c r="A31" s="17" t="s">
        <v>13</v>
      </c>
      <c r="B31" s="4">
        <v>137492</v>
      </c>
      <c r="C31" s="7">
        <v>0.61216798068251244</v>
      </c>
      <c r="G31" s="17" t="s">
        <v>19</v>
      </c>
      <c r="H31" s="4">
        <v>126177.3</v>
      </c>
      <c r="I31" s="4">
        <v>1683.8</v>
      </c>
    </row>
    <row r="32" spans="1:9" x14ac:dyDescent="0.3">
      <c r="A32" s="17" t="s">
        <v>28</v>
      </c>
      <c r="B32" s="4">
        <v>78104.399999999994</v>
      </c>
      <c r="C32" s="7">
        <v>0.62052970127163132</v>
      </c>
      <c r="G32" s="17" t="s">
        <v>26</v>
      </c>
      <c r="H32" s="4">
        <v>77189.399999999994</v>
      </c>
      <c r="I32" s="4">
        <v>18513.8</v>
      </c>
    </row>
    <row r="33" spans="1:3" x14ac:dyDescent="0.3">
      <c r="A33" s="17" t="s">
        <v>19</v>
      </c>
      <c r="B33" s="4">
        <v>127861.1</v>
      </c>
      <c r="C33" s="7">
        <v>0.11293114168421826</v>
      </c>
    </row>
    <row r="34" spans="1:3" x14ac:dyDescent="0.3">
      <c r="A34" s="17" t="s">
        <v>26</v>
      </c>
      <c r="B34" s="4">
        <v>95703.2</v>
      </c>
      <c r="C34" s="7">
        <v>0.46689347900592665</v>
      </c>
    </row>
    <row r="41" spans="1:3" x14ac:dyDescent="0.3">
      <c r="A41" t="s">
        <v>622</v>
      </c>
    </row>
    <row r="42" spans="1:3" x14ac:dyDescent="0.3">
      <c r="A42" s="25" t="s">
        <v>613</v>
      </c>
    </row>
    <row r="43" spans="1:3" x14ac:dyDescent="0.3">
      <c r="A43" s="25" t="s">
        <v>609</v>
      </c>
    </row>
    <row r="44" spans="1:3" x14ac:dyDescent="0.3">
      <c r="A44" s="25" t="s">
        <v>614</v>
      </c>
    </row>
    <row r="45" spans="1:3" x14ac:dyDescent="0.3">
      <c r="A45" s="25" t="s">
        <v>610</v>
      </c>
    </row>
    <row r="46" spans="1:3" x14ac:dyDescent="0.3">
      <c r="A46" s="25" t="s">
        <v>615</v>
      </c>
    </row>
  </sheetData>
  <pageMargins left="0.7" right="0.7" top="0.75" bottom="0.75" header="0.3" footer="0.3"/>
  <pageSetup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5C6DF-46DA-4F19-9ECB-78C1FB95B768}">
  <sheetPr codeName="Sheet5"/>
  <dimension ref="B1:AA43"/>
  <sheetViews>
    <sheetView showGridLines="0" tabSelected="1" zoomScale="71" workbookViewId="0">
      <selection activeCell="O7" sqref="O7"/>
    </sheetView>
  </sheetViews>
  <sheetFormatPr defaultRowHeight="14.4" x14ac:dyDescent="0.3"/>
  <cols>
    <col min="1" max="16384" width="8.88671875" style="21"/>
  </cols>
  <sheetData>
    <row r="1" spans="2:27" x14ac:dyDescent="0.3">
      <c r="AA1" s="22"/>
    </row>
    <row r="3" spans="2:27" x14ac:dyDescent="0.3">
      <c r="B3" s="30"/>
    </row>
    <row r="7" spans="2:27" x14ac:dyDescent="0.3">
      <c r="K7" s="21">
        <f>GETPIVOTDATA("Sum of Collaborative Rate",'Pivot Tables'!$E$7)</f>
        <v>0.61216798068251244</v>
      </c>
    </row>
    <row r="8" spans="2:27" x14ac:dyDescent="0.3">
      <c r="G8" s="26"/>
    </row>
    <row r="43" spans="27:27" x14ac:dyDescent="0.3">
      <c r="AA43"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3BB9917-A9EF-4CDD-A848-7BF51639D009}">
  <ds:schemaRefs/>
</ds:datastoreItem>
</file>

<file path=customXml/itemProps2.xml><?xml version="1.0" encoding="utf-8"?>
<ds:datastoreItem xmlns:ds="http://schemas.openxmlformats.org/officeDocument/2006/customXml" ds:itemID="{7156DA46-ACE6-4617-A951-87098FF93143}">
  <ds:schemaRefs/>
</ds:datastoreItem>
</file>

<file path=customXml/itemProps3.xml><?xml version="1.0" encoding="utf-8"?>
<ds:datastoreItem xmlns:ds="http://schemas.openxmlformats.org/officeDocument/2006/customXml" ds:itemID="{F193DD84-5E19-4826-9ED4-9E5F7849E8CF}">
  <ds:schemaRefs/>
</ds:datastoreItem>
</file>

<file path=customXml/itemProps4.xml><?xml version="1.0" encoding="utf-8"?>
<ds:datastoreItem xmlns:ds="http://schemas.openxmlformats.org/officeDocument/2006/customXml" ds:itemID="{3B41EF3D-6302-443C-812F-BF3D9E840930}">
  <ds:schemaRefs/>
</ds:datastoreItem>
</file>

<file path=customXml/itemProps5.xml><?xml version="1.0" encoding="utf-8"?>
<ds:datastoreItem xmlns:ds="http://schemas.openxmlformats.org/officeDocument/2006/customXml" ds:itemID="{5DA26ABE-81CF-4EED-8089-D8F73536FACE}">
  <ds:schemaRefs/>
</ds:datastoreItem>
</file>

<file path=customXml/itemProps6.xml><?xml version="1.0" encoding="utf-8"?>
<ds:datastoreItem xmlns:ds="http://schemas.openxmlformats.org/officeDocument/2006/customXml" ds:itemID="{2FA89F91-20BD-4BAB-A12A-C95748259E35}">
  <ds:schemaRefs/>
</ds:datastoreItem>
</file>

<file path=customXml/itemProps7.xml><?xml version="1.0" encoding="utf-8"?>
<ds:datastoreItem xmlns:ds="http://schemas.openxmlformats.org/officeDocument/2006/customXml" ds:itemID="{2581BD54-4BEB-4460-80F0-CE4EBAA5F23A}">
  <ds:schemaRefs/>
</ds:datastoreItem>
</file>

<file path=customXml/itemProps8.xml><?xml version="1.0" encoding="utf-8"?>
<ds:datastoreItem xmlns:ds="http://schemas.openxmlformats.org/officeDocument/2006/customXml" ds:itemID="{DA54B4EF-273B-40E7-944C-7817CF90EE4C}">
  <ds:schemaRefs/>
</ds:datastoreItem>
</file>

<file path=customXml/itemProps9.xml><?xml version="1.0" encoding="utf-8"?>
<ds:datastoreItem xmlns:ds="http://schemas.openxmlformats.org/officeDocument/2006/customXml" ds:itemID="{DCBBAD4E-11FB-498F-BFA5-57ABE9B873BB}">
  <ds:schemaRefs/>
</ds:datastoreItem>
</file>

<file path=customXml/itemProps10.xml><?xml version="1.0" encoding="utf-8"?>
<ds:datastoreItem xmlns:ds="http://schemas.openxmlformats.org/officeDocument/2006/customXml" ds:itemID="{E579EC99-92AA-412E-827C-088D07099061}">
  <ds:schemaRefs/>
</ds:datastoreItem>
</file>

<file path=customXml/itemProps11.xml><?xml version="1.0" encoding="utf-8"?>
<ds:datastoreItem xmlns:ds="http://schemas.openxmlformats.org/officeDocument/2006/customXml" ds:itemID="{84A47119-4083-4E96-B19F-39524B1146BC}">
  <ds:schemaRefs/>
</ds:datastoreItem>
</file>

<file path=customXml/itemProps12.xml><?xml version="1.0" encoding="utf-8"?>
<ds:datastoreItem xmlns:ds="http://schemas.openxmlformats.org/officeDocument/2006/customXml" ds:itemID="{D8334B3D-74AD-49BC-951F-D45CA34EF84E}">
  <ds:schemaRefs/>
</ds:datastoreItem>
</file>

<file path=customXml/itemProps13.xml><?xml version="1.0" encoding="utf-8"?>
<ds:datastoreItem xmlns:ds="http://schemas.openxmlformats.org/officeDocument/2006/customXml" ds:itemID="{6F2D2FAE-68DE-4A76-A564-7E33BA0276F0}">
  <ds:schemaRefs/>
</ds:datastoreItem>
</file>

<file path=customXml/itemProps14.xml><?xml version="1.0" encoding="utf-8"?>
<ds:datastoreItem xmlns:ds="http://schemas.openxmlformats.org/officeDocument/2006/customXml" ds:itemID="{6AB80844-2D00-4FB0-9BFC-8EA27F72AC3C}">
  <ds:schemaRefs/>
</ds:datastoreItem>
</file>

<file path=customXml/itemProps15.xml><?xml version="1.0" encoding="utf-8"?>
<ds:datastoreItem xmlns:ds="http://schemas.openxmlformats.org/officeDocument/2006/customXml" ds:itemID="{12E7DD94-9535-4C96-8772-B1238D2DE427}">
  <ds:schemaRefs/>
</ds:datastoreItem>
</file>

<file path=customXml/itemProps16.xml><?xml version="1.0" encoding="utf-8"?>
<ds:datastoreItem xmlns:ds="http://schemas.openxmlformats.org/officeDocument/2006/customXml" ds:itemID="{6A53C85C-29AD-4FA6-B39A-B6F8DDF9D65A}">
  <ds:schemaRefs/>
</ds:datastoreItem>
</file>

<file path=customXml/itemProps17.xml><?xml version="1.0" encoding="utf-8"?>
<ds:datastoreItem xmlns:ds="http://schemas.openxmlformats.org/officeDocument/2006/customXml" ds:itemID="{B6A5D398-3FD2-4D00-BD3D-369E2DFAB065}">
  <ds:schemaRefs>
    <ds:schemaRef ds:uri="http://schemas.microsoft.com/DataMashup"/>
  </ds:schemaRefs>
</ds:datastoreItem>
</file>

<file path=customXml/itemProps18.xml><?xml version="1.0" encoding="utf-8"?>
<ds:datastoreItem xmlns:ds="http://schemas.openxmlformats.org/officeDocument/2006/customXml" ds:itemID="{1CEFC8AC-61DA-4981-A924-B18DD5DD74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Raw data</vt:lpstr>
      <vt:lpstr>Data_Cleaned</vt:lpstr>
      <vt:lpstr>Updated</vt:lpstr>
      <vt:lpstr>Pivot Tables</vt:lpstr>
      <vt:lpstr>Dashboard</vt:lpstr>
      <vt:lpstr>Spotify</vt:lpstr>
      <vt:lpstr>Total_Streams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Mansi</dc:creator>
  <cp:lastModifiedBy>Mansi Ohol</cp:lastModifiedBy>
  <dcterms:created xsi:type="dcterms:W3CDTF">2026-08-22T10:49:33Z</dcterms:created>
  <dcterms:modified xsi:type="dcterms:W3CDTF">2026-09-21T16:58:21Z</dcterms:modified>
</cp:coreProperties>
</file>